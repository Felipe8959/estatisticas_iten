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nav\"/>
    </mc:Choice>
  </mc:AlternateContent>
  <xr:revisionPtr revIDLastSave="0" documentId="13_ncr:1_{A53590F1-34B8-4AA7-BE2E-B43FDB12D3C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8" r:id="rId1"/>
    <sheet name="config" sheetId="9" r:id="rId2"/>
    <sheet name="Atrasos" sheetId="5" r:id="rId3"/>
    <sheet name="Revisões" sheetId="2" r:id="rId4"/>
    <sheet name="Envios" sheetId="3" r:id="rId5"/>
    <sheet name="Erros" sheetId="4" r:id="rId6"/>
  </sheets>
  <functionGroups builtInGroupCount="19"/>
  <definedNames>
    <definedName name="_xlnm._FilterDatabase" localSheetId="2" hidden="1">Atrasos!$A$2:$G$502</definedName>
    <definedName name="_xlnm._FilterDatabase" localSheetId="0" hidden="1">Sheet1!$B$7:$Z$7</definedName>
    <definedName name="Setor">Atrasos!#REF!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8" i="8" l="1"/>
  <c r="AA12" i="8" l="1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86" i="8"/>
  <c r="AA187" i="8"/>
  <c r="AA188" i="8"/>
  <c r="AA189" i="8"/>
  <c r="AA190" i="8"/>
  <c r="AA191" i="8"/>
  <c r="AA192" i="8"/>
  <c r="AA193" i="8"/>
  <c r="AA194" i="8"/>
  <c r="AA195" i="8"/>
  <c r="AA196" i="8"/>
  <c r="AA197" i="8"/>
  <c r="AA198" i="8"/>
  <c r="AA199" i="8"/>
  <c r="AA200" i="8"/>
  <c r="AA201" i="8"/>
  <c r="AA202" i="8"/>
  <c r="AA203" i="8"/>
  <c r="AA204" i="8"/>
  <c r="AA205" i="8"/>
  <c r="AA206" i="8"/>
  <c r="AA207" i="8"/>
  <c r="AA208" i="8"/>
  <c r="AA209" i="8"/>
  <c r="AA210" i="8"/>
  <c r="AA211" i="8"/>
  <c r="AA212" i="8"/>
  <c r="AA213" i="8"/>
  <c r="AA214" i="8"/>
  <c r="AA215" i="8"/>
  <c r="AA216" i="8"/>
  <c r="AA217" i="8"/>
  <c r="AA218" i="8"/>
  <c r="AA219" i="8"/>
  <c r="AA220" i="8"/>
  <c r="AA221" i="8"/>
  <c r="AA222" i="8"/>
  <c r="AA223" i="8"/>
  <c r="AA224" i="8"/>
  <c r="AA225" i="8"/>
  <c r="AA226" i="8"/>
  <c r="AA227" i="8"/>
  <c r="AA228" i="8"/>
  <c r="AA229" i="8"/>
  <c r="AA230" i="8"/>
  <c r="AA231" i="8"/>
  <c r="AA232" i="8"/>
  <c r="AA233" i="8"/>
  <c r="AA234" i="8"/>
  <c r="AA235" i="8"/>
  <c r="AA236" i="8"/>
  <c r="AA237" i="8"/>
  <c r="AA238" i="8"/>
  <c r="AA239" i="8"/>
  <c r="AA240" i="8"/>
  <c r="AA241" i="8"/>
  <c r="AA242" i="8"/>
  <c r="AA243" i="8"/>
  <c r="AA244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A306" i="8"/>
  <c r="AA307" i="8"/>
  <c r="AA308" i="8"/>
  <c r="AA309" i="8"/>
  <c r="AA310" i="8"/>
  <c r="AA311" i="8"/>
  <c r="AA312" i="8"/>
  <c r="AA313" i="8"/>
  <c r="AA314" i="8"/>
  <c r="AA315" i="8"/>
  <c r="AA316" i="8"/>
  <c r="AA317" i="8"/>
  <c r="AA318" i="8"/>
  <c r="AA319" i="8"/>
  <c r="AA320" i="8"/>
  <c r="AA321" i="8"/>
  <c r="AA322" i="8"/>
  <c r="AA323" i="8"/>
  <c r="AA324" i="8"/>
  <c r="AA325" i="8"/>
  <c r="AA326" i="8"/>
  <c r="AA327" i="8"/>
  <c r="AA328" i="8"/>
  <c r="AA329" i="8"/>
  <c r="AA330" i="8"/>
  <c r="AA331" i="8"/>
  <c r="AA332" i="8"/>
  <c r="AA333" i="8"/>
  <c r="AA334" i="8"/>
  <c r="AA335" i="8"/>
  <c r="AA336" i="8"/>
  <c r="AA337" i="8"/>
  <c r="AA338" i="8"/>
  <c r="AA339" i="8"/>
  <c r="AA340" i="8"/>
  <c r="AA341" i="8"/>
  <c r="AA342" i="8"/>
  <c r="AA343" i="8"/>
  <c r="AA344" i="8"/>
  <c r="AA345" i="8"/>
  <c r="AA346" i="8"/>
  <c r="AA347" i="8"/>
  <c r="AA348" i="8"/>
  <c r="AA349" i="8"/>
  <c r="AA350" i="8"/>
  <c r="AA351" i="8"/>
  <c r="AA352" i="8"/>
  <c r="AA353" i="8"/>
  <c r="AA354" i="8"/>
  <c r="AA355" i="8"/>
  <c r="AA356" i="8"/>
  <c r="AA357" i="8"/>
  <c r="AA358" i="8"/>
  <c r="AA359" i="8"/>
  <c r="AA360" i="8"/>
  <c r="AA361" i="8"/>
  <c r="AA362" i="8"/>
  <c r="AA363" i="8"/>
  <c r="AA364" i="8"/>
  <c r="AA365" i="8"/>
  <c r="AA366" i="8"/>
  <c r="AA367" i="8"/>
  <c r="AA368" i="8"/>
  <c r="AA369" i="8"/>
  <c r="AA370" i="8"/>
  <c r="AA371" i="8"/>
  <c r="AA372" i="8"/>
  <c r="AA373" i="8"/>
  <c r="AA374" i="8"/>
  <c r="AA375" i="8"/>
  <c r="AA376" i="8"/>
  <c r="AA377" i="8"/>
  <c r="AA378" i="8"/>
  <c r="AA379" i="8"/>
  <c r="AA380" i="8"/>
  <c r="AA381" i="8"/>
  <c r="AA382" i="8"/>
  <c r="AA383" i="8"/>
  <c r="AA384" i="8"/>
  <c r="AA385" i="8"/>
  <c r="AA386" i="8"/>
  <c r="AA387" i="8"/>
  <c r="AA388" i="8"/>
  <c r="AA389" i="8"/>
  <c r="AA390" i="8"/>
  <c r="AA391" i="8"/>
  <c r="AA392" i="8"/>
  <c r="AA393" i="8"/>
  <c r="AA394" i="8"/>
  <c r="AA395" i="8"/>
  <c r="AA396" i="8"/>
  <c r="AA397" i="8"/>
  <c r="AA398" i="8"/>
  <c r="AA399" i="8"/>
  <c r="AA400" i="8"/>
  <c r="AA401" i="8"/>
  <c r="AA402" i="8"/>
  <c r="AA403" i="8"/>
  <c r="AA404" i="8"/>
  <c r="AA405" i="8"/>
  <c r="AA406" i="8"/>
  <c r="AA407" i="8"/>
  <c r="AA408" i="8"/>
  <c r="AA409" i="8"/>
  <c r="AA410" i="8"/>
  <c r="AA411" i="8"/>
  <c r="AA412" i="8"/>
  <c r="AA413" i="8"/>
  <c r="AA414" i="8"/>
  <c r="AA415" i="8"/>
  <c r="AA416" i="8"/>
  <c r="AA417" i="8"/>
  <c r="AA418" i="8"/>
  <c r="AA419" i="8"/>
  <c r="AA420" i="8"/>
  <c r="AA421" i="8"/>
  <c r="AA422" i="8"/>
  <c r="AA423" i="8"/>
  <c r="AA424" i="8"/>
  <c r="AA425" i="8"/>
  <c r="AA426" i="8"/>
  <c r="AA427" i="8"/>
  <c r="AA428" i="8"/>
  <c r="AA429" i="8"/>
  <c r="AA430" i="8"/>
  <c r="AA431" i="8"/>
  <c r="AA432" i="8"/>
  <c r="AA433" i="8"/>
  <c r="AA434" i="8"/>
  <c r="AA435" i="8"/>
  <c r="AA436" i="8"/>
  <c r="AA437" i="8"/>
  <c r="AA438" i="8"/>
  <c r="AA439" i="8"/>
  <c r="AA440" i="8"/>
  <c r="AA441" i="8"/>
  <c r="AA442" i="8"/>
  <c r="AA443" i="8"/>
  <c r="AA444" i="8"/>
  <c r="AA445" i="8"/>
  <c r="AA446" i="8"/>
  <c r="AA447" i="8"/>
  <c r="AA448" i="8"/>
  <c r="AA449" i="8"/>
  <c r="AA450" i="8"/>
  <c r="AA451" i="8"/>
  <c r="AA452" i="8"/>
  <c r="AA453" i="8"/>
  <c r="AA454" i="8"/>
  <c r="AA455" i="8"/>
  <c r="AA456" i="8"/>
  <c r="AA457" i="8"/>
  <c r="AA458" i="8"/>
  <c r="AA459" i="8"/>
  <c r="AA460" i="8"/>
  <c r="AA461" i="8"/>
  <c r="AA462" i="8"/>
  <c r="AA463" i="8"/>
  <c r="AA464" i="8"/>
  <c r="AA465" i="8"/>
  <c r="AA466" i="8"/>
  <c r="AA467" i="8"/>
  <c r="AA468" i="8"/>
  <c r="AA469" i="8"/>
  <c r="AA470" i="8"/>
  <c r="AA471" i="8"/>
  <c r="AA472" i="8"/>
  <c r="AA473" i="8"/>
  <c r="AA474" i="8"/>
  <c r="AA475" i="8"/>
  <c r="AA476" i="8"/>
  <c r="AA477" i="8"/>
  <c r="AA478" i="8"/>
  <c r="AA479" i="8"/>
  <c r="AA480" i="8"/>
  <c r="AA481" i="8"/>
  <c r="AA482" i="8"/>
  <c r="AA483" i="8"/>
  <c r="AA484" i="8"/>
  <c r="AA485" i="8"/>
  <c r="AA486" i="8"/>
  <c r="AA487" i="8"/>
  <c r="AA488" i="8"/>
  <c r="AA489" i="8"/>
  <c r="AA490" i="8"/>
  <c r="AA491" i="8"/>
  <c r="AA492" i="8"/>
  <c r="AA493" i="8"/>
  <c r="AA494" i="8"/>
  <c r="AA495" i="8"/>
  <c r="AA496" i="8"/>
  <c r="AA497" i="8"/>
  <c r="AA498" i="8"/>
  <c r="AA499" i="8"/>
  <c r="AA500" i="8"/>
  <c r="AA501" i="8"/>
  <c r="AA502" i="8"/>
  <c r="AA503" i="8"/>
  <c r="AA504" i="8"/>
  <c r="AA505" i="8"/>
  <c r="AA506" i="8"/>
  <c r="AA507" i="8"/>
  <c r="AA508" i="8"/>
  <c r="AA509" i="8"/>
  <c r="AA510" i="8"/>
  <c r="AA511" i="8"/>
  <c r="AA512" i="8"/>
  <c r="AA513" i="8"/>
  <c r="AA514" i="8"/>
  <c r="AA515" i="8"/>
  <c r="AA516" i="8"/>
  <c r="AA517" i="8"/>
  <c r="AA518" i="8"/>
  <c r="AA519" i="8"/>
  <c r="AA520" i="8"/>
  <c r="AA521" i="8"/>
  <c r="AA522" i="8"/>
  <c r="AA523" i="8"/>
  <c r="AA524" i="8"/>
  <c r="AA525" i="8"/>
  <c r="AA526" i="8"/>
  <c r="AA527" i="8"/>
  <c r="AA528" i="8"/>
  <c r="AA529" i="8"/>
  <c r="AA530" i="8"/>
  <c r="AA531" i="8"/>
  <c r="AA532" i="8"/>
  <c r="AA533" i="8"/>
  <c r="AA534" i="8"/>
  <c r="AA535" i="8"/>
  <c r="AA536" i="8"/>
  <c r="AA537" i="8"/>
  <c r="AA538" i="8"/>
  <c r="AA539" i="8"/>
  <c r="AA540" i="8"/>
  <c r="AA541" i="8"/>
  <c r="AA542" i="8"/>
  <c r="AA543" i="8"/>
  <c r="AA544" i="8"/>
  <c r="AA545" i="8"/>
  <c r="AA546" i="8"/>
  <c r="AA547" i="8"/>
  <c r="AA548" i="8"/>
  <c r="AA549" i="8"/>
  <c r="AA550" i="8"/>
  <c r="AA551" i="8"/>
  <c r="AA552" i="8"/>
  <c r="AA553" i="8"/>
  <c r="AA554" i="8"/>
  <c r="AA555" i="8"/>
  <c r="AA556" i="8"/>
  <c r="AA557" i="8"/>
  <c r="AA558" i="8"/>
  <c r="AA559" i="8"/>
  <c r="AA560" i="8"/>
  <c r="AA561" i="8"/>
  <c r="AA562" i="8"/>
  <c r="AA563" i="8"/>
  <c r="AA564" i="8"/>
  <c r="AA565" i="8"/>
  <c r="AA566" i="8"/>
  <c r="AA567" i="8"/>
  <c r="AA568" i="8"/>
  <c r="AA569" i="8"/>
  <c r="AA570" i="8"/>
  <c r="AA571" i="8"/>
  <c r="AA572" i="8"/>
  <c r="AA573" i="8"/>
  <c r="AA574" i="8"/>
  <c r="AA575" i="8"/>
  <c r="AA576" i="8"/>
  <c r="AA577" i="8"/>
  <c r="AA578" i="8"/>
  <c r="AA579" i="8"/>
  <c r="AA580" i="8"/>
  <c r="AA581" i="8"/>
  <c r="AA582" i="8"/>
  <c r="AA583" i="8"/>
  <c r="AA584" i="8"/>
  <c r="AA585" i="8"/>
  <c r="AA586" i="8"/>
  <c r="AA587" i="8"/>
  <c r="AA588" i="8"/>
  <c r="AA589" i="8"/>
  <c r="AA590" i="8"/>
  <c r="AA591" i="8"/>
  <c r="AA592" i="8"/>
  <c r="AA593" i="8"/>
  <c r="AA594" i="8"/>
  <c r="AA595" i="8"/>
  <c r="AA596" i="8"/>
  <c r="AA597" i="8"/>
  <c r="AA598" i="8"/>
  <c r="AA599" i="8"/>
  <c r="AA600" i="8"/>
  <c r="AA601" i="8"/>
  <c r="AA602" i="8"/>
  <c r="AA603" i="8"/>
  <c r="AA604" i="8"/>
  <c r="AA605" i="8"/>
  <c r="AA606" i="8"/>
  <c r="AA607" i="8"/>
  <c r="AA608" i="8"/>
  <c r="AA609" i="8"/>
  <c r="AA610" i="8"/>
  <c r="AA611" i="8"/>
  <c r="AA612" i="8"/>
  <c r="AA613" i="8"/>
  <c r="AA614" i="8"/>
  <c r="AA615" i="8"/>
  <c r="AA616" i="8"/>
  <c r="AA617" i="8"/>
  <c r="AA618" i="8"/>
  <c r="AA619" i="8"/>
  <c r="AA620" i="8"/>
  <c r="AA621" i="8"/>
  <c r="AA622" i="8"/>
  <c r="AA623" i="8"/>
  <c r="AA624" i="8"/>
  <c r="AA625" i="8"/>
  <c r="AA626" i="8"/>
  <c r="AA627" i="8"/>
  <c r="AA628" i="8"/>
  <c r="AA629" i="8"/>
  <c r="AA630" i="8"/>
  <c r="AA631" i="8"/>
  <c r="AA632" i="8"/>
  <c r="AA633" i="8"/>
  <c r="AA634" i="8"/>
  <c r="AA635" i="8"/>
  <c r="AA636" i="8"/>
  <c r="AA637" i="8"/>
  <c r="AA638" i="8"/>
  <c r="AA639" i="8"/>
  <c r="AA640" i="8"/>
  <c r="AA641" i="8"/>
  <c r="AA642" i="8"/>
  <c r="AA643" i="8"/>
  <c r="AA644" i="8"/>
  <c r="AA645" i="8"/>
  <c r="AA646" i="8"/>
  <c r="AA647" i="8"/>
  <c r="AA648" i="8"/>
  <c r="AA649" i="8"/>
  <c r="AA650" i="8"/>
  <c r="AA651" i="8"/>
  <c r="AA652" i="8"/>
  <c r="AA653" i="8"/>
  <c r="AA654" i="8"/>
  <c r="AA655" i="8"/>
  <c r="AA656" i="8"/>
  <c r="AA657" i="8"/>
  <c r="AA658" i="8"/>
  <c r="AA659" i="8"/>
  <c r="AA660" i="8"/>
  <c r="AA661" i="8"/>
  <c r="AA662" i="8"/>
  <c r="AA663" i="8"/>
  <c r="AA664" i="8"/>
  <c r="AA665" i="8"/>
  <c r="AA666" i="8"/>
  <c r="AA667" i="8"/>
  <c r="AA668" i="8"/>
  <c r="AA669" i="8"/>
  <c r="AA670" i="8"/>
  <c r="AA671" i="8"/>
  <c r="AA672" i="8"/>
  <c r="AA673" i="8"/>
  <c r="AA674" i="8"/>
  <c r="AA675" i="8"/>
  <c r="AA676" i="8"/>
  <c r="AA677" i="8"/>
  <c r="AA678" i="8"/>
  <c r="AA679" i="8"/>
  <c r="AA680" i="8"/>
  <c r="AA681" i="8"/>
  <c r="AA682" i="8"/>
  <c r="AA683" i="8"/>
  <c r="AA684" i="8"/>
  <c r="AA685" i="8"/>
  <c r="AA686" i="8"/>
  <c r="AA687" i="8"/>
  <c r="AA688" i="8"/>
  <c r="AA689" i="8"/>
  <c r="AA690" i="8"/>
  <c r="AA691" i="8"/>
  <c r="AA692" i="8"/>
  <c r="AA693" i="8"/>
  <c r="AA694" i="8"/>
  <c r="AA695" i="8"/>
  <c r="AA696" i="8"/>
  <c r="AA697" i="8"/>
  <c r="AA698" i="8"/>
  <c r="AA699" i="8"/>
  <c r="AA700" i="8"/>
  <c r="AA701" i="8"/>
  <c r="AA702" i="8"/>
  <c r="AA703" i="8"/>
  <c r="AA704" i="8"/>
  <c r="AA705" i="8"/>
  <c r="AA706" i="8"/>
  <c r="AA707" i="8"/>
  <c r="AA708" i="8"/>
  <c r="AA709" i="8"/>
  <c r="AA710" i="8"/>
  <c r="AA711" i="8"/>
  <c r="AA712" i="8"/>
  <c r="AA713" i="8"/>
  <c r="AA714" i="8"/>
  <c r="AA715" i="8"/>
  <c r="AA716" i="8"/>
  <c r="AA717" i="8"/>
  <c r="AA718" i="8"/>
  <c r="AA719" i="8"/>
  <c r="AA720" i="8"/>
  <c r="AA721" i="8"/>
  <c r="AA722" i="8"/>
  <c r="AA723" i="8"/>
  <c r="AA724" i="8"/>
  <c r="AA725" i="8"/>
  <c r="AA726" i="8"/>
  <c r="AA727" i="8"/>
  <c r="AA728" i="8"/>
  <c r="AA729" i="8"/>
  <c r="AA730" i="8"/>
  <c r="AA731" i="8"/>
  <c r="AA732" i="8"/>
  <c r="AA733" i="8"/>
  <c r="AA734" i="8"/>
  <c r="AA735" i="8"/>
  <c r="AA736" i="8"/>
  <c r="AA737" i="8"/>
  <c r="AA738" i="8"/>
  <c r="AA739" i="8"/>
  <c r="AA740" i="8"/>
  <c r="AA741" i="8"/>
  <c r="AA742" i="8"/>
  <c r="AA743" i="8"/>
  <c r="AA744" i="8"/>
  <c r="AA745" i="8"/>
  <c r="AA746" i="8"/>
  <c r="AA747" i="8"/>
  <c r="AA748" i="8"/>
  <c r="AA749" i="8"/>
  <c r="AA750" i="8"/>
  <c r="AA751" i="8"/>
  <c r="AA752" i="8"/>
  <c r="AA753" i="8"/>
  <c r="AA754" i="8"/>
  <c r="AA755" i="8"/>
  <c r="AA756" i="8"/>
  <c r="AA757" i="8"/>
  <c r="AA758" i="8"/>
  <c r="AA759" i="8"/>
  <c r="AA760" i="8"/>
  <c r="AA761" i="8"/>
  <c r="AA762" i="8"/>
  <c r="AA763" i="8"/>
  <c r="AA764" i="8"/>
  <c r="AA765" i="8"/>
  <c r="AA766" i="8"/>
  <c r="AA767" i="8"/>
  <c r="AA768" i="8"/>
  <c r="AA769" i="8"/>
  <c r="AA770" i="8"/>
  <c r="AA771" i="8"/>
  <c r="AA772" i="8"/>
  <c r="AA773" i="8"/>
  <c r="AA774" i="8"/>
  <c r="AA775" i="8"/>
  <c r="AA776" i="8"/>
  <c r="AA777" i="8"/>
  <c r="AA778" i="8"/>
  <c r="AA779" i="8"/>
  <c r="AA780" i="8"/>
  <c r="AA781" i="8"/>
  <c r="AA782" i="8"/>
  <c r="AA783" i="8"/>
  <c r="AA784" i="8"/>
  <c r="AA785" i="8"/>
  <c r="AA786" i="8"/>
  <c r="AA787" i="8"/>
  <c r="AA788" i="8"/>
  <c r="AA789" i="8"/>
  <c r="AA790" i="8"/>
  <c r="AA791" i="8"/>
  <c r="AA792" i="8"/>
  <c r="AA793" i="8"/>
  <c r="AA794" i="8"/>
  <c r="AA795" i="8"/>
  <c r="AA796" i="8"/>
  <c r="AA797" i="8"/>
  <c r="AA798" i="8"/>
  <c r="AA799" i="8"/>
  <c r="AA800" i="8"/>
  <c r="AA801" i="8"/>
  <c r="AA802" i="8"/>
  <c r="AA803" i="8"/>
  <c r="AA804" i="8"/>
  <c r="AA805" i="8"/>
  <c r="AA806" i="8"/>
  <c r="AA807" i="8"/>
  <c r="AA808" i="8"/>
  <c r="AA809" i="8"/>
  <c r="AA810" i="8"/>
  <c r="AA811" i="8"/>
  <c r="AA812" i="8"/>
  <c r="AA813" i="8"/>
  <c r="AA814" i="8"/>
  <c r="AA815" i="8"/>
  <c r="AA816" i="8"/>
  <c r="AA817" i="8"/>
  <c r="AA818" i="8"/>
  <c r="AA819" i="8"/>
  <c r="AA820" i="8"/>
  <c r="AA821" i="8"/>
  <c r="AA822" i="8"/>
  <c r="AA823" i="8"/>
  <c r="AA824" i="8"/>
  <c r="AA825" i="8"/>
  <c r="AA826" i="8"/>
  <c r="AA827" i="8"/>
  <c r="AA828" i="8"/>
  <c r="AA829" i="8"/>
  <c r="AA830" i="8"/>
  <c r="AA831" i="8"/>
  <c r="AA832" i="8"/>
  <c r="AA833" i="8"/>
  <c r="AA834" i="8"/>
  <c r="AA835" i="8"/>
  <c r="AA836" i="8"/>
  <c r="AA837" i="8"/>
  <c r="AA838" i="8"/>
  <c r="AA839" i="8"/>
  <c r="AA840" i="8"/>
  <c r="AA841" i="8"/>
  <c r="AA842" i="8"/>
  <c r="AA843" i="8"/>
  <c r="AA844" i="8"/>
  <c r="AA845" i="8"/>
  <c r="AA846" i="8"/>
  <c r="AA847" i="8"/>
  <c r="AA848" i="8"/>
  <c r="AA849" i="8"/>
  <c r="AA850" i="8"/>
  <c r="AA851" i="8"/>
  <c r="AA852" i="8"/>
  <c r="AA853" i="8"/>
  <c r="AA854" i="8"/>
  <c r="AA855" i="8"/>
  <c r="AA856" i="8"/>
  <c r="AA857" i="8"/>
  <c r="AA858" i="8"/>
  <c r="AA859" i="8"/>
  <c r="AA860" i="8"/>
  <c r="AA861" i="8"/>
  <c r="AA862" i="8"/>
  <c r="AA863" i="8"/>
  <c r="AA864" i="8"/>
  <c r="AA865" i="8"/>
  <c r="AA866" i="8"/>
  <c r="AA867" i="8"/>
  <c r="AA868" i="8"/>
  <c r="AA869" i="8"/>
  <c r="AA870" i="8"/>
  <c r="AA871" i="8"/>
  <c r="AA872" i="8"/>
  <c r="AA873" i="8"/>
  <c r="AA874" i="8"/>
  <c r="AA875" i="8"/>
  <c r="AA876" i="8"/>
  <c r="AA877" i="8"/>
  <c r="AA878" i="8"/>
  <c r="AA879" i="8"/>
  <c r="AA880" i="8"/>
  <c r="AA881" i="8"/>
  <c r="AA882" i="8"/>
  <c r="AA883" i="8"/>
  <c r="AA884" i="8"/>
  <c r="AA885" i="8"/>
  <c r="AA886" i="8"/>
  <c r="AA887" i="8"/>
  <c r="AA888" i="8"/>
  <c r="AA889" i="8"/>
  <c r="AA890" i="8"/>
  <c r="AA891" i="8"/>
  <c r="AA892" i="8"/>
  <c r="AA893" i="8"/>
  <c r="AA894" i="8"/>
  <c r="AA895" i="8"/>
  <c r="AA896" i="8"/>
  <c r="AA897" i="8"/>
  <c r="AA898" i="8"/>
  <c r="AA899" i="8"/>
  <c r="AA900" i="8"/>
  <c r="AA901" i="8"/>
  <c r="AA902" i="8"/>
  <c r="AA903" i="8"/>
  <c r="AA904" i="8"/>
  <c r="AA905" i="8"/>
  <c r="AA906" i="8"/>
  <c r="AA907" i="8"/>
  <c r="AA908" i="8"/>
  <c r="AA909" i="8"/>
  <c r="AA910" i="8"/>
  <c r="AA911" i="8"/>
  <c r="AA912" i="8"/>
  <c r="AA913" i="8"/>
  <c r="AA914" i="8"/>
  <c r="AA915" i="8"/>
  <c r="AA916" i="8"/>
  <c r="AA917" i="8"/>
  <c r="AA918" i="8"/>
  <c r="AA919" i="8"/>
  <c r="AA920" i="8"/>
  <c r="AA921" i="8"/>
  <c r="AA922" i="8"/>
  <c r="AA923" i="8"/>
  <c r="AA924" i="8"/>
  <c r="AA925" i="8"/>
  <c r="AA926" i="8"/>
  <c r="AA927" i="8"/>
  <c r="AA928" i="8"/>
  <c r="AA929" i="8"/>
  <c r="AA930" i="8"/>
  <c r="AA931" i="8"/>
  <c r="AA932" i="8"/>
  <c r="AA933" i="8"/>
  <c r="AA934" i="8"/>
  <c r="AA935" i="8"/>
  <c r="AA936" i="8"/>
  <c r="AA937" i="8"/>
  <c r="AA938" i="8"/>
  <c r="AA939" i="8"/>
  <c r="AA940" i="8"/>
  <c r="AA941" i="8"/>
  <c r="AA942" i="8"/>
  <c r="AA943" i="8"/>
  <c r="AA944" i="8"/>
  <c r="AA945" i="8"/>
  <c r="AA946" i="8"/>
  <c r="AA947" i="8"/>
  <c r="AA948" i="8"/>
  <c r="AA949" i="8"/>
  <c r="AA950" i="8"/>
  <c r="AA951" i="8"/>
  <c r="AA952" i="8"/>
  <c r="AA953" i="8"/>
  <c r="AA954" i="8"/>
  <c r="AA955" i="8"/>
  <c r="AA956" i="8"/>
  <c r="AA957" i="8"/>
  <c r="AA958" i="8"/>
  <c r="AA959" i="8"/>
  <c r="AA960" i="8"/>
  <c r="AA961" i="8"/>
  <c r="AA962" i="8"/>
  <c r="AA963" i="8"/>
  <c r="AA964" i="8"/>
  <c r="AA965" i="8"/>
  <c r="AA966" i="8"/>
  <c r="AA967" i="8"/>
  <c r="AA968" i="8"/>
  <c r="AA969" i="8"/>
  <c r="AA970" i="8"/>
  <c r="AA971" i="8"/>
  <c r="AA972" i="8"/>
  <c r="AA973" i="8"/>
  <c r="AA974" i="8"/>
  <c r="AA975" i="8"/>
  <c r="AA976" i="8"/>
  <c r="AA977" i="8"/>
  <c r="AA978" i="8"/>
  <c r="AA979" i="8"/>
  <c r="AA980" i="8"/>
  <c r="AA981" i="8"/>
  <c r="AA982" i="8"/>
  <c r="AA983" i="8"/>
  <c r="AA984" i="8"/>
  <c r="AA985" i="8"/>
  <c r="AA986" i="8"/>
  <c r="AA987" i="8"/>
  <c r="AA988" i="8"/>
  <c r="AA989" i="8"/>
  <c r="AA990" i="8"/>
  <c r="AA991" i="8"/>
  <c r="AA992" i="8"/>
  <c r="AA993" i="8"/>
  <c r="AA994" i="8"/>
  <c r="AA995" i="8"/>
  <c r="AA996" i="8"/>
  <c r="AA997" i="8"/>
  <c r="AA998" i="8"/>
  <c r="AA999" i="8"/>
  <c r="AA1000" i="8"/>
  <c r="AA1001" i="8"/>
  <c r="AA1002" i="8"/>
  <c r="AA1003" i="8"/>
  <c r="AA1004" i="8"/>
  <c r="AA1005" i="8"/>
  <c r="AA1006" i="8"/>
  <c r="AA1007" i="8"/>
  <c r="AA1008" i="8"/>
  <c r="AA1009" i="8"/>
  <c r="AA1010" i="8"/>
  <c r="AA1011" i="8"/>
  <c r="AA1012" i="8"/>
  <c r="AA1013" i="8"/>
  <c r="AA1014" i="8"/>
  <c r="AA1015" i="8"/>
  <c r="AA1016" i="8"/>
  <c r="AA1017" i="8"/>
  <c r="AA1018" i="8"/>
  <c r="AA1019" i="8"/>
  <c r="AA1020" i="8"/>
  <c r="AA1021" i="8"/>
  <c r="AA1022" i="8"/>
  <c r="AA1023" i="8"/>
  <c r="AA1024" i="8"/>
  <c r="AA1025" i="8"/>
  <c r="AA1026" i="8"/>
  <c r="AA1027" i="8"/>
  <c r="AA1028" i="8"/>
  <c r="AA1029" i="8"/>
  <c r="AA1030" i="8"/>
  <c r="AA1031" i="8"/>
  <c r="AA1032" i="8"/>
  <c r="AA1033" i="8"/>
  <c r="AA1034" i="8"/>
  <c r="AA1035" i="8"/>
  <c r="AA1036" i="8"/>
  <c r="AA1037" i="8"/>
  <c r="AA1038" i="8"/>
  <c r="AA1039" i="8"/>
  <c r="AA1040" i="8"/>
  <c r="AA1041" i="8"/>
  <c r="AA1042" i="8"/>
  <c r="AA1043" i="8"/>
  <c r="AA1044" i="8"/>
  <c r="AA1045" i="8"/>
  <c r="AA1046" i="8"/>
  <c r="AA1047" i="8"/>
  <c r="AA1048" i="8"/>
  <c r="AA1049" i="8"/>
  <c r="AA1050" i="8"/>
  <c r="AA1051" i="8"/>
  <c r="AA1052" i="8"/>
  <c r="AA1053" i="8"/>
  <c r="AA1054" i="8"/>
  <c r="AA1055" i="8"/>
  <c r="AA1056" i="8"/>
  <c r="AA1057" i="8"/>
  <c r="AA1058" i="8"/>
  <c r="AA1059" i="8"/>
  <c r="AA1060" i="8"/>
  <c r="AA1061" i="8"/>
  <c r="AA1062" i="8"/>
  <c r="AA1063" i="8"/>
  <c r="AA1064" i="8"/>
  <c r="AA1065" i="8"/>
  <c r="AA1066" i="8"/>
  <c r="AA1067" i="8"/>
  <c r="AA1068" i="8"/>
  <c r="AA1069" i="8"/>
  <c r="AA1070" i="8"/>
  <c r="AA1071" i="8"/>
  <c r="AA1072" i="8"/>
  <c r="AA1073" i="8"/>
  <c r="AA1074" i="8"/>
  <c r="AA1075" i="8"/>
  <c r="AA1076" i="8"/>
  <c r="AA1077" i="8"/>
  <c r="AA1078" i="8"/>
  <c r="AA1079" i="8"/>
  <c r="AA1080" i="8"/>
  <c r="AA1081" i="8"/>
  <c r="AA1082" i="8"/>
  <c r="AA1083" i="8"/>
  <c r="AA1084" i="8"/>
  <c r="AA1085" i="8"/>
  <c r="AA1086" i="8"/>
  <c r="AA1087" i="8"/>
  <c r="AA1088" i="8"/>
  <c r="AA1089" i="8"/>
  <c r="AA1090" i="8"/>
  <c r="AA1091" i="8"/>
  <c r="AA1092" i="8"/>
  <c r="AA1093" i="8"/>
  <c r="AA1094" i="8"/>
  <c r="AA1095" i="8"/>
  <c r="AA1096" i="8"/>
  <c r="AA1097" i="8"/>
  <c r="AA1098" i="8"/>
  <c r="AA1099" i="8"/>
  <c r="AA1100" i="8"/>
  <c r="AA1101" i="8"/>
  <c r="AA1102" i="8"/>
  <c r="AA1103" i="8"/>
  <c r="AA1104" i="8"/>
  <c r="AA1105" i="8"/>
  <c r="AA1106" i="8"/>
  <c r="AA1107" i="8"/>
  <c r="AA1108" i="8"/>
  <c r="AA1109" i="8"/>
  <c r="AA1110" i="8"/>
  <c r="AA1111" i="8"/>
  <c r="AA1112" i="8"/>
  <c r="AA1113" i="8"/>
  <c r="AA1114" i="8"/>
  <c r="AA1115" i="8"/>
  <c r="AA1116" i="8"/>
  <c r="AA1117" i="8"/>
  <c r="AA1118" i="8"/>
  <c r="AA1119" i="8"/>
  <c r="AA1120" i="8"/>
  <c r="AA1121" i="8"/>
  <c r="AA1122" i="8"/>
  <c r="AA1123" i="8"/>
  <c r="AA1124" i="8"/>
  <c r="AA1125" i="8"/>
  <c r="AA1126" i="8"/>
  <c r="AA1127" i="8"/>
  <c r="AA1128" i="8"/>
  <c r="AA1129" i="8"/>
  <c r="AA1130" i="8"/>
  <c r="AA1131" i="8"/>
  <c r="AA1132" i="8"/>
  <c r="AA1133" i="8"/>
  <c r="AA1134" i="8"/>
  <c r="AA1135" i="8"/>
  <c r="AA1136" i="8"/>
  <c r="AA1137" i="8"/>
  <c r="AA1138" i="8"/>
  <c r="AA1139" i="8"/>
  <c r="AA1140" i="8"/>
  <c r="AA1141" i="8"/>
  <c r="AA1142" i="8"/>
  <c r="AA1143" i="8"/>
  <c r="AA1144" i="8"/>
  <c r="AA1145" i="8"/>
  <c r="AA1146" i="8"/>
  <c r="AA1147" i="8"/>
  <c r="AA1148" i="8"/>
  <c r="AA1149" i="8"/>
  <c r="AA1150" i="8"/>
  <c r="AA1151" i="8"/>
  <c r="AA1152" i="8"/>
  <c r="AA1153" i="8"/>
  <c r="AA1154" i="8"/>
  <c r="AA1155" i="8"/>
  <c r="AA1156" i="8"/>
  <c r="AA1157" i="8"/>
  <c r="AA1158" i="8"/>
  <c r="AA1159" i="8"/>
  <c r="AA1160" i="8"/>
  <c r="AA1161" i="8"/>
  <c r="AA1162" i="8"/>
  <c r="AA1163" i="8"/>
  <c r="AA1164" i="8"/>
  <c r="AA1165" i="8"/>
  <c r="AA1166" i="8"/>
  <c r="AA1167" i="8"/>
  <c r="AA1168" i="8"/>
  <c r="AA1169" i="8"/>
  <c r="AA1170" i="8"/>
  <c r="AA1171" i="8"/>
  <c r="AA1172" i="8"/>
  <c r="AA1173" i="8"/>
  <c r="AA1174" i="8"/>
  <c r="AA1175" i="8"/>
  <c r="AA1176" i="8"/>
  <c r="AA1177" i="8"/>
  <c r="AA1178" i="8"/>
  <c r="AA1179" i="8"/>
  <c r="AA1180" i="8"/>
  <c r="AA1181" i="8"/>
  <c r="AA1182" i="8"/>
  <c r="AA1183" i="8"/>
  <c r="AA1184" i="8"/>
  <c r="AA1185" i="8"/>
  <c r="AA1186" i="8"/>
  <c r="AA1187" i="8"/>
  <c r="AA1188" i="8"/>
  <c r="AA1189" i="8"/>
  <c r="AA1190" i="8"/>
  <c r="AA1191" i="8"/>
  <c r="AA1192" i="8"/>
  <c r="AA1193" i="8"/>
  <c r="AA1194" i="8"/>
  <c r="AA1195" i="8"/>
  <c r="AA1196" i="8"/>
  <c r="AA1197" i="8"/>
  <c r="AA1198" i="8"/>
  <c r="AA1199" i="8"/>
  <c r="AA1200" i="8"/>
  <c r="AA1201" i="8"/>
  <c r="AA1202" i="8"/>
  <c r="AA1203" i="8"/>
  <c r="AA1204" i="8"/>
  <c r="AA1205" i="8"/>
  <c r="AA1206" i="8"/>
  <c r="AA1207" i="8"/>
  <c r="AA1208" i="8"/>
  <c r="AA1209" i="8"/>
  <c r="AA1210" i="8"/>
  <c r="AA1211" i="8"/>
  <c r="AA1212" i="8"/>
  <c r="AA1213" i="8"/>
  <c r="AA1214" i="8"/>
  <c r="AA1215" i="8"/>
  <c r="AA1216" i="8"/>
  <c r="AA1217" i="8"/>
  <c r="AA1218" i="8"/>
  <c r="AA1219" i="8"/>
  <c r="AA1220" i="8"/>
  <c r="AA1221" i="8"/>
  <c r="AA1222" i="8"/>
  <c r="AA1223" i="8"/>
  <c r="AA1224" i="8"/>
  <c r="AA1225" i="8"/>
  <c r="AA1226" i="8"/>
  <c r="AA1227" i="8"/>
  <c r="AA1228" i="8"/>
  <c r="AA1229" i="8"/>
  <c r="AA1230" i="8"/>
  <c r="AA1231" i="8"/>
  <c r="AA1232" i="8"/>
  <c r="AA1233" i="8"/>
  <c r="AA1234" i="8"/>
  <c r="AA1235" i="8"/>
  <c r="AA1236" i="8"/>
  <c r="AA1237" i="8"/>
  <c r="AA1238" i="8"/>
  <c r="AA1239" i="8"/>
  <c r="AA1240" i="8"/>
  <c r="AA1241" i="8"/>
  <c r="AA1242" i="8"/>
  <c r="AA1243" i="8"/>
  <c r="AA1244" i="8"/>
  <c r="AA1245" i="8"/>
  <c r="AA1246" i="8"/>
  <c r="AA1247" i="8"/>
  <c r="AA1248" i="8"/>
  <c r="AA1249" i="8"/>
  <c r="AA1250" i="8"/>
  <c r="AA1251" i="8"/>
  <c r="AA1252" i="8"/>
  <c r="AA1253" i="8"/>
  <c r="AA1254" i="8"/>
  <c r="AA1255" i="8"/>
  <c r="AA1256" i="8"/>
  <c r="AA1257" i="8"/>
  <c r="AA1258" i="8"/>
  <c r="AA1259" i="8"/>
  <c r="AA1260" i="8"/>
  <c r="AA1261" i="8"/>
  <c r="AA1262" i="8"/>
  <c r="AA1263" i="8"/>
  <c r="AA1264" i="8"/>
  <c r="AA1265" i="8"/>
  <c r="AA1266" i="8"/>
  <c r="AA1267" i="8"/>
  <c r="AA1268" i="8"/>
  <c r="AA1269" i="8"/>
  <c r="AA1270" i="8"/>
  <c r="AA1271" i="8"/>
  <c r="AA1272" i="8"/>
  <c r="AA1273" i="8"/>
  <c r="AA1274" i="8"/>
  <c r="AA1275" i="8"/>
  <c r="AA1276" i="8"/>
  <c r="AA1277" i="8"/>
  <c r="AA1278" i="8"/>
  <c r="AA1279" i="8"/>
  <c r="AA1280" i="8"/>
  <c r="AA1281" i="8"/>
  <c r="AA1282" i="8"/>
  <c r="AA1283" i="8"/>
  <c r="AA1284" i="8"/>
  <c r="AA1285" i="8"/>
  <c r="AA1286" i="8"/>
  <c r="AA1287" i="8"/>
  <c r="AA1288" i="8"/>
  <c r="AA1289" i="8"/>
  <c r="AA1290" i="8"/>
  <c r="AA1291" i="8"/>
  <c r="AA1292" i="8"/>
  <c r="AA1293" i="8"/>
  <c r="AA1294" i="8"/>
  <c r="AA1295" i="8"/>
  <c r="AA1296" i="8"/>
  <c r="AA1297" i="8"/>
  <c r="AA1298" i="8"/>
  <c r="AA1299" i="8"/>
  <c r="AA1300" i="8"/>
  <c r="AA1301" i="8"/>
  <c r="AA1302" i="8"/>
  <c r="AA1303" i="8"/>
  <c r="AA1304" i="8"/>
  <c r="AA1305" i="8"/>
  <c r="AA1306" i="8"/>
  <c r="AA1307" i="8"/>
  <c r="AA1308" i="8"/>
  <c r="AA1309" i="8"/>
  <c r="AA1310" i="8"/>
  <c r="AA1311" i="8"/>
  <c r="AA1312" i="8"/>
  <c r="AA1313" i="8"/>
  <c r="AA1314" i="8"/>
  <c r="AA1315" i="8"/>
  <c r="AA1316" i="8"/>
  <c r="AA1317" i="8"/>
  <c r="AA1318" i="8"/>
  <c r="AA1319" i="8"/>
  <c r="AA1320" i="8"/>
  <c r="AA1321" i="8"/>
  <c r="AA1322" i="8"/>
  <c r="AA1323" i="8"/>
  <c r="AA1324" i="8"/>
  <c r="AA1325" i="8"/>
  <c r="AA1326" i="8"/>
  <c r="AA1327" i="8"/>
  <c r="AA1328" i="8"/>
  <c r="AA1329" i="8"/>
  <c r="AA1330" i="8"/>
  <c r="AA1331" i="8"/>
  <c r="AA1332" i="8"/>
  <c r="AA1333" i="8"/>
  <c r="AA1334" i="8"/>
  <c r="AA1335" i="8"/>
  <c r="AA1336" i="8"/>
  <c r="AA1337" i="8"/>
  <c r="AA1338" i="8"/>
  <c r="AA1339" i="8"/>
  <c r="AA1340" i="8"/>
  <c r="AA1341" i="8"/>
  <c r="AA1342" i="8"/>
  <c r="AA1343" i="8"/>
  <c r="AA1344" i="8"/>
  <c r="AA1345" i="8"/>
  <c r="AA1346" i="8"/>
  <c r="AA1347" i="8"/>
  <c r="AA1348" i="8"/>
  <c r="AA1349" i="8"/>
  <c r="AA1350" i="8"/>
  <c r="AA1351" i="8"/>
  <c r="AA1352" i="8"/>
  <c r="AA1353" i="8"/>
  <c r="AA1354" i="8"/>
  <c r="AA1355" i="8"/>
  <c r="AA1356" i="8"/>
  <c r="AA1357" i="8"/>
  <c r="AA1358" i="8"/>
  <c r="AA1359" i="8"/>
  <c r="AA1360" i="8"/>
  <c r="AA1361" i="8"/>
  <c r="AA1362" i="8"/>
  <c r="AA1363" i="8"/>
  <c r="AA1364" i="8"/>
  <c r="AA1365" i="8"/>
  <c r="AA1366" i="8"/>
  <c r="AA1367" i="8"/>
  <c r="AA1368" i="8"/>
  <c r="AA1369" i="8"/>
  <c r="AA1370" i="8"/>
  <c r="AA1371" i="8"/>
  <c r="AA1372" i="8"/>
  <c r="AA1373" i="8"/>
  <c r="AA1374" i="8"/>
  <c r="AA1375" i="8"/>
  <c r="AA1376" i="8"/>
  <c r="AA1377" i="8"/>
  <c r="AA1378" i="8"/>
  <c r="AA1379" i="8"/>
  <c r="AA1380" i="8"/>
  <c r="AA1381" i="8"/>
  <c r="AA1382" i="8"/>
  <c r="AA1383" i="8"/>
  <c r="AA1384" i="8"/>
  <c r="AA1385" i="8"/>
  <c r="AA1386" i="8"/>
  <c r="AA1387" i="8"/>
  <c r="AA1388" i="8"/>
  <c r="AA1389" i="8"/>
  <c r="AA1390" i="8"/>
  <c r="AA1391" i="8"/>
  <c r="AA1392" i="8"/>
  <c r="AA1393" i="8"/>
  <c r="AA1394" i="8"/>
  <c r="AA1395" i="8"/>
  <c r="AA1396" i="8"/>
  <c r="AA1397" i="8"/>
  <c r="AA1398" i="8"/>
  <c r="AA1399" i="8"/>
  <c r="AA1400" i="8"/>
  <c r="AA1401" i="8"/>
  <c r="AA1402" i="8"/>
  <c r="AA1403" i="8"/>
  <c r="AA1404" i="8"/>
  <c r="AA1405" i="8"/>
  <c r="AA1406" i="8"/>
  <c r="AA1407" i="8"/>
  <c r="AA1408" i="8"/>
  <c r="AA1409" i="8"/>
  <c r="AA1410" i="8"/>
  <c r="AA1411" i="8"/>
  <c r="AA1412" i="8"/>
  <c r="AA1413" i="8"/>
  <c r="AA1414" i="8"/>
  <c r="AA1415" i="8"/>
  <c r="AA1416" i="8"/>
  <c r="AA1417" i="8"/>
  <c r="AA1418" i="8"/>
  <c r="AA1419" i="8"/>
  <c r="AA1420" i="8"/>
  <c r="AA1421" i="8"/>
  <c r="AA1422" i="8"/>
  <c r="AA1423" i="8"/>
  <c r="AA1424" i="8"/>
  <c r="AA1425" i="8"/>
  <c r="AA1426" i="8"/>
  <c r="AA1427" i="8"/>
  <c r="AA1428" i="8"/>
  <c r="AA1429" i="8"/>
  <c r="AA1430" i="8"/>
  <c r="AA1431" i="8"/>
  <c r="AA1432" i="8"/>
  <c r="AA1433" i="8"/>
  <c r="AA1434" i="8"/>
  <c r="AA1435" i="8"/>
  <c r="AA1436" i="8"/>
  <c r="AA1437" i="8"/>
  <c r="AA1438" i="8"/>
  <c r="AA1439" i="8"/>
  <c r="AA1440" i="8"/>
  <c r="AA1441" i="8"/>
  <c r="AA1442" i="8"/>
  <c r="AA1443" i="8"/>
  <c r="AA1444" i="8"/>
  <c r="AA1445" i="8"/>
  <c r="AA1446" i="8"/>
  <c r="AA1447" i="8"/>
  <c r="AA1448" i="8"/>
  <c r="AA1449" i="8"/>
  <c r="AA1450" i="8"/>
  <c r="AA1451" i="8"/>
  <c r="AA1452" i="8"/>
  <c r="AA1453" i="8"/>
  <c r="AA1454" i="8"/>
  <c r="AA1455" i="8"/>
  <c r="AA1456" i="8"/>
  <c r="AA1457" i="8"/>
  <c r="AA1458" i="8"/>
  <c r="AA1459" i="8"/>
  <c r="AA1460" i="8"/>
  <c r="AA1461" i="8"/>
  <c r="AA1462" i="8"/>
  <c r="AA1463" i="8"/>
  <c r="AA1464" i="8"/>
  <c r="AA1465" i="8"/>
  <c r="AA1466" i="8"/>
  <c r="AA1467" i="8"/>
  <c r="AA1468" i="8"/>
  <c r="AA1469" i="8"/>
  <c r="AA1470" i="8"/>
  <c r="AA1471" i="8"/>
  <c r="AA1472" i="8"/>
  <c r="AA1473" i="8"/>
  <c r="AA1474" i="8"/>
  <c r="AA1475" i="8"/>
  <c r="AA1476" i="8"/>
  <c r="AA1477" i="8"/>
  <c r="AA1478" i="8"/>
  <c r="AA1479" i="8"/>
  <c r="AA1480" i="8"/>
  <c r="AA1481" i="8"/>
  <c r="AA1482" i="8"/>
  <c r="AA1483" i="8"/>
  <c r="AA1484" i="8"/>
  <c r="AA1485" i="8"/>
  <c r="AA1486" i="8"/>
  <c r="AA1487" i="8"/>
  <c r="AA1488" i="8"/>
  <c r="AA1489" i="8"/>
  <c r="AA1490" i="8"/>
  <c r="AA1491" i="8"/>
  <c r="AA1492" i="8"/>
  <c r="AA1493" i="8"/>
  <c r="AA1494" i="8"/>
  <c r="AA1495" i="8"/>
  <c r="AA1496" i="8"/>
  <c r="AA1497" i="8"/>
  <c r="AA1498" i="8"/>
  <c r="AA1499" i="8"/>
  <c r="AA1500" i="8"/>
  <c r="AA1501" i="8"/>
  <c r="AA1502" i="8"/>
  <c r="AA1503" i="8"/>
  <c r="AA1504" i="8"/>
  <c r="AA1505" i="8"/>
  <c r="AA1506" i="8"/>
  <c r="AA1507" i="8"/>
  <c r="AA1508" i="8"/>
  <c r="AA1509" i="8"/>
  <c r="AA1510" i="8"/>
  <c r="AA1511" i="8"/>
  <c r="AA1512" i="8"/>
  <c r="AA1513" i="8"/>
  <c r="AA1514" i="8"/>
  <c r="AA1515" i="8"/>
  <c r="AA1516" i="8"/>
  <c r="AA1517" i="8"/>
  <c r="AA1518" i="8"/>
  <c r="AA1519" i="8"/>
  <c r="AA1520" i="8"/>
  <c r="AA1521" i="8"/>
  <c r="AA1522" i="8"/>
  <c r="AA1523" i="8"/>
  <c r="AA1524" i="8"/>
  <c r="AA1525" i="8"/>
  <c r="AA1526" i="8"/>
  <c r="AA1527" i="8"/>
  <c r="AA1528" i="8"/>
  <c r="AA1529" i="8"/>
  <c r="AA1530" i="8"/>
  <c r="AA1531" i="8"/>
  <c r="AA1532" i="8"/>
  <c r="AA1533" i="8"/>
  <c r="AA1534" i="8"/>
  <c r="AA1535" i="8"/>
  <c r="AA1536" i="8"/>
  <c r="AA1537" i="8"/>
  <c r="AA1538" i="8"/>
  <c r="AA1539" i="8"/>
  <c r="AA1540" i="8"/>
  <c r="AA1541" i="8"/>
  <c r="AA1542" i="8"/>
  <c r="AA1543" i="8"/>
  <c r="AA1544" i="8"/>
  <c r="AA1545" i="8"/>
  <c r="AA1546" i="8"/>
  <c r="AA1547" i="8"/>
  <c r="AA1548" i="8"/>
  <c r="AA1549" i="8"/>
  <c r="AA1550" i="8"/>
  <c r="AA1551" i="8"/>
  <c r="AA1552" i="8"/>
  <c r="AA1553" i="8"/>
  <c r="AA1554" i="8"/>
  <c r="AA1555" i="8"/>
  <c r="AA1556" i="8"/>
  <c r="AA1557" i="8"/>
  <c r="AA1558" i="8"/>
  <c r="AA1559" i="8"/>
  <c r="AA1560" i="8"/>
  <c r="AA1561" i="8"/>
  <c r="AA1562" i="8"/>
  <c r="AA1563" i="8"/>
  <c r="AA1564" i="8"/>
  <c r="AA1565" i="8"/>
  <c r="AA1566" i="8"/>
  <c r="AA1567" i="8"/>
  <c r="AA1568" i="8"/>
  <c r="AA1569" i="8"/>
  <c r="AA1570" i="8"/>
  <c r="AA1571" i="8"/>
  <c r="AA1572" i="8"/>
  <c r="AA1573" i="8"/>
  <c r="AA1574" i="8"/>
  <c r="AA1575" i="8"/>
  <c r="AA1576" i="8"/>
  <c r="AA1577" i="8"/>
  <c r="AA1578" i="8"/>
  <c r="AA1579" i="8"/>
  <c r="AA1580" i="8"/>
  <c r="AA1581" i="8"/>
  <c r="AA1582" i="8"/>
  <c r="AA1583" i="8"/>
  <c r="AA1584" i="8"/>
  <c r="AA1585" i="8"/>
  <c r="AA1586" i="8"/>
  <c r="AA1587" i="8"/>
  <c r="AA1588" i="8"/>
  <c r="AA1589" i="8"/>
  <c r="AA1590" i="8"/>
  <c r="AA1591" i="8"/>
  <c r="AA1592" i="8"/>
  <c r="AA1593" i="8"/>
  <c r="AA1594" i="8"/>
  <c r="AA1595" i="8"/>
  <c r="AA1596" i="8"/>
  <c r="AA1597" i="8"/>
  <c r="AA1598" i="8"/>
  <c r="AA1599" i="8"/>
  <c r="AA1600" i="8"/>
  <c r="AA1601" i="8"/>
  <c r="AA1602" i="8"/>
  <c r="AA1603" i="8"/>
  <c r="AA1604" i="8"/>
  <c r="AA1605" i="8"/>
  <c r="AA1606" i="8"/>
  <c r="AA1607" i="8"/>
  <c r="AA1608" i="8"/>
  <c r="AA1609" i="8"/>
  <c r="AA1610" i="8"/>
  <c r="AA1611" i="8"/>
  <c r="AA1612" i="8"/>
  <c r="AA1613" i="8"/>
  <c r="AA1614" i="8"/>
  <c r="AA1615" i="8"/>
  <c r="AA1616" i="8"/>
  <c r="AA1617" i="8"/>
  <c r="AA1618" i="8"/>
  <c r="AA1619" i="8"/>
  <c r="AA1620" i="8"/>
  <c r="AA1621" i="8"/>
  <c r="AA1622" i="8"/>
  <c r="AA1623" i="8"/>
  <c r="AA1624" i="8"/>
  <c r="AA1625" i="8"/>
  <c r="AA1626" i="8"/>
  <c r="AA1627" i="8"/>
  <c r="AA1628" i="8"/>
  <c r="AA1629" i="8"/>
  <c r="AA1630" i="8"/>
  <c r="AA1631" i="8"/>
  <c r="AA1632" i="8"/>
  <c r="AA1633" i="8"/>
  <c r="AA1634" i="8"/>
  <c r="AA1635" i="8"/>
  <c r="AA1636" i="8"/>
  <c r="AA1637" i="8"/>
  <c r="AA1638" i="8"/>
  <c r="AA1639" i="8"/>
  <c r="AA1640" i="8"/>
  <c r="AA1641" i="8"/>
  <c r="AA1642" i="8"/>
  <c r="AA1643" i="8"/>
  <c r="AA1644" i="8"/>
  <c r="AA1645" i="8"/>
  <c r="AA1646" i="8"/>
  <c r="AA1647" i="8"/>
  <c r="AA1648" i="8"/>
  <c r="AA1649" i="8"/>
  <c r="AA1650" i="8"/>
  <c r="AA1651" i="8"/>
  <c r="AA1652" i="8"/>
  <c r="AA1653" i="8"/>
  <c r="AA1654" i="8"/>
  <c r="AA1655" i="8"/>
  <c r="AA1656" i="8"/>
  <c r="AA1657" i="8"/>
  <c r="AA1658" i="8"/>
  <c r="AA1659" i="8"/>
  <c r="AA1660" i="8"/>
  <c r="AA1661" i="8"/>
  <c r="AA1662" i="8"/>
  <c r="AA1663" i="8"/>
  <c r="AA1664" i="8"/>
  <c r="AA1665" i="8"/>
  <c r="AA1666" i="8"/>
  <c r="AA1667" i="8"/>
  <c r="AA1668" i="8"/>
  <c r="AA1669" i="8"/>
  <c r="AA1670" i="8"/>
  <c r="AA1671" i="8"/>
  <c r="AA1672" i="8"/>
  <c r="AA1673" i="8"/>
  <c r="AA1674" i="8"/>
  <c r="AA1675" i="8"/>
  <c r="AA1676" i="8"/>
  <c r="AA1677" i="8"/>
  <c r="AA1678" i="8"/>
  <c r="AA1679" i="8"/>
  <c r="AA1680" i="8"/>
  <c r="AA1681" i="8"/>
  <c r="AA1682" i="8"/>
  <c r="AA1683" i="8"/>
  <c r="AA1684" i="8"/>
  <c r="AA1685" i="8"/>
  <c r="AA1686" i="8"/>
  <c r="AA1687" i="8"/>
  <c r="AA1688" i="8"/>
  <c r="AA1689" i="8"/>
  <c r="AA1690" i="8"/>
  <c r="AA1691" i="8"/>
  <c r="AA1692" i="8"/>
  <c r="AA1693" i="8"/>
  <c r="AA1694" i="8"/>
  <c r="AA1695" i="8"/>
  <c r="AA1696" i="8"/>
  <c r="AA1697" i="8"/>
  <c r="AA1698" i="8"/>
  <c r="AA1699" i="8"/>
  <c r="AA1700" i="8"/>
  <c r="AA1701" i="8"/>
  <c r="AA1702" i="8"/>
  <c r="AA1703" i="8"/>
  <c r="AA1704" i="8"/>
  <c r="AA1705" i="8"/>
  <c r="AA1706" i="8"/>
  <c r="AA1707" i="8"/>
  <c r="AA1708" i="8"/>
  <c r="AA1709" i="8"/>
  <c r="AA1710" i="8"/>
  <c r="AA1711" i="8"/>
  <c r="AA1712" i="8"/>
  <c r="AA1713" i="8"/>
  <c r="AA1714" i="8"/>
  <c r="AA1715" i="8"/>
  <c r="AA1716" i="8"/>
  <c r="AA1717" i="8"/>
  <c r="AA1718" i="8"/>
  <c r="AA1719" i="8"/>
  <c r="AA1720" i="8"/>
  <c r="AA1721" i="8"/>
  <c r="AA1722" i="8"/>
  <c r="AA1723" i="8"/>
  <c r="AA1724" i="8"/>
  <c r="AA1725" i="8"/>
  <c r="AA1726" i="8"/>
  <c r="AA1727" i="8"/>
  <c r="AA1728" i="8"/>
  <c r="AA1729" i="8"/>
  <c r="AA1730" i="8"/>
  <c r="AA1731" i="8"/>
  <c r="AA1732" i="8"/>
  <c r="AA1733" i="8"/>
  <c r="AA1734" i="8"/>
  <c r="AA1735" i="8"/>
  <c r="AA1736" i="8"/>
  <c r="AA1737" i="8"/>
  <c r="AA1738" i="8"/>
  <c r="AA1739" i="8"/>
  <c r="AA1740" i="8"/>
  <c r="AA1741" i="8"/>
  <c r="AA1742" i="8"/>
  <c r="AA1743" i="8"/>
  <c r="AA1744" i="8"/>
  <c r="AA1745" i="8"/>
  <c r="AA1746" i="8"/>
  <c r="AA1747" i="8"/>
  <c r="AA1748" i="8"/>
  <c r="AA1749" i="8"/>
  <c r="AA1750" i="8"/>
  <c r="AA1751" i="8"/>
  <c r="AA1752" i="8"/>
  <c r="AA1753" i="8"/>
  <c r="AA1754" i="8"/>
  <c r="AA1755" i="8"/>
  <c r="AA1756" i="8"/>
  <c r="AA1757" i="8"/>
  <c r="AA1758" i="8"/>
  <c r="AA1759" i="8"/>
  <c r="AA1760" i="8"/>
  <c r="AA1761" i="8"/>
  <c r="AA1762" i="8"/>
  <c r="AA1763" i="8"/>
  <c r="AA1764" i="8"/>
  <c r="AA1765" i="8"/>
  <c r="AA1766" i="8"/>
  <c r="AA1767" i="8"/>
  <c r="AA1768" i="8"/>
  <c r="AA1769" i="8"/>
  <c r="AA1770" i="8"/>
  <c r="AA1771" i="8"/>
  <c r="AA1772" i="8"/>
  <c r="AA1773" i="8"/>
  <c r="AA1774" i="8"/>
  <c r="AA1775" i="8"/>
  <c r="AA1776" i="8"/>
  <c r="AA1777" i="8"/>
  <c r="AA1778" i="8"/>
  <c r="AA1779" i="8"/>
  <c r="AA1780" i="8"/>
  <c r="AA1781" i="8"/>
  <c r="AA1782" i="8"/>
  <c r="AA1783" i="8"/>
  <c r="AA1784" i="8"/>
  <c r="AA1785" i="8"/>
  <c r="AA1786" i="8"/>
  <c r="AA1787" i="8"/>
  <c r="AA1788" i="8"/>
  <c r="AA1789" i="8"/>
  <c r="AA1790" i="8"/>
  <c r="AA1791" i="8"/>
  <c r="AA1792" i="8"/>
  <c r="AA1793" i="8"/>
  <c r="AA1794" i="8"/>
  <c r="AA1795" i="8"/>
  <c r="AA1796" i="8"/>
  <c r="AA1797" i="8"/>
  <c r="AA1798" i="8"/>
  <c r="AA1799" i="8"/>
  <c r="AA1800" i="8"/>
  <c r="AA1801" i="8"/>
  <c r="AA1802" i="8"/>
  <c r="AA1803" i="8"/>
  <c r="AA1804" i="8"/>
  <c r="AA1805" i="8"/>
  <c r="AA1806" i="8"/>
  <c r="AA1807" i="8"/>
  <c r="AA1808" i="8"/>
  <c r="AA1809" i="8"/>
  <c r="AA1810" i="8"/>
  <c r="AA1811" i="8"/>
  <c r="AA1812" i="8"/>
  <c r="AA1813" i="8"/>
  <c r="AA1814" i="8"/>
  <c r="AA1815" i="8"/>
  <c r="AA1816" i="8"/>
  <c r="AA1817" i="8"/>
  <c r="AA1818" i="8"/>
  <c r="AA1819" i="8"/>
  <c r="AA1820" i="8"/>
  <c r="AA1821" i="8"/>
  <c r="AA1822" i="8"/>
  <c r="AA1823" i="8"/>
  <c r="AA1824" i="8"/>
  <c r="AA1825" i="8"/>
  <c r="AA1826" i="8"/>
  <c r="AA1827" i="8"/>
  <c r="AA1828" i="8"/>
  <c r="AA1829" i="8"/>
  <c r="AA1830" i="8"/>
  <c r="AA1831" i="8"/>
  <c r="AA1832" i="8"/>
  <c r="AA1833" i="8"/>
  <c r="AA1834" i="8"/>
  <c r="AA1835" i="8"/>
  <c r="AA1836" i="8"/>
  <c r="AA1837" i="8"/>
  <c r="AA1838" i="8"/>
  <c r="AA1839" i="8"/>
  <c r="AA1840" i="8"/>
  <c r="AA1841" i="8"/>
  <c r="AA1842" i="8"/>
  <c r="AA1843" i="8"/>
  <c r="AA1844" i="8"/>
  <c r="AA1845" i="8"/>
  <c r="AA1846" i="8"/>
  <c r="AA1847" i="8"/>
  <c r="AA1848" i="8"/>
  <c r="AA1849" i="8"/>
  <c r="AA1850" i="8"/>
  <c r="AA1851" i="8"/>
  <c r="AA1852" i="8"/>
  <c r="AA1853" i="8"/>
  <c r="AA1854" i="8"/>
  <c r="AA1855" i="8"/>
  <c r="AA1856" i="8"/>
  <c r="AA1857" i="8"/>
  <c r="AA1858" i="8"/>
  <c r="AA1859" i="8"/>
  <c r="AA1860" i="8"/>
  <c r="AA1861" i="8"/>
  <c r="AA1862" i="8"/>
  <c r="AA1863" i="8"/>
  <c r="AA1864" i="8"/>
  <c r="AA1865" i="8"/>
  <c r="AA1866" i="8"/>
  <c r="AA1867" i="8"/>
  <c r="AA1868" i="8"/>
  <c r="AA1869" i="8"/>
  <c r="AA1870" i="8"/>
  <c r="AA1871" i="8"/>
  <c r="AA1872" i="8"/>
  <c r="AA1873" i="8"/>
  <c r="AA1874" i="8"/>
  <c r="AA1875" i="8"/>
  <c r="AA1876" i="8"/>
  <c r="AA1877" i="8"/>
  <c r="AA1878" i="8"/>
  <c r="AA1879" i="8"/>
  <c r="AA1880" i="8"/>
  <c r="AA1881" i="8"/>
  <c r="AA1882" i="8"/>
  <c r="AA1883" i="8"/>
  <c r="AA1884" i="8"/>
  <c r="AA1885" i="8"/>
  <c r="AA1886" i="8"/>
  <c r="AA1887" i="8"/>
  <c r="AA1888" i="8"/>
  <c r="AA1889" i="8"/>
  <c r="AA1890" i="8"/>
  <c r="AA1891" i="8"/>
  <c r="AA1892" i="8"/>
  <c r="AA1893" i="8"/>
  <c r="AA1894" i="8"/>
  <c r="AA1895" i="8"/>
  <c r="AA1896" i="8"/>
  <c r="AA1897" i="8"/>
  <c r="AA1898" i="8"/>
  <c r="AA1899" i="8"/>
  <c r="AA1900" i="8"/>
  <c r="AA1901" i="8"/>
  <c r="AA1902" i="8"/>
  <c r="AA1903" i="8"/>
  <c r="AA1904" i="8"/>
  <c r="AA1905" i="8"/>
  <c r="AA1906" i="8"/>
  <c r="AA1907" i="8"/>
  <c r="AA1908" i="8"/>
  <c r="AA1909" i="8"/>
  <c r="AA1910" i="8"/>
  <c r="AA1911" i="8"/>
  <c r="AA1912" i="8"/>
  <c r="AA1913" i="8"/>
  <c r="AA1914" i="8"/>
  <c r="AA1915" i="8"/>
  <c r="AA1916" i="8"/>
  <c r="AA1917" i="8"/>
  <c r="AA1918" i="8"/>
  <c r="AA1919" i="8"/>
  <c r="AA1920" i="8"/>
  <c r="AA1921" i="8"/>
  <c r="AA1922" i="8"/>
  <c r="AA1923" i="8"/>
  <c r="AA1924" i="8"/>
  <c r="AA1925" i="8"/>
  <c r="AA1926" i="8"/>
  <c r="AA1927" i="8"/>
  <c r="AA1928" i="8"/>
  <c r="AA1929" i="8"/>
  <c r="AA1930" i="8"/>
  <c r="AA1931" i="8"/>
  <c r="AA1932" i="8"/>
  <c r="AA1933" i="8"/>
  <c r="AA1934" i="8"/>
  <c r="AA1935" i="8"/>
  <c r="AA1936" i="8"/>
  <c r="AA1937" i="8"/>
  <c r="AA1938" i="8"/>
  <c r="AA1939" i="8"/>
  <c r="AA1940" i="8"/>
  <c r="AA1941" i="8"/>
  <c r="AA1942" i="8"/>
  <c r="AA1943" i="8"/>
  <c r="AA1944" i="8"/>
  <c r="AA1945" i="8"/>
  <c r="AA1946" i="8"/>
  <c r="AA1947" i="8"/>
  <c r="AA1948" i="8"/>
  <c r="AA1949" i="8"/>
  <c r="AA1950" i="8"/>
  <c r="AA1951" i="8"/>
  <c r="AA1952" i="8"/>
  <c r="AA1953" i="8"/>
  <c r="AA1954" i="8"/>
  <c r="AA1955" i="8"/>
  <c r="AA1956" i="8"/>
  <c r="AA1957" i="8"/>
  <c r="AA1958" i="8"/>
  <c r="AA1959" i="8"/>
  <c r="AA1960" i="8"/>
  <c r="AA1961" i="8"/>
  <c r="AA1962" i="8"/>
  <c r="AA1963" i="8"/>
  <c r="AA1964" i="8"/>
  <c r="AA1965" i="8"/>
  <c r="AA1966" i="8"/>
  <c r="AA1967" i="8"/>
  <c r="AA1968" i="8"/>
  <c r="AA1969" i="8"/>
  <c r="AA1970" i="8"/>
  <c r="AA1971" i="8"/>
  <c r="AA1972" i="8"/>
  <c r="AA1973" i="8"/>
  <c r="AA1974" i="8"/>
  <c r="AA1975" i="8"/>
  <c r="AA1976" i="8"/>
  <c r="AA1977" i="8"/>
  <c r="AA1978" i="8"/>
  <c r="AA1979" i="8"/>
  <c r="AA1980" i="8"/>
  <c r="AA1981" i="8"/>
  <c r="AA1982" i="8"/>
  <c r="AA1983" i="8"/>
  <c r="AA1984" i="8"/>
  <c r="AA1985" i="8"/>
  <c r="AA1986" i="8"/>
  <c r="AA1987" i="8"/>
  <c r="AA1988" i="8"/>
  <c r="AA1989" i="8"/>
  <c r="AA1990" i="8"/>
  <c r="AA1991" i="8"/>
  <c r="AA1992" i="8"/>
  <c r="AA1993" i="8"/>
  <c r="AA1994" i="8"/>
  <c r="AA1995" i="8"/>
  <c r="AA1996" i="8"/>
  <c r="AA1997" i="8"/>
  <c r="AA1998" i="8"/>
  <c r="AA1999" i="8"/>
  <c r="AA2000" i="8"/>
  <c r="AA2001" i="8"/>
  <c r="AA2002" i="8"/>
  <c r="AA2003" i="8"/>
  <c r="AA2004" i="8"/>
  <c r="AA2005" i="8"/>
  <c r="AA2006" i="8"/>
  <c r="AA2007" i="8"/>
  <c r="AA2008" i="8"/>
  <c r="AA2009" i="8"/>
  <c r="AA2010" i="8"/>
  <c r="AA2011" i="8"/>
  <c r="AA2012" i="8"/>
  <c r="AA2013" i="8"/>
  <c r="AA2014" i="8"/>
  <c r="AA2015" i="8"/>
  <c r="AA2016" i="8"/>
  <c r="AA2017" i="8"/>
  <c r="AA2018" i="8"/>
  <c r="AA2019" i="8"/>
  <c r="AA2020" i="8"/>
  <c r="AA2021" i="8"/>
  <c r="AA2022" i="8"/>
  <c r="AA2023" i="8"/>
  <c r="AA2024" i="8"/>
  <c r="AA2025" i="8"/>
  <c r="AA2026" i="8"/>
  <c r="AA2027" i="8"/>
  <c r="AA2028" i="8"/>
  <c r="AA2029" i="8"/>
  <c r="AA2030" i="8"/>
  <c r="AA2031" i="8"/>
  <c r="AA2032" i="8"/>
  <c r="AA2033" i="8"/>
  <c r="AA2034" i="8"/>
  <c r="AA2035" i="8"/>
  <c r="AA2036" i="8"/>
  <c r="AA2037" i="8"/>
  <c r="AA2038" i="8"/>
  <c r="AA2039" i="8"/>
  <c r="AA2040" i="8"/>
  <c r="AA2041" i="8"/>
  <c r="AA2042" i="8"/>
  <c r="AA2043" i="8"/>
  <c r="AA2044" i="8"/>
  <c r="AA2045" i="8"/>
  <c r="AA2046" i="8"/>
  <c r="AA2047" i="8"/>
  <c r="AA2048" i="8"/>
  <c r="AA2049" i="8"/>
  <c r="AA2050" i="8"/>
  <c r="AA2051" i="8"/>
  <c r="AA2052" i="8"/>
  <c r="AA2053" i="8"/>
  <c r="AA2054" i="8"/>
  <c r="AA2055" i="8"/>
  <c r="AA2056" i="8"/>
  <c r="AA2057" i="8"/>
  <c r="AA2058" i="8"/>
  <c r="AA2059" i="8"/>
  <c r="AA2060" i="8"/>
  <c r="AA2061" i="8"/>
  <c r="AA2062" i="8"/>
  <c r="AA2063" i="8"/>
  <c r="AA2064" i="8"/>
  <c r="AA2065" i="8"/>
  <c r="AA2066" i="8"/>
  <c r="AA2067" i="8"/>
  <c r="AA2068" i="8"/>
  <c r="AA2069" i="8"/>
  <c r="AA2070" i="8"/>
  <c r="AA2071" i="8"/>
  <c r="AA2072" i="8"/>
  <c r="AA2073" i="8"/>
  <c r="AA2074" i="8"/>
  <c r="AA2075" i="8"/>
  <c r="AA2076" i="8"/>
  <c r="AA2077" i="8"/>
  <c r="AA2078" i="8"/>
  <c r="AA2079" i="8"/>
  <c r="AA2080" i="8"/>
  <c r="AA2081" i="8"/>
  <c r="AA2082" i="8"/>
  <c r="AA2083" i="8"/>
  <c r="AA2084" i="8"/>
  <c r="AA2085" i="8"/>
  <c r="AA2086" i="8"/>
  <c r="AA2087" i="8"/>
  <c r="AA2088" i="8"/>
  <c r="AA2089" i="8"/>
  <c r="AA2090" i="8"/>
  <c r="AA2091" i="8"/>
  <c r="AA2092" i="8"/>
  <c r="AA2093" i="8"/>
  <c r="AA2094" i="8"/>
  <c r="AA2095" i="8"/>
  <c r="AA2096" i="8"/>
  <c r="AA2097" i="8"/>
  <c r="AA2098" i="8"/>
  <c r="AA2099" i="8"/>
  <c r="AA2100" i="8"/>
  <c r="AA2101" i="8"/>
  <c r="AA2102" i="8"/>
  <c r="AA2103" i="8"/>
  <c r="AA2104" i="8"/>
  <c r="AA2105" i="8"/>
  <c r="AA2106" i="8"/>
  <c r="AA2107" i="8"/>
  <c r="AA2108" i="8"/>
  <c r="AA2109" i="8"/>
  <c r="AA2110" i="8"/>
  <c r="AA2111" i="8"/>
  <c r="AA2112" i="8"/>
  <c r="AA2113" i="8"/>
  <c r="AA2114" i="8"/>
  <c r="AA2115" i="8"/>
  <c r="AA2116" i="8"/>
  <c r="AA2117" i="8"/>
  <c r="AA2118" i="8"/>
  <c r="AA2119" i="8"/>
  <c r="AA2120" i="8"/>
  <c r="AA2121" i="8"/>
  <c r="AA2122" i="8"/>
  <c r="AA2123" i="8"/>
  <c r="AA2124" i="8"/>
  <c r="AA2125" i="8"/>
  <c r="AA2126" i="8"/>
  <c r="AA2127" i="8"/>
  <c r="AA2128" i="8"/>
  <c r="AA2129" i="8"/>
  <c r="AA2130" i="8"/>
  <c r="AA2131" i="8"/>
  <c r="AA2132" i="8"/>
  <c r="AA2133" i="8"/>
  <c r="AA2134" i="8"/>
  <c r="AA2135" i="8"/>
  <c r="AA2136" i="8"/>
  <c r="AA2137" i="8"/>
  <c r="AA2138" i="8"/>
  <c r="AA2139" i="8"/>
  <c r="AA2140" i="8"/>
  <c r="AA2141" i="8"/>
  <c r="AA2142" i="8"/>
  <c r="AA2143" i="8"/>
  <c r="AA2144" i="8"/>
  <c r="AA2145" i="8"/>
  <c r="AA2146" i="8"/>
  <c r="AA2147" i="8"/>
  <c r="AA2148" i="8"/>
  <c r="AA2149" i="8"/>
  <c r="AA2150" i="8"/>
  <c r="AA2151" i="8"/>
  <c r="AA2152" i="8"/>
  <c r="AA2153" i="8"/>
  <c r="AA2154" i="8"/>
  <c r="AA2155" i="8"/>
  <c r="AA2156" i="8"/>
  <c r="AA2157" i="8"/>
  <c r="AA2158" i="8"/>
  <c r="AA2159" i="8"/>
  <c r="AA2160" i="8"/>
  <c r="AA2161" i="8"/>
  <c r="AA2162" i="8"/>
  <c r="AA2163" i="8"/>
  <c r="AA2164" i="8"/>
  <c r="AA2165" i="8"/>
  <c r="AA2166" i="8"/>
  <c r="AA2167" i="8"/>
  <c r="AA2168" i="8"/>
  <c r="AA2169" i="8"/>
  <c r="AA2170" i="8"/>
  <c r="AA2171" i="8"/>
  <c r="AA2172" i="8"/>
  <c r="AA2173" i="8"/>
  <c r="AA2174" i="8"/>
  <c r="AA2175" i="8"/>
  <c r="AA2176" i="8"/>
  <c r="AA2177" i="8"/>
  <c r="AA2178" i="8"/>
  <c r="AA2179" i="8"/>
  <c r="AA2180" i="8"/>
  <c r="AA2181" i="8"/>
  <c r="AA2182" i="8"/>
  <c r="AA2183" i="8"/>
  <c r="AA2184" i="8"/>
  <c r="AA2185" i="8"/>
  <c r="AA2186" i="8"/>
  <c r="AA2187" i="8"/>
  <c r="AA2188" i="8"/>
  <c r="AA2189" i="8"/>
  <c r="AA2190" i="8"/>
  <c r="AA2191" i="8"/>
  <c r="AA2192" i="8"/>
  <c r="AA2193" i="8"/>
  <c r="AA2194" i="8"/>
  <c r="AA2195" i="8"/>
  <c r="AA2196" i="8"/>
  <c r="AA2197" i="8"/>
  <c r="AA2198" i="8"/>
  <c r="AA2199" i="8"/>
  <c r="AA2200" i="8"/>
  <c r="AA2201" i="8"/>
  <c r="AA2202" i="8"/>
  <c r="AA2203" i="8"/>
  <c r="AA2204" i="8"/>
  <c r="AA2205" i="8"/>
  <c r="AA2206" i="8"/>
  <c r="AA2207" i="8"/>
  <c r="AA2208" i="8"/>
  <c r="AA2209" i="8"/>
  <c r="AA2210" i="8"/>
  <c r="AA2211" i="8"/>
  <c r="AA2212" i="8"/>
  <c r="AA2213" i="8"/>
  <c r="AA2214" i="8"/>
  <c r="AA2215" i="8"/>
  <c r="AA2216" i="8"/>
  <c r="AA2217" i="8"/>
  <c r="AA2218" i="8"/>
  <c r="AA2219" i="8"/>
  <c r="AA2220" i="8"/>
  <c r="AA2221" i="8"/>
  <c r="AA2222" i="8"/>
  <c r="AA2223" i="8"/>
  <c r="AA2224" i="8"/>
  <c r="AA2225" i="8"/>
  <c r="AA2226" i="8"/>
  <c r="AA2227" i="8"/>
  <c r="AA2228" i="8"/>
  <c r="AA2229" i="8"/>
  <c r="AA2230" i="8"/>
  <c r="AA2231" i="8"/>
  <c r="AA2232" i="8"/>
  <c r="AA2233" i="8"/>
  <c r="AA2234" i="8"/>
  <c r="AA2235" i="8"/>
  <c r="AA2236" i="8"/>
  <c r="AA2237" i="8"/>
  <c r="AA2238" i="8"/>
  <c r="AA2239" i="8"/>
  <c r="AA2240" i="8"/>
  <c r="AA2241" i="8"/>
  <c r="AA2242" i="8"/>
  <c r="AA2243" i="8"/>
  <c r="AA2244" i="8"/>
  <c r="AA11" i="8"/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3" i="3"/>
  <c r="D70" i="3"/>
  <c r="C70" i="3"/>
  <c r="B70" i="3"/>
  <c r="E70" i="3"/>
  <c r="H3" i="4"/>
  <c r="B4" i="4" s="1"/>
  <c r="F4" i="3"/>
  <c r="E3" i="2"/>
  <c r="C4" i="2" l="1"/>
  <c r="B4" i="2"/>
  <c r="D4" i="2"/>
  <c r="A4" i="2"/>
  <c r="G4" i="4"/>
  <c r="C4" i="4"/>
  <c r="A4" i="4"/>
  <c r="F4" i="4"/>
  <c r="E4" i="4"/>
  <c r="D4" i="4"/>
  <c r="O12" i="5" l="1"/>
  <c r="O13" i="5"/>
  <c r="O11" i="5"/>
  <c r="O14" i="5" l="1"/>
  <c r="L13" i="5" s="1"/>
  <c r="O7" i="5"/>
  <c r="O8" i="5"/>
  <c r="O10" i="5"/>
  <c r="O9" i="5"/>
  <c r="O6" i="5"/>
  <c r="O5" i="5"/>
  <c r="L3" i="5"/>
  <c r="O15" i="5"/>
  <c r="O17" i="5"/>
  <c r="L11" i="5"/>
  <c r="L9" i="5" l="1"/>
  <c r="L7" i="5"/>
  <c r="L5" i="5"/>
  <c r="L15" i="5"/>
  <c r="L4" i="5" l="1"/>
  <c r="N11" i="5" s="1"/>
  <c r="N9" i="5" l="1"/>
  <c r="L2" i="5"/>
  <c r="N3" i="5" s="1"/>
  <c r="N5" i="5"/>
  <c r="N7" i="5"/>
  <c r="N13" i="5"/>
  <c r="N15" i="5"/>
  <c r="N4" i="5" l="1"/>
</calcChain>
</file>

<file path=xl/sharedStrings.xml><?xml version="1.0" encoding="utf-8"?>
<sst xmlns="http://schemas.openxmlformats.org/spreadsheetml/2006/main" count="4752" uniqueCount="864">
  <si>
    <t>Dia:</t>
  </si>
  <si>
    <t>Processo:</t>
  </si>
  <si>
    <t>Setor responsável:</t>
  </si>
  <si>
    <t>Técnico:</t>
  </si>
  <si>
    <t>Laboratório:</t>
  </si>
  <si>
    <t>Controle de atrasos:</t>
  </si>
  <si>
    <t>REP:</t>
  </si>
  <si>
    <t>Total de atrasos:</t>
  </si>
  <si>
    <t>Cabos:</t>
  </si>
  <si>
    <t>Diversos:</t>
  </si>
  <si>
    <t>Químico:</t>
  </si>
  <si>
    <t>Fogo:</t>
  </si>
  <si>
    <t>Plugues:</t>
  </si>
  <si>
    <t>Eletrodoméstico:</t>
  </si>
  <si>
    <t>Laboratórios</t>
  </si>
  <si>
    <t>Controle de envios:</t>
  </si>
  <si>
    <t>TÉCNICOS:</t>
  </si>
  <si>
    <t>COMERCIAL:</t>
  </si>
  <si>
    <t>CLIENTES:</t>
  </si>
  <si>
    <t>BRUNA:</t>
  </si>
  <si>
    <t>ELIAS:</t>
  </si>
  <si>
    <t>MARCEL:</t>
  </si>
  <si>
    <t>Controle de erros:</t>
  </si>
  <si>
    <t>CABOS:</t>
  </si>
  <si>
    <t>DIVERSOS:</t>
  </si>
  <si>
    <t>QUÍMICO:</t>
  </si>
  <si>
    <t>PLUGUES:</t>
  </si>
  <si>
    <t>FOGO:</t>
  </si>
  <si>
    <t>ELETRODOMÉSTICO:</t>
  </si>
  <si>
    <t>---</t>
  </si>
  <si>
    <t>Envios:</t>
  </si>
  <si>
    <t>Revisões:</t>
  </si>
  <si>
    <t>Total:</t>
  </si>
  <si>
    <t>Não enviado (x):</t>
  </si>
  <si>
    <t>Procentagem:</t>
  </si>
  <si>
    <t>*</t>
  </si>
  <si>
    <t>**</t>
  </si>
  <si>
    <r>
      <rPr>
        <b/>
        <sz val="11"/>
        <color theme="1"/>
        <rFont val="Arial"/>
        <family val="2"/>
      </rPr>
      <t>* Nota:</t>
    </r>
    <r>
      <rPr>
        <sz val="11"/>
        <color theme="1"/>
        <rFont val="Arial"/>
        <family val="2"/>
      </rPr>
      <t xml:space="preserve"> Em relação ao total;</t>
    </r>
  </si>
  <si>
    <r>
      <rPr>
        <b/>
        <sz val="11"/>
        <color theme="1"/>
        <rFont val="Arial"/>
        <family val="2"/>
      </rPr>
      <t>** Nota:</t>
    </r>
    <r>
      <rPr>
        <sz val="11"/>
        <color theme="1"/>
        <rFont val="Arial"/>
        <family val="2"/>
      </rPr>
      <t xml:space="preserve"> Em relação ao Técnico.</t>
    </r>
  </si>
  <si>
    <t>Controle de revisões:</t>
  </si>
  <si>
    <t>X</t>
  </si>
  <si>
    <t>Setor: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</si>
  <si>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</si>
  <si>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</si>
  <si>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</si>
  <si>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</si>
  <si>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</si>
  <si>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</si>
  <si>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</si>
  <si>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</si>
  <si>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</si>
  <si>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</si>
  <si>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</si>
  <si>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</si>
  <si>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REP</t>
  </si>
  <si>
    <t>Técnico</t>
  </si>
  <si>
    <t>Total de revisões (2023)</t>
  </si>
  <si>
    <t>Comercial</t>
  </si>
  <si>
    <t>Cliente</t>
  </si>
  <si>
    <t>Total de envios (2023)</t>
  </si>
  <si>
    <t>Bruna</t>
  </si>
  <si>
    <t>Elias</t>
  </si>
  <si>
    <t>Marcel</t>
  </si>
  <si>
    <t>Total de erros (2023)</t>
  </si>
  <si>
    <t>Somatória dos setores</t>
  </si>
  <si>
    <t>x</t>
  </si>
  <si>
    <t>Vitoria:</t>
  </si>
  <si>
    <t>Vitoria</t>
  </si>
  <si>
    <t>VITORIA:</t>
  </si>
  <si>
    <t>Atrasou a O.S:</t>
  </si>
  <si>
    <t>Atrasou o REP:</t>
  </si>
  <si>
    <t>Encontrado</t>
  </si>
  <si>
    <t>Palavra chave</t>
  </si>
  <si>
    <t>Laboratório</t>
  </si>
  <si>
    <t>#ToleranciaAtrasoRep:</t>
  </si>
  <si>
    <t>dias</t>
  </si>
  <si>
    <t>Setor responsável</t>
  </si>
  <si>
    <t>#Diretorio</t>
  </si>
  <si>
    <t>#NomeArquivo</t>
  </si>
  <si>
    <t>relordemservicogeral</t>
  </si>
  <si>
    <t>C:\Users\felip\Desktop\nav</t>
  </si>
  <si>
    <t>RELATÓRIO COMERCIAL POR PRAZO RELATÓRIO REP de 01-06-2023 á 30-06-2023</t>
  </si>
  <si>
    <t>Ordem Serviço</t>
  </si>
  <si>
    <t>Empresa</t>
  </si>
  <si>
    <t>Produto</t>
  </si>
  <si>
    <t>Qtd Amostra</t>
  </si>
  <si>
    <t>AUTOR</t>
  </si>
  <si>
    <t>LAUDO</t>
  </si>
  <si>
    <t>RECEBEDOR</t>
  </si>
  <si>
    <t>DTIniOS</t>
  </si>
  <si>
    <t>Prev OS</t>
  </si>
  <si>
    <t>Prazo Rel</t>
  </si>
  <si>
    <t>Ens Conc</t>
  </si>
  <si>
    <t>Rel Env</t>
  </si>
  <si>
    <t>2207138-1/003</t>
  </si>
  <si>
    <t>ITAC / RIMAFLEX</t>
  </si>
  <si>
    <t>Tomada Fixa Múltipla para Apa</t>
  </si>
  <si>
    <t xml:space="preserve"> 15 UNIDADES</t>
  </si>
  <si>
    <t>LUANA</t>
  </si>
  <si>
    <t>A</t>
  </si>
  <si>
    <t>MARIA ELISA</t>
  </si>
  <si>
    <t>2208003-2/001</t>
  </si>
  <si>
    <t>CONDUSPAR / CONDUSPAR</t>
  </si>
  <si>
    <t>Cabo de potência MTX-TR GRI</t>
  </si>
  <si>
    <t xml:space="preserve"> 30 METROS + 500g DE COMPOSTO SEMI CONDUTOR + FILAMENTO AL 3,24mm</t>
  </si>
  <si>
    <t>REIRINI</t>
  </si>
  <si>
    <t>2208089-0/021</t>
  </si>
  <si>
    <t>TESIS / ---</t>
  </si>
  <si>
    <t>ESMALTE SINTÉTICO STANDA</t>
  </si>
  <si>
    <t xml:space="preserve"> 40ml</t>
  </si>
  <si>
    <t>JANE</t>
  </si>
  <si>
    <t>MAYARA OHARA</t>
  </si>
  <si>
    <t>2209086-0/001</t>
  </si>
  <si>
    <t>CENTELSA / CENTELSA</t>
  </si>
  <si>
    <t>Fio de Cobre estanhado SN Cu</t>
  </si>
  <si>
    <t xml:space="preserve"> 5 METROS</t>
  </si>
  <si>
    <t>2209086-0/002</t>
  </si>
  <si>
    <t>Fio de Cobre estanhado SN Sa</t>
  </si>
  <si>
    <t>2209158-0/001</t>
  </si>
  <si>
    <t>WEG (SC) / WEG (SC)</t>
  </si>
  <si>
    <t>Inversor de frequência MW500</t>
  </si>
  <si>
    <t xml:space="preserve"> 1 UNIDADE</t>
  </si>
  <si>
    <t>2209158-0/002</t>
  </si>
  <si>
    <t>2210081-1/112</t>
  </si>
  <si>
    <t>TESIS / --</t>
  </si>
  <si>
    <t xml:space="preserve">Eletroduto Flexível corrugado </t>
  </si>
  <si>
    <t xml:space="preserve"> 3 UNIDADES</t>
  </si>
  <si>
    <t>2210081-1/113</t>
  </si>
  <si>
    <t>2210081-1/114</t>
  </si>
  <si>
    <t>2210081-1/115</t>
  </si>
  <si>
    <t>2210081-1/116</t>
  </si>
  <si>
    <t>2210081-1/117</t>
  </si>
  <si>
    <t>2210081-1/118</t>
  </si>
  <si>
    <t>Eletroduto Flexível plano DN 2</t>
  </si>
  <si>
    <t>2210081-1/119</t>
  </si>
  <si>
    <t>2210081-1/120</t>
  </si>
  <si>
    <t>2210081-1/121</t>
  </si>
  <si>
    <t>2210081-1/122</t>
  </si>
  <si>
    <t>2210081-1/123</t>
  </si>
  <si>
    <t>2210081-1/124</t>
  </si>
  <si>
    <t>2210081-1/125</t>
  </si>
  <si>
    <t>2210081-1/126</t>
  </si>
  <si>
    <t>2210081-1/127</t>
  </si>
  <si>
    <t>2210081-1/128</t>
  </si>
  <si>
    <t>2210081-1/129</t>
  </si>
  <si>
    <t>2210081-1/130</t>
  </si>
  <si>
    <t>2210081-1/131</t>
  </si>
  <si>
    <t>2210081-1/132</t>
  </si>
  <si>
    <t>2210081-1/133</t>
  </si>
  <si>
    <t>2210081-1/134</t>
  </si>
  <si>
    <t>2210181-1/001</t>
  </si>
  <si>
    <t>UL DO BRAS / NAMBEI</t>
  </si>
  <si>
    <t xml:space="preserve">Cabo de potência Nambeinax </t>
  </si>
  <si>
    <t xml:space="preserve"> 300 METROS</t>
  </si>
  <si>
    <t>2211055-0/001</t>
  </si>
  <si>
    <t>INCESA / INCESA</t>
  </si>
  <si>
    <t>Conector Terminal Medidor - C</t>
  </si>
  <si>
    <t>CONFORME OBSERVAÇÃO</t>
  </si>
  <si>
    <t>2212112-2/001</t>
  </si>
  <si>
    <t>TOP MAX / TOP MAX</t>
  </si>
  <si>
    <t xml:space="preserve">COMPOSTO POLIPROPILENO </t>
  </si>
  <si>
    <t xml:space="preserve"> 10 KG</t>
  </si>
  <si>
    <t>2212145-1/001</t>
  </si>
  <si>
    <t>SKILLS TEL / Shenzhen</t>
  </si>
  <si>
    <t xml:space="preserve">Cabo autossustentado de fibra </t>
  </si>
  <si>
    <t xml:space="preserve"> 1466 metros</t>
  </si>
  <si>
    <t>JOYCE NEVES</t>
  </si>
  <si>
    <t>SKILLS TEL / Shenzhen H</t>
  </si>
  <si>
    <t>2301010-0/001</t>
  </si>
  <si>
    <t>CIMET OPTE / CIMET OPTE</t>
  </si>
  <si>
    <t>Cabo termolite contra fogo 3x2</t>
  </si>
  <si>
    <t xml:space="preserve"> 7 METROS</t>
  </si>
  <si>
    <t>2301072-1/001</t>
  </si>
  <si>
    <t>UL DO BRAS / HELLERMANN</t>
  </si>
  <si>
    <t>Canaleta de PVC branca Unica</t>
  </si>
  <si>
    <t xml:space="preserve"> 12 METROS DE CANALETA + 5 UNIDADES DO ACESSÓRIO</t>
  </si>
  <si>
    <t>2301072-1/002</t>
  </si>
  <si>
    <t>Canaleta de PVC branca Mini H</t>
  </si>
  <si>
    <t xml:space="preserve"> 50 METROS DE CANALETA + 25 UNIDADES DO ACESSÓRIO</t>
  </si>
  <si>
    <t>2301072-1/003</t>
  </si>
  <si>
    <t xml:space="preserve"> 50 METROS</t>
  </si>
  <si>
    <t>2301072-1/004</t>
  </si>
  <si>
    <t xml:space="preserve"> 12 METROS DE CANALETA + ACESSÓRIOS (VIDE OBSERVAÇÃO)</t>
  </si>
  <si>
    <t>2301091-0/001</t>
  </si>
  <si>
    <t>GMC  / BTEL INDÚS</t>
  </si>
  <si>
    <t>Composto de Caixa terminal ó</t>
  </si>
  <si>
    <t xml:space="preserve"> 4KG</t>
  </si>
  <si>
    <t>2301137-0/001</t>
  </si>
  <si>
    <t>Lar Plásti / Lar Plásti</t>
  </si>
  <si>
    <t>Contentor de 2 rodas - 240L - L</t>
  </si>
  <si>
    <t xml:space="preserve"> 2 UNIDADES</t>
  </si>
  <si>
    <t>2301138-1/001</t>
  </si>
  <si>
    <t>STAR BRAZI / STAR BRAZI</t>
  </si>
  <si>
    <t>Cabo para transmissão de dad</t>
  </si>
  <si>
    <t xml:space="preserve"> 100 METROS</t>
  </si>
  <si>
    <t>2301150-1/001</t>
  </si>
  <si>
    <t>UL DO BRAS / PEOPLE ELE</t>
  </si>
  <si>
    <t>Disjuntor Termomagnético - M</t>
  </si>
  <si>
    <t>11 peças, ver obs (*)</t>
  </si>
  <si>
    <t>2301152-0/001</t>
  </si>
  <si>
    <t>SONDA TECH / WCFO Inter</t>
  </si>
  <si>
    <t>Cabo auto-sustentado de fibra</t>
  </si>
  <si>
    <t xml:space="preserve"> 1050 METROS</t>
  </si>
  <si>
    <t>2301167-0/001</t>
  </si>
  <si>
    <t>SARON CERT / ALIARA</t>
  </si>
  <si>
    <t>Central para cerca elétrica de c</t>
  </si>
  <si>
    <t>2302017-2/005</t>
  </si>
  <si>
    <t>BVQI (SP) / SPOLU</t>
  </si>
  <si>
    <t xml:space="preserve">Liquidificador basculante 15L </t>
  </si>
  <si>
    <t>2302017-2/006</t>
  </si>
  <si>
    <t xml:space="preserve">Liquidificador de alta rotação </t>
  </si>
  <si>
    <t>2302017-2/008</t>
  </si>
  <si>
    <t>SPL-408 Mexedor Elétrico 8 lit</t>
  </si>
  <si>
    <t>01 unidade</t>
  </si>
  <si>
    <t>2302017-2/009</t>
  </si>
  <si>
    <t>SPL-405 Mexedor Elétrico 5 lit</t>
  </si>
  <si>
    <t>2302017-2/011</t>
  </si>
  <si>
    <t xml:space="preserve">Fritadeira Elétrica / SPL- 571 2 </t>
  </si>
  <si>
    <t>2302017-2/012</t>
  </si>
  <si>
    <t xml:space="preserve">SPL-513 - 127V - Buffet térmico </t>
  </si>
  <si>
    <t>2302068-1/001</t>
  </si>
  <si>
    <t>ITAC / MULTI KENT</t>
  </si>
  <si>
    <t>Embaladora elétrica para alime</t>
  </si>
  <si>
    <t>2302068-1/002</t>
  </si>
  <si>
    <t>Seladora elétrica para alimento</t>
  </si>
  <si>
    <t>2302068-1/003</t>
  </si>
  <si>
    <t>2302068-1/004</t>
  </si>
  <si>
    <t xml:space="preserve">Fritadeira elétrica digital 220V, </t>
  </si>
  <si>
    <t>2302079-1/001</t>
  </si>
  <si>
    <t xml:space="preserve">Conector Perfurante Pequeno </t>
  </si>
  <si>
    <t xml:space="preserve"> Ver Obs</t>
  </si>
  <si>
    <t>2302093-0/004</t>
  </si>
  <si>
    <t>LEAR (NAVE / LEAR (NAVE</t>
  </si>
  <si>
    <t>Terminais crimpados com bito</t>
  </si>
  <si>
    <t xml:space="preserve"> CONFORME PLANILHA EM ANEXO</t>
  </si>
  <si>
    <t>2302137-1/001</t>
  </si>
  <si>
    <t>GTM / CSA TECNOL</t>
  </si>
  <si>
    <t>Porta corta-fogo P-120</t>
  </si>
  <si>
    <t xml:space="preserve"> 2 PORTAS + 2 BATENTES+ FERRAGENS+ DOCUMENTAÇÃO</t>
  </si>
  <si>
    <t>NARA DA SILVA</t>
  </si>
  <si>
    <t>2303012-0/001</t>
  </si>
  <si>
    <t>UL DO BRAS / AMPHENOL</t>
  </si>
  <si>
    <t>Cabo Amphesolar Uso em sist</t>
  </si>
  <si>
    <t xml:space="preserve"> 30 METROS</t>
  </si>
  <si>
    <t>30 METROS</t>
  </si>
  <si>
    <t>2303038-0/001</t>
  </si>
  <si>
    <t>WEG (UNIDA / WEG (UNIDA</t>
  </si>
  <si>
    <t>Parede estrutural com espessu</t>
  </si>
  <si>
    <t xml:space="preserve"> 1 PAREDE</t>
  </si>
  <si>
    <t>2303056-2/002</t>
  </si>
  <si>
    <t>COMMSCOPE  / CommScope</t>
  </si>
  <si>
    <t>APROXIMADAMENTE 1.000 METROS</t>
  </si>
  <si>
    <t xml:space="preserve"> APROXIMADAMENTE 1.000 METROS</t>
  </si>
  <si>
    <t>2303060-0/001</t>
  </si>
  <si>
    <t>TUV RHEINL / REICON</t>
  </si>
  <si>
    <t>Cabo de potência Reisolar 1x6</t>
  </si>
  <si>
    <t>2303151-0/001</t>
  </si>
  <si>
    <t>SEI BRASIL / SUMITOMO E</t>
  </si>
  <si>
    <t>Cordão óptico - Modelo: COA-</t>
  </si>
  <si>
    <t xml:space="preserve"> 1300 METROS</t>
  </si>
  <si>
    <t>2303152-1/001</t>
  </si>
  <si>
    <t>ITAC / WIER</t>
  </si>
  <si>
    <t>Gerador de ozônio 110/220V, 6</t>
  </si>
  <si>
    <t>2303152-1/002</t>
  </si>
  <si>
    <t>2303173-1/001</t>
  </si>
  <si>
    <t>INTELLI / INTELLI</t>
  </si>
  <si>
    <t>Conector terminal à compress</t>
  </si>
  <si>
    <t xml:space="preserve"> 1 LAÇO COM 4 CONECTORES + COBAIA</t>
  </si>
  <si>
    <t>2303175-0/001</t>
  </si>
  <si>
    <t>CLAMPER / CLAMPER</t>
  </si>
  <si>
    <t xml:space="preserve">DPS Clamper Grid 440V - 10kA </t>
  </si>
  <si>
    <t xml:space="preserve"> 6 peças</t>
  </si>
  <si>
    <t>2303178-1/003</t>
  </si>
  <si>
    <t>CLS ENGENH / CLS ENGENH</t>
  </si>
  <si>
    <t>LUVA ISOLANTE DE BORRACH</t>
  </si>
  <si>
    <t>1 PAR</t>
  </si>
  <si>
    <t>2303178-1/004</t>
  </si>
  <si>
    <t>Tapete Isolante - Classe 2</t>
  </si>
  <si>
    <t>1 UNIDADE</t>
  </si>
  <si>
    <t>2303179-0/001</t>
  </si>
  <si>
    <t>INTERTEK / EUROTEC SR</t>
  </si>
  <si>
    <t xml:space="preserve">Lavadora de louças comercial </t>
  </si>
  <si>
    <t>2303186-1/001</t>
  </si>
  <si>
    <t>KRJ CONECT / KRJ CONECT</t>
  </si>
  <si>
    <t>Conector Perfurante KARP Tip</t>
  </si>
  <si>
    <t>2303196-0/001</t>
  </si>
  <si>
    <t>UL DO BRAS / CLAMPER</t>
  </si>
  <si>
    <t>Clamper Light</t>
  </si>
  <si>
    <t xml:space="preserve"> 6 UNIDADES + 5 UNIDADES DA CARCAÇA</t>
  </si>
  <si>
    <t>2303196-0/002</t>
  </si>
  <si>
    <t>DPS Clamper Solar 1040V 40k</t>
  </si>
  <si>
    <t xml:space="preserve"> 6 UNIDADES</t>
  </si>
  <si>
    <t>2303196-0/003</t>
  </si>
  <si>
    <t>Clamper Front 385V 45kA</t>
  </si>
  <si>
    <t>2303196-0/004</t>
  </si>
  <si>
    <t>2303210-0/003</t>
  </si>
  <si>
    <t>BETA TELEC / BRASILSAT</t>
  </si>
  <si>
    <t>Kit Plástico de antena 60cm - M</t>
  </si>
  <si>
    <t xml:space="preserve"> 1 Kit Plástico</t>
  </si>
  <si>
    <t>2303221-0/001</t>
  </si>
  <si>
    <t>CORDEIRO / CORDEIRO</t>
  </si>
  <si>
    <t xml:space="preserve">CABO FLEXÍVEL CORD-FLEX </t>
  </si>
  <si>
    <t>2303223-1/001</t>
  </si>
  <si>
    <t>MR CERTIFI / CETRO SOLU</t>
  </si>
  <si>
    <t>Seladora portátil a vácuo dom</t>
  </si>
  <si>
    <t>2304014-0/001</t>
  </si>
  <si>
    <t>CABELAUTO / CABELAUTO</t>
  </si>
  <si>
    <t>Cabo automotivo RK LMP 25,0</t>
  </si>
  <si>
    <t xml:space="preserve"> 4 METROS</t>
  </si>
  <si>
    <t>2304014-0/002</t>
  </si>
  <si>
    <t>Cabo automotivo RK LMP 70,0</t>
  </si>
  <si>
    <t>2304022-0/001</t>
  </si>
  <si>
    <t>ABNT (SP) / GARTHEN</t>
  </si>
  <si>
    <t xml:space="preserve">Hidrolavadora de alta pressão </t>
  </si>
  <si>
    <t>2304022-0/002</t>
  </si>
  <si>
    <t xml:space="preserve">Hidrolavadora de Alta pressão </t>
  </si>
  <si>
    <t>2304038-2/001</t>
  </si>
  <si>
    <t>QC CERTIFI / LIZZE</t>
  </si>
  <si>
    <t>Modelador de cabelo 127-220V</t>
  </si>
  <si>
    <t>2 UNIDADES</t>
  </si>
  <si>
    <t>2304038-2/002</t>
  </si>
  <si>
    <t>2304040-0/001</t>
  </si>
  <si>
    <t>IMPERIAL M / IMPERIAL M</t>
  </si>
  <si>
    <t xml:space="preserve">Eletroduto Plano Pesado PEBD </t>
  </si>
  <si>
    <t>6 metros</t>
  </si>
  <si>
    <t>2304045-1/001</t>
  </si>
  <si>
    <t>Conector Perfurante KPB - Tip</t>
  </si>
  <si>
    <t xml:space="preserve"> 2 LAÇOS COM 4 CONECTORES</t>
  </si>
  <si>
    <t>2304048-0/001</t>
  </si>
  <si>
    <t>TUV RHEINL / CABLENA</t>
  </si>
  <si>
    <t>Cabo de potência Cablenax fle</t>
  </si>
  <si>
    <t xml:space="preserve"> 200 METROS</t>
  </si>
  <si>
    <t>2304058-0/001</t>
  </si>
  <si>
    <t>FURUKAWA / FURUKAWA</t>
  </si>
  <si>
    <t xml:space="preserve"> 800 METROS</t>
  </si>
  <si>
    <t>2304058-0/002</t>
  </si>
  <si>
    <t>Cabo de manobra F/UTP Flex C</t>
  </si>
  <si>
    <t xml:space="preserve"> 3 AMOSTRAS DE 0,50m + 3 AMOSTRAS DE 30m</t>
  </si>
  <si>
    <t>2304060-1/001</t>
  </si>
  <si>
    <t>2304060-1/002</t>
  </si>
  <si>
    <t xml:space="preserve">Cabo de manobra U/UTP Flex </t>
  </si>
  <si>
    <t xml:space="preserve"> 3 AMOSTRAS DE 0,50m + 3 AMOSTRAS DE 20m</t>
  </si>
  <si>
    <t>2304063-2/002</t>
  </si>
  <si>
    <t>FAMESP / FAMESP</t>
  </si>
  <si>
    <t xml:space="preserve">AMOSTRA 1: LUVA ISOLANTE </t>
  </si>
  <si>
    <t xml:space="preserve"> 4 PARES</t>
  </si>
  <si>
    <t>2304071-1/001</t>
  </si>
  <si>
    <t>HART BR  / HART BR</t>
  </si>
  <si>
    <t>Religador Monofásico Autoalim</t>
  </si>
  <si>
    <t>Religador Monofásico 27 KV</t>
  </si>
  <si>
    <t>2304073-2/001</t>
  </si>
  <si>
    <t>TS4 CERTIF / LÍDER</t>
  </si>
  <si>
    <t>Banqueta doméstica de alumín</t>
  </si>
  <si>
    <t xml:space="preserve"> 01 UNIDADE</t>
  </si>
  <si>
    <t>2304073-2/002</t>
  </si>
  <si>
    <t xml:space="preserve">Escada doméstica de alumínio </t>
  </si>
  <si>
    <t>2304073-2/003</t>
  </si>
  <si>
    <t>2304074-0/001</t>
  </si>
  <si>
    <t>CERTA / RDG PORTAS</t>
  </si>
  <si>
    <t>Porta Corta-Fogo P-90</t>
  </si>
  <si>
    <t xml:space="preserve"> 2 PORTAS + 2 BATENTES + FERRAGENS + DOCUMENTAÇÃO</t>
  </si>
  <si>
    <t>2304091-1/001</t>
  </si>
  <si>
    <t>FIBRA NOVA / FIBRA NOVA</t>
  </si>
  <si>
    <t>PRANCHA/ESCADA DE TRANS</t>
  </si>
  <si>
    <t>2304102-1/005</t>
  </si>
  <si>
    <t>BVQI (SP) / ARBAME</t>
  </si>
  <si>
    <t>Plugue não desmontável 2P 20</t>
  </si>
  <si>
    <t>2304102-1/020</t>
  </si>
  <si>
    <t xml:space="preserve">Cabo flexível de perfil circular </t>
  </si>
  <si>
    <t xml:space="preserve"> 30 METROS + 30 METROS DO FIO ELEMENTAR</t>
  </si>
  <si>
    <t>2304103-0/001</t>
  </si>
  <si>
    <t>WEG (SC) / Crielight</t>
  </si>
  <si>
    <t>Crielight - Policarbonato Polyg</t>
  </si>
  <si>
    <t xml:space="preserve"> 20 peças</t>
  </si>
  <si>
    <t>2304103-0/002</t>
  </si>
  <si>
    <t>WEG (SC) / Vick</t>
  </si>
  <si>
    <t xml:space="preserve">Vick - Policarbonato Polygal - </t>
  </si>
  <si>
    <t>2304103-0/003</t>
  </si>
  <si>
    <t>WEG (SC) / Plastireal</t>
  </si>
  <si>
    <t>Plastireal - Policarbonato Pals</t>
  </si>
  <si>
    <t>2304115-2/001</t>
  </si>
  <si>
    <t>MILANFLEX / MILANFLEX</t>
  </si>
  <si>
    <t xml:space="preserve">Cadeira alta para alimentação </t>
  </si>
  <si>
    <t>3 UNIDADES</t>
  </si>
  <si>
    <t>2304122-0/001</t>
  </si>
  <si>
    <t>INTERTEK / HOBART GMB</t>
  </si>
  <si>
    <t>2304125-2/001</t>
  </si>
  <si>
    <t>SOLUÇÃO CO / MILANFLEX</t>
  </si>
  <si>
    <t>2304127-0/001</t>
  </si>
  <si>
    <t xml:space="preserve">Cabo AVS SWS LMP 3,00mm² </t>
  </si>
  <si>
    <t xml:space="preserve"> 10 METROS</t>
  </si>
  <si>
    <t>2304127-0/002</t>
  </si>
  <si>
    <t xml:space="preserve">Cabo AVS SWS LMP 5,00mm² </t>
  </si>
  <si>
    <t>2304127-0/003</t>
  </si>
  <si>
    <t xml:space="preserve">Cabo AVSS SWS LMP - Seção </t>
  </si>
  <si>
    <t>2304127-0/004</t>
  </si>
  <si>
    <t>Cabo AVSS SWS LMP 0,50mm</t>
  </si>
  <si>
    <t>2304127-0/005</t>
  </si>
  <si>
    <t>Cabo AVSS SWS LMP 0,85mm</t>
  </si>
  <si>
    <t>2304127-0/006</t>
  </si>
  <si>
    <t>Cabo AVSS SWS LMP 1,25mm</t>
  </si>
  <si>
    <t>2304127-0/007</t>
  </si>
  <si>
    <t>Cabo AVSS SWS LMP 2,00mm</t>
  </si>
  <si>
    <t>10 METROS</t>
  </si>
  <si>
    <t>2304127-0/008</t>
  </si>
  <si>
    <t>Cabo AVSSH SWS LMP 0,30mm</t>
  </si>
  <si>
    <t>2304127-0/009</t>
  </si>
  <si>
    <t>Cabo AVSSH SWS LMP 0,50mm</t>
  </si>
  <si>
    <t>2304127-0/010</t>
  </si>
  <si>
    <t>Cabo AVSSH SWS LMP 0,75mm</t>
  </si>
  <si>
    <t>2304127-0/011</t>
  </si>
  <si>
    <t>Cabo AVSSH SWS LMP 1,25mm</t>
  </si>
  <si>
    <t>2304128-1/001</t>
  </si>
  <si>
    <t>Teadit / Teadit</t>
  </si>
  <si>
    <t>Tealon TF1570 - PTFE + Microe</t>
  </si>
  <si>
    <t xml:space="preserve"> 10 CORPOS DE PROVA</t>
  </si>
  <si>
    <t>2304128-1/002</t>
  </si>
  <si>
    <t xml:space="preserve">TF1510W - PTFE + Microesfera </t>
  </si>
  <si>
    <t>2304128-1/003</t>
  </si>
  <si>
    <t xml:space="preserve">Tealon TF1580 - PTFE + Sulfato </t>
  </si>
  <si>
    <t>2304128-1/004</t>
  </si>
  <si>
    <t>Tealon TF1590 - PTFE + Sílica</t>
  </si>
  <si>
    <t>2304141-0/001</t>
  </si>
  <si>
    <t>PCN DO BRA / BBC TÊXTIL</t>
  </si>
  <si>
    <t>Interruptor de Lençol Térmico</t>
  </si>
  <si>
    <t xml:space="preserve"> 04 UNIDADES</t>
  </si>
  <si>
    <t>2304179-0/001</t>
  </si>
  <si>
    <t>BVQI (SP) / SCHNEIDER</t>
  </si>
  <si>
    <t>Tomada modular de embutir 2</t>
  </si>
  <si>
    <t>2304179-0/002</t>
  </si>
  <si>
    <t>2304179-0/003</t>
  </si>
  <si>
    <t>Interruptor intermediário modu</t>
  </si>
  <si>
    <t>2304179-0/004</t>
  </si>
  <si>
    <t>Interruptor bipolar simples mo</t>
  </si>
  <si>
    <t>2304179-0/005</t>
  </si>
  <si>
    <t>Tomada duplex modular de em</t>
  </si>
  <si>
    <t>2304179-0/006</t>
  </si>
  <si>
    <t>2304179-0/007</t>
  </si>
  <si>
    <t>2304179-0/008</t>
  </si>
  <si>
    <t>2304179-0/009</t>
  </si>
  <si>
    <t>Interruptor simples modular d</t>
  </si>
  <si>
    <t>2304179-0/011</t>
  </si>
  <si>
    <t>2304179-0/013</t>
  </si>
  <si>
    <t>2304179-0/014</t>
  </si>
  <si>
    <t>2304179-0/015</t>
  </si>
  <si>
    <t>2304179-0/016</t>
  </si>
  <si>
    <t>2304179-0/017</t>
  </si>
  <si>
    <t>Interruptor paralelo modular d</t>
  </si>
  <si>
    <t>2304179-0/018</t>
  </si>
  <si>
    <t>2304179-0/019</t>
  </si>
  <si>
    <t>2304179-0/020</t>
  </si>
  <si>
    <t>2304187-0/001</t>
  </si>
  <si>
    <t>BVQI (SP) / STECK (GUA</t>
  </si>
  <si>
    <t>Tomada modular de embutir Q</t>
  </si>
  <si>
    <t>2304187-0/002</t>
  </si>
  <si>
    <t>2304187-0/003</t>
  </si>
  <si>
    <t>2304187-0/004</t>
  </si>
  <si>
    <t>2304187-0/005</t>
  </si>
  <si>
    <t>Interruptor bipolar paralelo mo</t>
  </si>
  <si>
    <t>2304187-0/008</t>
  </si>
  <si>
    <t>2304187-0/009</t>
  </si>
  <si>
    <t>Interruptor pulsador simples m</t>
  </si>
  <si>
    <t>2304187-0/010</t>
  </si>
  <si>
    <t>2304197-0/001</t>
  </si>
  <si>
    <t>UL DO BRAS / SIMON</t>
  </si>
  <si>
    <t xml:space="preserve"> 12 UNIDADES</t>
  </si>
  <si>
    <t>2304197-0/002</t>
  </si>
  <si>
    <t>12 UNIDADES</t>
  </si>
  <si>
    <t>2304197-0/003</t>
  </si>
  <si>
    <t>2304197-0/004</t>
  </si>
  <si>
    <t>2304197-0/005</t>
  </si>
  <si>
    <t>2304197-0/006</t>
  </si>
  <si>
    <t>2304206-0/001</t>
  </si>
  <si>
    <t>Secador de cabelo 127V, 50-60</t>
  </si>
  <si>
    <t>2305003-0/001</t>
  </si>
  <si>
    <t>LEAR DO BR / LEAR DO BR</t>
  </si>
  <si>
    <t>2305003-0/002</t>
  </si>
  <si>
    <t>Splices Soldados por Ultrasso</t>
  </si>
  <si>
    <t>2305003-0/003</t>
  </si>
  <si>
    <t>CONFORME PLANILHA EM ANEXO</t>
  </si>
  <si>
    <t>2305009-1/004</t>
  </si>
  <si>
    <t>MR CERTIFI / ARGENTUM</t>
  </si>
  <si>
    <t xml:space="preserve">Plugue não desmontável 2P+T </t>
  </si>
  <si>
    <t>2305009-1/005</t>
  </si>
  <si>
    <t>Plugue não desmontável, 2P+T</t>
  </si>
  <si>
    <t>2305009-1/006</t>
  </si>
  <si>
    <t>Plugue não desmontável 2P 10</t>
  </si>
  <si>
    <t>2305009-1/007</t>
  </si>
  <si>
    <t>2305009-1/008</t>
  </si>
  <si>
    <t>Tomada móvel não desmontáv</t>
  </si>
  <si>
    <t>2305015-0/001</t>
  </si>
  <si>
    <t>TE CONNECT / TE CONNECT</t>
  </si>
  <si>
    <t>Terminal IBF</t>
  </si>
  <si>
    <t xml:space="preserve"> 10 unidades</t>
  </si>
  <si>
    <t>2305021-0/001</t>
  </si>
  <si>
    <t>Cabo MVX90-TR ST7 Al Bloque</t>
  </si>
  <si>
    <t>2305023-2/001</t>
  </si>
  <si>
    <t>TINTAS ALE / TINTAS ALE</t>
  </si>
  <si>
    <t xml:space="preserve">Alessi Spray Vermelho Massey </t>
  </si>
  <si>
    <t xml:space="preserve"> 400ml / 210g</t>
  </si>
  <si>
    <t>2305023-2/002</t>
  </si>
  <si>
    <t>Alessi Spray Verde Escuro - Us</t>
  </si>
  <si>
    <t>2305023-2/003</t>
  </si>
  <si>
    <t>Alessi Spray Amarelo New Hol</t>
  </si>
  <si>
    <t>2305023-2/004</t>
  </si>
  <si>
    <t>Alessi Piso Fosco Amarelo De</t>
  </si>
  <si>
    <t xml:space="preserve"> 0,9L</t>
  </si>
  <si>
    <t>2305023-2/005</t>
  </si>
  <si>
    <t>Alessi Piso Fosco Vermelho - L</t>
  </si>
  <si>
    <t>2305023-2/006</t>
  </si>
  <si>
    <t>Alessi ESM. Seca Rápido, Verd</t>
  </si>
  <si>
    <t xml:space="preserve"> 3,6L</t>
  </si>
  <si>
    <t>2305023-2/007</t>
  </si>
  <si>
    <t>Alessi ESM. Seca Rápido, Ama</t>
  </si>
  <si>
    <t>2305028-1/001</t>
  </si>
  <si>
    <t>CERTA / PORTAS IND</t>
  </si>
  <si>
    <t>Porta Corta Fogo P-120</t>
  </si>
  <si>
    <t xml:space="preserve"> 2 PORTAS+ 2 BATENTES+ FERRAGENS + DOCUMENTAÇÃO</t>
  </si>
  <si>
    <t>2305033-0/001</t>
  </si>
  <si>
    <t>RENIL DO B / RENIL DO B</t>
  </si>
  <si>
    <t>Escada de aço dobrável para e</t>
  </si>
  <si>
    <t>2305037-0/001</t>
  </si>
  <si>
    <t>TUV RHEINL / MEGATRON</t>
  </si>
  <si>
    <t>Cabo de potência flexível 1x4,</t>
  </si>
  <si>
    <t>2305042-0/001</t>
  </si>
  <si>
    <t>INNOVA / INNOVA</t>
  </si>
  <si>
    <t xml:space="preserve"> 03 PARES</t>
  </si>
  <si>
    <t>2305042-0/002</t>
  </si>
  <si>
    <t xml:space="preserve"> 05 PARES</t>
  </si>
  <si>
    <t>2305043-1/001</t>
  </si>
  <si>
    <t>Boreal Fio / Boreal Fio</t>
  </si>
  <si>
    <t>Cabo de potência I POWER 90</t>
  </si>
  <si>
    <t xml:space="preserve"> 65 METROS + 15 METROS DE FIO ELEMENTAR</t>
  </si>
  <si>
    <t>2305046-1/001</t>
  </si>
  <si>
    <t>ISOLAFORT  / ISOLAFORT</t>
  </si>
  <si>
    <t xml:space="preserve">Fita Isolante F7 PRIME, Classe </t>
  </si>
  <si>
    <t xml:space="preserve"> 2 ROLOS DE 20 METROS</t>
  </si>
  <si>
    <t>2305046-1/002</t>
  </si>
  <si>
    <t>Massa para isolamento elétric</t>
  </si>
  <si>
    <t xml:space="preserve"> 1 rolo de 1,5m</t>
  </si>
  <si>
    <t>2305046-1/003</t>
  </si>
  <si>
    <t>1 rolo de 20 metros</t>
  </si>
  <si>
    <t>2305048-2/001</t>
  </si>
  <si>
    <t>ASSOCIAÇÃO / ProQuality</t>
  </si>
  <si>
    <t>Cabo coaxial série 06 60% 75 O</t>
  </si>
  <si>
    <t>2305048-2/002</t>
  </si>
  <si>
    <t>ASSOCIAÇÃO / BRASILSAT</t>
  </si>
  <si>
    <t>Cabo coaxial flexivel série RG</t>
  </si>
  <si>
    <t>2305048-2/003</t>
  </si>
  <si>
    <t>ASSOCIAÇÃO / AMPHENOL T</t>
  </si>
  <si>
    <t xml:space="preserve">Cabo destinado a sistemas de </t>
  </si>
  <si>
    <t>2305048-2/004</t>
  </si>
  <si>
    <t>ASSOCIAÇÃO / SINUTA DO</t>
  </si>
  <si>
    <t>Cabo coaxial flexível série RG</t>
  </si>
  <si>
    <t>2305048-2/005</t>
  </si>
  <si>
    <t>ASSOCIAÇÃO / TRINIDADE</t>
  </si>
  <si>
    <t xml:space="preserve">Cabo coaxial com conector F - </t>
  </si>
  <si>
    <t>2305048-2/006</t>
  </si>
  <si>
    <t xml:space="preserve">Cabo Coaxial Flexível RG-6 75 </t>
  </si>
  <si>
    <t>2305049-0/001</t>
  </si>
  <si>
    <t>DABELA  / DABELA</t>
  </si>
  <si>
    <t>Assento desportivo com enco</t>
  </si>
  <si>
    <t xml:space="preserve"> 4 UNIDADES</t>
  </si>
  <si>
    <t>2305050-2/001</t>
  </si>
  <si>
    <t>MAJE / SETEN</t>
  </si>
  <si>
    <t>Disjuntor termomagnético 240</t>
  </si>
  <si>
    <t>2305057-0/001</t>
  </si>
  <si>
    <t>BVQI (SP) / LAUDISIO</t>
  </si>
  <si>
    <t xml:space="preserve">Adaptador para conversão de </t>
  </si>
  <si>
    <t>2305057-0/002</t>
  </si>
  <si>
    <t>2305057-0/003</t>
  </si>
  <si>
    <t>Adaptador múltiplo 3x2P 10A 2</t>
  </si>
  <si>
    <t>2305057-0/004</t>
  </si>
  <si>
    <t>Adaptador múltiplo 3x2P+T 10</t>
  </si>
  <si>
    <t>2305057-0/005</t>
  </si>
  <si>
    <t>Adaptador múltiplo 4x2P+T 10</t>
  </si>
  <si>
    <t>2305057-0/006</t>
  </si>
  <si>
    <t>2305057-0/007</t>
  </si>
  <si>
    <t>Adaptador múltiplo 4x2P 10A 2</t>
  </si>
  <si>
    <t>2305057-0/008</t>
  </si>
  <si>
    <t>2305057-0/009</t>
  </si>
  <si>
    <t>2305057-0/010</t>
  </si>
  <si>
    <t>2305058-0/001</t>
  </si>
  <si>
    <t>Cabo de potência ICALI-XP 1x</t>
  </si>
  <si>
    <t>2305068-0/001</t>
  </si>
  <si>
    <t>DACARTO / DACARTO</t>
  </si>
  <si>
    <t xml:space="preserve">CABO FLEXÍVEL NAMBEIFLEX </t>
  </si>
  <si>
    <t xml:space="preserve"> 1.300 METROS</t>
  </si>
  <si>
    <t>2305077-0/001</t>
  </si>
  <si>
    <t>ENDUTEX / ENDUTEX</t>
  </si>
  <si>
    <t>Lona - Referência: BRATEC 79</t>
  </si>
  <si>
    <t xml:space="preserve"> 25 CORPOS DE PROVA</t>
  </si>
  <si>
    <t>2305077-0/002</t>
  </si>
  <si>
    <t>2305084-0/001</t>
  </si>
  <si>
    <t>SINDICEL / DACOTA</t>
  </si>
  <si>
    <t xml:space="preserve">Cabo de potência multiplexado </t>
  </si>
  <si>
    <t>APROXIMADAMENTE 10 METROS</t>
  </si>
  <si>
    <t>2305084-0/002</t>
  </si>
  <si>
    <t>SINDICEL / NEOCABLE</t>
  </si>
  <si>
    <t xml:space="preserve"> APROXIMADAMENTE 10 METROS</t>
  </si>
  <si>
    <t>2305084-0/003</t>
  </si>
  <si>
    <t>2305084-0/004</t>
  </si>
  <si>
    <t>SINDICEL / CMR</t>
  </si>
  <si>
    <t>2305084-0/005</t>
  </si>
  <si>
    <t>SINDICEL / BLUCABOS</t>
  </si>
  <si>
    <t>2305084-0/006</t>
  </si>
  <si>
    <t>2305084-0/007</t>
  </si>
  <si>
    <t>SINDICEL / ---</t>
  </si>
  <si>
    <t>2305084-0/008</t>
  </si>
  <si>
    <t>SINDICEL / ----</t>
  </si>
  <si>
    <t>2305084-0/009</t>
  </si>
  <si>
    <t>SINDICEL / ALUMI BRAS</t>
  </si>
  <si>
    <t>2305084-0/010</t>
  </si>
  <si>
    <t>2305084-0/011</t>
  </si>
  <si>
    <t>2305087-0/001</t>
  </si>
  <si>
    <t>SAINT-GOBA / ISOVER</t>
  </si>
  <si>
    <t>Forro Mineralis Ecophon</t>
  </si>
  <si>
    <t>26 Corpos de Prova</t>
  </si>
  <si>
    <t>2305089-1/001</t>
  </si>
  <si>
    <t>POLI POSIT / POLI POSIT</t>
  </si>
  <si>
    <t xml:space="preserve">Polipropileno Reprocessado - </t>
  </si>
  <si>
    <t xml:space="preserve"> 300g</t>
  </si>
  <si>
    <t>2305091-0/001</t>
  </si>
  <si>
    <t>Conector CUNHA RAMAL MUL</t>
  </si>
  <si>
    <t>1 laço para curto com 4 conectores (+ cobaia) e 1 laço com 2 conectores para névoa salina.</t>
  </si>
  <si>
    <t>2305093-0/001</t>
  </si>
  <si>
    <t xml:space="preserve">Conector CUNHA RAMAL TIPO </t>
  </si>
  <si>
    <t>2305094-0/001</t>
  </si>
  <si>
    <t>Conector CUNHA alumínio CN</t>
  </si>
  <si>
    <t xml:space="preserve">Conector CUNHA CN-8 - cabo </t>
  </si>
  <si>
    <t>2305095-0/001</t>
  </si>
  <si>
    <t>IBELQ / PERMATTI</t>
  </si>
  <si>
    <t>Telha de PVC tipo Colonial</t>
  </si>
  <si>
    <t>2305097-0/001</t>
  </si>
  <si>
    <t>TESIS / TESIS</t>
  </si>
  <si>
    <t>Painel de Fibras de Madeira (M</t>
  </si>
  <si>
    <t xml:space="preserve"> 500G</t>
  </si>
  <si>
    <t>2305099-0/001</t>
  </si>
  <si>
    <t xml:space="preserve">Conector CUNHA CN-13 - cabo </t>
  </si>
  <si>
    <t xml:space="preserve"> 1 laço para curto com 4 conectores (+ cobaia) e 1 laço com 2 conectores para névoa salina.</t>
  </si>
  <si>
    <t>2305107-3/001</t>
  </si>
  <si>
    <t>LEIPLAST / LEIPLAST</t>
  </si>
  <si>
    <t>ESPAGUETE CORRUGADO 10</t>
  </si>
  <si>
    <t xml:space="preserve"> 03 PLACAS</t>
  </si>
  <si>
    <t>2305108-0/001</t>
  </si>
  <si>
    <t>TEKBORN / TEKBORN</t>
  </si>
  <si>
    <t xml:space="preserve">Bloco de terminal 1000V 125A </t>
  </si>
  <si>
    <t xml:space="preserve"> 50 unidades</t>
  </si>
  <si>
    <t>2305111-0/001</t>
  </si>
  <si>
    <t>AGL MOTORE / AGL MOTORE</t>
  </si>
  <si>
    <t>Eletrificador para Cerca Elétric</t>
  </si>
  <si>
    <t xml:space="preserve"> 03 UNIDADES</t>
  </si>
  <si>
    <t>2305112-0/001</t>
  </si>
  <si>
    <t>Disjuntor termomagnético 1P 2</t>
  </si>
  <si>
    <t xml:space="preserve"> 1 UNIDADE DE CORRENTE NOMINAL</t>
  </si>
  <si>
    <t>2305112-0/002</t>
  </si>
  <si>
    <t xml:space="preserve"> 1 UNIDADE DE CADA CORRENTE NOMINAL</t>
  </si>
  <si>
    <t>2305112-0/003</t>
  </si>
  <si>
    <t>2305113-0/001</t>
  </si>
  <si>
    <t>2305113-0/002</t>
  </si>
  <si>
    <t>2305114-0/001</t>
  </si>
  <si>
    <t>NEO ALUMÍN / NEO ALUMÍN</t>
  </si>
  <si>
    <t>Cabo triplex 0,6/1kV 2x1x16mm</t>
  </si>
  <si>
    <t>2305114-0/002</t>
  </si>
  <si>
    <t>Cabo Triplex 0,6/1kV 2x1x16mm</t>
  </si>
  <si>
    <t>2305114-0/003</t>
  </si>
  <si>
    <t>2305114-0/004</t>
  </si>
  <si>
    <t>2305114-0/005</t>
  </si>
  <si>
    <t>Cabo Quadruplex 0,6/1kV 3x1x</t>
  </si>
  <si>
    <t>2305114-0/006</t>
  </si>
  <si>
    <t>2305114-0/007</t>
  </si>
  <si>
    <t>2305114-0/008</t>
  </si>
  <si>
    <t>2305115-0/001</t>
  </si>
  <si>
    <t>IBELQ / ITEC</t>
  </si>
  <si>
    <t>2305121-0/001</t>
  </si>
  <si>
    <t>IDP / IDP</t>
  </si>
  <si>
    <t xml:space="preserve">Corpos de prova de Cruzeta em </t>
  </si>
  <si>
    <t>24 placas de 125 ± 5 x13,0 ± 0,5 x12mm e 7 placas de 120x50x6mm.</t>
  </si>
  <si>
    <t>2305121-0/002</t>
  </si>
  <si>
    <t>Corpos de prova de poste fabr</t>
  </si>
  <si>
    <t>10 placas de 250x250x1mm</t>
  </si>
  <si>
    <t>2305132-0/001</t>
  </si>
  <si>
    <t>MARGIRIUS  / MARGIRIUS</t>
  </si>
  <si>
    <t>Interruptor Simples 4x2 - 10A 2</t>
  </si>
  <si>
    <t xml:space="preserve"> 06 UNIDADES</t>
  </si>
  <si>
    <t>2305132-0/002</t>
  </si>
  <si>
    <t>2305133-0/001</t>
  </si>
  <si>
    <t>TRANSAMERI / ----</t>
  </si>
  <si>
    <t xml:space="preserve">  LUVA ISOLANTE DE BORRAC</t>
  </si>
  <si>
    <t>2305133-0/002</t>
  </si>
  <si>
    <t xml:space="preserve"> 11 UNIDADES</t>
  </si>
  <si>
    <t>2305136-0/001</t>
  </si>
  <si>
    <t>ILUMI / ILUMI</t>
  </si>
  <si>
    <t>Módulo interruptor  de embuti</t>
  </si>
  <si>
    <t>2305148-0/001</t>
  </si>
  <si>
    <t>SIL FIOS E / SIL FIOS E</t>
  </si>
  <si>
    <t xml:space="preserve">Cabo flexível Atoxsil - Cobre - </t>
  </si>
  <si>
    <t xml:space="preserve"> 1000 METROS</t>
  </si>
  <si>
    <t>2305151-1/001</t>
  </si>
  <si>
    <t>MALCON MET / MALCON MET</t>
  </si>
  <si>
    <t xml:space="preserve">Parede estrutural com função </t>
  </si>
  <si>
    <t xml:space="preserve"> 1 Parede de 2,5 x 2,5 metros</t>
  </si>
  <si>
    <t>2305156-0/001</t>
  </si>
  <si>
    <t>TUV RHEINL / NAMBEI</t>
  </si>
  <si>
    <t>Cabo Flexível de potência  Nam</t>
  </si>
  <si>
    <t xml:space="preserve"> 60 METROS</t>
  </si>
  <si>
    <t>2305161-2/001</t>
  </si>
  <si>
    <t>NORTOX / DOW</t>
  </si>
  <si>
    <t>Composto PEAD - Lote: N1817</t>
  </si>
  <si>
    <t>10mg</t>
  </si>
  <si>
    <t>2305163-0/001</t>
  </si>
  <si>
    <t>LAM CHICOT / LAM CHICOT</t>
  </si>
  <si>
    <t>2305163-0/002</t>
  </si>
  <si>
    <t>2305163-0/003</t>
  </si>
  <si>
    <t>2305171-1/001</t>
  </si>
  <si>
    <t>ELETROFLEX / ELETROFLEX</t>
  </si>
  <si>
    <t>Eletroduto de Polietileno Flexí</t>
  </si>
  <si>
    <t xml:space="preserve"> 05 METROS</t>
  </si>
  <si>
    <t>2305173-0/001</t>
  </si>
  <si>
    <t>SPERONE / SPERONE</t>
  </si>
  <si>
    <t>Tomada de embutir para apare</t>
  </si>
  <si>
    <t xml:space="preserve"> 09 UNIDADES</t>
  </si>
  <si>
    <t>2305174-0/001</t>
  </si>
  <si>
    <t>MB PLASTIC / MB PLASTIC</t>
  </si>
  <si>
    <t>Saco plástico para Lixo - 15 Li</t>
  </si>
  <si>
    <t xml:space="preserve"> 100 unidades</t>
  </si>
  <si>
    <t>2305174-0/002</t>
  </si>
  <si>
    <t>Saco plástico para Lixo - 30 Li</t>
  </si>
  <si>
    <t>2305174-0/003</t>
  </si>
  <si>
    <t>Saco plástico para Lixo - 50 Li</t>
  </si>
  <si>
    <t>2305174-0/004</t>
  </si>
  <si>
    <t>Saco plástico para Lixo - 100 L</t>
  </si>
  <si>
    <t>2305174-0/005</t>
  </si>
  <si>
    <t>Saco plástico para Lixo - 70 Li</t>
  </si>
  <si>
    <t>2305174-0/006</t>
  </si>
  <si>
    <t>Saco plástico para Lixo - 110 L</t>
  </si>
  <si>
    <t>2305174-0/007</t>
  </si>
  <si>
    <t>Saco plástico para Lixo - 240 L</t>
  </si>
  <si>
    <t>2305175-0/001</t>
  </si>
  <si>
    <t>ORLA DISTR / ORLA DISTR</t>
  </si>
  <si>
    <t>2305175-0/002</t>
  </si>
  <si>
    <t>2305175-0/003</t>
  </si>
  <si>
    <t>2305175-0/004</t>
  </si>
  <si>
    <t>2305175-0/005</t>
  </si>
  <si>
    <t>2305175-0/006</t>
  </si>
  <si>
    <t>2305175-0/007</t>
  </si>
  <si>
    <t>100 unidades</t>
  </si>
  <si>
    <t>2305177-0/001</t>
  </si>
  <si>
    <t>Cabo de Fibra Óptica CFOAC-B</t>
  </si>
  <si>
    <t xml:space="preserve"> 500 METROS</t>
  </si>
  <si>
    <t>2305179-0/002</t>
  </si>
  <si>
    <t>PRYSMIAN ( / PRYSMIAN (</t>
  </si>
  <si>
    <t>Cabo Anti-tracking Al tensão 1</t>
  </si>
  <si>
    <t>01 Laço com 2 conexões</t>
  </si>
  <si>
    <t>2306002-0/001</t>
  </si>
  <si>
    <t>ASSA ABLOY / ASSA ABLOY</t>
  </si>
  <si>
    <t>Fechadura digital Yale - Model</t>
  </si>
  <si>
    <t>2306003-1/001</t>
  </si>
  <si>
    <t>Cabo CTRL-Flex Toxfree Blind</t>
  </si>
  <si>
    <t xml:space="preserve"> APROXIMADAMENTE 2 METROS</t>
  </si>
  <si>
    <t>2306037-0/001</t>
  </si>
  <si>
    <t>MAJE / MAJE</t>
  </si>
  <si>
    <t>Disjuntor termomagnético 2P 5</t>
  </si>
  <si>
    <t>2306043-1/001</t>
  </si>
  <si>
    <t>COLUMBUS T / COLUMBUS T</t>
  </si>
  <si>
    <t>Abraçadeira 108x127x14mm</t>
  </si>
  <si>
    <t>2306043-1/002</t>
  </si>
  <si>
    <t>Abraçadeira 146x127x14mm</t>
  </si>
  <si>
    <t>S</t>
  </si>
  <si>
    <t>2306043-1/003</t>
  </si>
  <si>
    <t>Abraçadeira 152x171x14mm</t>
  </si>
  <si>
    <t>2306043-1/004</t>
  </si>
  <si>
    <t>Abraçadeira 197x216x14mm</t>
  </si>
  <si>
    <t>2306044-0/001</t>
  </si>
  <si>
    <t>HPPT DO BR / HPPT DO BR</t>
  </si>
  <si>
    <t>Tubo PVC - Amarelo - HPPT- 0</t>
  </si>
  <si>
    <t xml:space="preserve"> 2 METROS</t>
  </si>
  <si>
    <t>2306057-1/001</t>
  </si>
  <si>
    <t xml:space="preserve">Cabo Heproterm flex controle </t>
  </si>
  <si>
    <t xml:space="preserve"> 4 CORPOS DE PROVA</t>
  </si>
  <si>
    <t>2306087-0/001</t>
  </si>
  <si>
    <t xml:space="preserve"> 1 unidade</t>
  </si>
  <si>
    <t>Page 10 of 10</t>
  </si>
  <si>
    <t>Data Impressão</t>
  </si>
  <si>
    <t>Atraso O.S</t>
  </si>
  <si>
    <t>Não</t>
  </si>
  <si>
    <t>Sim</t>
  </si>
  <si>
    <t>Atraso Rep</t>
  </si>
  <si>
    <t>Laboratorio</t>
  </si>
  <si>
    <t>Tomada</t>
  </si>
  <si>
    <t>Cabo</t>
  </si>
  <si>
    <t>ESMALTE</t>
  </si>
  <si>
    <t>Fio</t>
  </si>
  <si>
    <t>Inversor</t>
  </si>
  <si>
    <t>Eletroduto</t>
  </si>
  <si>
    <t>Conector</t>
  </si>
  <si>
    <t>COMPOSTO</t>
  </si>
  <si>
    <t>Canaleta</t>
  </si>
  <si>
    <t>Composto</t>
  </si>
  <si>
    <t>Contentor</t>
  </si>
  <si>
    <t>Disjuntor</t>
  </si>
  <si>
    <t>Central</t>
  </si>
  <si>
    <t>Liquidificador</t>
  </si>
  <si>
    <t>SPL-408</t>
  </si>
  <si>
    <t>SPL-405</t>
  </si>
  <si>
    <t>Fritadeira</t>
  </si>
  <si>
    <t>SPL-513</t>
  </si>
  <si>
    <t>Embaladora</t>
  </si>
  <si>
    <t>Seladora</t>
  </si>
  <si>
    <t>Terminais</t>
  </si>
  <si>
    <t>Porta</t>
  </si>
  <si>
    <t>Parede</t>
  </si>
  <si>
    <t>Cordão</t>
  </si>
  <si>
    <t>Gerador</t>
  </si>
  <si>
    <t>DPS</t>
  </si>
  <si>
    <t>LUVA</t>
  </si>
  <si>
    <t>Tapete</t>
  </si>
  <si>
    <t>Lavadora</t>
  </si>
  <si>
    <t>Clamper</t>
  </si>
  <si>
    <t>Kit</t>
  </si>
  <si>
    <t>CABO</t>
  </si>
  <si>
    <t>Hidrolavadora</t>
  </si>
  <si>
    <t>Modelador</t>
  </si>
  <si>
    <t>AMOSTRA</t>
  </si>
  <si>
    <t>Religador</t>
  </si>
  <si>
    <t>Banqueta</t>
  </si>
  <si>
    <t>Escada</t>
  </si>
  <si>
    <t>PRANCHA/ESCADA</t>
  </si>
  <si>
    <t>Plugue</t>
  </si>
  <si>
    <t>Crielight</t>
  </si>
  <si>
    <t>Vick</t>
  </si>
  <si>
    <t>Plastireal</t>
  </si>
  <si>
    <t>Cadeira</t>
  </si>
  <si>
    <t>Tealon</t>
  </si>
  <si>
    <t>TF1510W</t>
  </si>
  <si>
    <t>Interruptor</t>
  </si>
  <si>
    <t>Secador</t>
  </si>
  <si>
    <t>Splices</t>
  </si>
  <si>
    <t>Terminal</t>
  </si>
  <si>
    <t>Alessi</t>
  </si>
  <si>
    <t>Fita</t>
  </si>
  <si>
    <t>Massa</t>
  </si>
  <si>
    <t>Assento</t>
  </si>
  <si>
    <t>Adaptador</t>
  </si>
  <si>
    <t>Lona</t>
  </si>
  <si>
    <t>Forro</t>
  </si>
  <si>
    <t>Polipropileno</t>
  </si>
  <si>
    <t>Telha</t>
  </si>
  <si>
    <t>Painel</t>
  </si>
  <si>
    <t>ESPAGUETE</t>
  </si>
  <si>
    <t>Bloco</t>
  </si>
  <si>
    <t>Eletrificador</t>
  </si>
  <si>
    <t>Corpos</t>
  </si>
  <si>
    <t>Módulo</t>
  </si>
  <si>
    <t>Saco</t>
  </si>
  <si>
    <t>Fechadura</t>
  </si>
  <si>
    <t>Abraçadeira</t>
  </si>
  <si>
    <t>Tubo</t>
  </si>
  <si>
    <t>PLUGUES</t>
  </si>
  <si>
    <t>CABOS</t>
  </si>
  <si>
    <t>DIVERSOS</t>
  </si>
  <si>
    <t>ELETRODOMÉSTICO</t>
  </si>
  <si>
    <t>FOGO</t>
  </si>
  <si>
    <t>QUÍMICO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</si>
</sst>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FF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13" fillId="0" borderId="0">
      <alignment vertical="top"/>
    </xf>
  </cellStyleXfs>
  <cellXfs count="156">
    <xf numFmtId="0" fontId="0" fillId="0" borderId="0" xfId="0"/>
    <xf numFmtId="0" fontId="4" fillId="8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1" fillId="0" borderId="0" xfId="0" applyFont="1" applyProtection="1">
      <protection hidden="1"/>
    </xf>
    <xf numFmtId="0" fontId="2" fillId="4" borderId="7" xfId="0" applyFont="1" applyFill="1" applyBorder="1" applyAlignment="1" applyProtection="1">
      <alignment horizontal="center" vertical="center"/>
      <protection hidden="1"/>
    </xf>
    <xf numFmtId="0" fontId="2" fillId="4" borderId="1" xfId="0" applyFont="1" applyFill="1" applyBorder="1" applyAlignment="1" applyProtection="1">
      <alignment horizontal="center" vertical="center"/>
      <protection hidden="1"/>
    </xf>
    <xf numFmtId="0" fontId="2" fillId="4" borderId="2" xfId="0" applyFont="1" applyFill="1" applyBorder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1" fillId="6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6" borderId="12" xfId="0" applyFont="1" applyFill="1" applyBorder="1" applyAlignment="1" applyProtection="1">
      <alignment horizontal="center" vertical="center"/>
      <protection hidden="1"/>
    </xf>
    <xf numFmtId="0" fontId="1" fillId="0" borderId="3" xfId="0" applyFont="1" applyBorder="1" applyProtection="1">
      <protection hidden="1"/>
    </xf>
    <xf numFmtId="0" fontId="1" fillId="6" borderId="2" xfId="0" applyFont="1" applyFill="1" applyBorder="1" applyAlignment="1" applyProtection="1">
      <alignment horizontal="center" vertical="center"/>
      <protection hidden="1"/>
    </xf>
    <xf numFmtId="9" fontId="0" fillId="7" borderId="1" xfId="1" applyFont="1" applyFill="1" applyBorder="1" applyAlignment="1">
      <alignment horizontal="center" vertical="center"/>
    </xf>
    <xf numFmtId="9" fontId="1" fillId="6" borderId="15" xfId="1" applyFont="1" applyFill="1" applyBorder="1" applyAlignment="1" applyProtection="1">
      <alignment horizontal="center" vertical="center"/>
      <protection hidden="1"/>
    </xf>
    <xf numFmtId="9" fontId="0" fillId="9" borderId="1" xfId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Protection="1">
      <protection hidden="1"/>
    </xf>
    <xf numFmtId="0" fontId="9" fillId="0" borderId="0" xfId="0" applyFont="1"/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2" fillId="4" borderId="9" xfId="0" applyFont="1" applyFill="1" applyBorder="1" applyAlignment="1" applyProtection="1">
      <alignment horizontal="center" vertical="center"/>
      <protection hidden="1"/>
    </xf>
    <xf numFmtId="0" fontId="12" fillId="4" borderId="6" xfId="0" applyFont="1" applyFill="1" applyBorder="1" applyAlignment="1" applyProtection="1">
      <alignment horizontal="center" vertical="center"/>
      <protection hidden="1"/>
    </xf>
    <xf numFmtId="0" fontId="10" fillId="6" borderId="14" xfId="0" applyFont="1" applyFill="1" applyBorder="1" applyAlignment="1" applyProtection="1">
      <alignment horizontal="center" vertical="center"/>
      <protection hidden="1"/>
    </xf>
    <xf numFmtId="0" fontId="10" fillId="6" borderId="7" xfId="0" applyFont="1" applyFill="1" applyBorder="1" applyAlignment="1" applyProtection="1">
      <alignment horizontal="center" vertical="center"/>
      <protection hidden="1"/>
    </xf>
    <xf numFmtId="9" fontId="10" fillId="6" borderId="15" xfId="1" applyFont="1" applyFill="1" applyBorder="1" applyAlignment="1" applyProtection="1">
      <alignment horizontal="center" vertical="center"/>
      <protection hidden="1"/>
    </xf>
    <xf numFmtId="0" fontId="0" fillId="10" borderId="1" xfId="0" applyFill="1" applyBorder="1" applyAlignment="1">
      <alignment horizontal="center" vertical="center"/>
    </xf>
    <xf numFmtId="0" fontId="0" fillId="10" borderId="1" xfId="0" quotePrefix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1" xfId="0" quotePrefix="1" applyFont="1" applyFill="1" applyBorder="1" applyAlignment="1">
      <alignment horizontal="center" vertical="center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4" fillId="11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0" fillId="6" borderId="1" xfId="0" quotePrefix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4" fillId="13" borderId="0" xfId="2" applyFont="1" applyFill="1">
      <alignment vertical="top"/>
    </xf>
    <xf numFmtId="0" fontId="14" fillId="13" borderId="23" xfId="2" applyFont="1" applyFill="1" applyBorder="1" applyAlignment="1">
      <alignment horizontal="center" vertical="center"/>
    </xf>
    <xf numFmtId="0" fontId="14" fillId="13" borderId="23" xfId="2" applyFont="1" applyFill="1" applyBorder="1" applyAlignment="1">
      <alignment horizontal="left" vertical="center"/>
    </xf>
    <xf numFmtId="0" fontId="14" fillId="13" borderId="6" xfId="2" applyFont="1" applyFill="1" applyBorder="1">
      <alignment vertical="top"/>
    </xf>
    <xf numFmtId="0" fontId="14" fillId="13" borderId="8" xfId="2" applyFont="1" applyFill="1" applyBorder="1">
      <alignment vertical="top"/>
    </xf>
    <xf numFmtId="0" fontId="14" fillId="13" borderId="9" xfId="2" applyFont="1" applyFill="1" applyBorder="1">
      <alignment vertical="top"/>
    </xf>
    <xf numFmtId="0" fontId="14" fillId="13" borderId="0" xfId="2" applyFont="1" applyFill="1" applyAlignment="1">
      <alignment horizontal="center" vertical="center"/>
    </xf>
    <xf numFmtId="14" fontId="14" fillId="13" borderId="23" xfId="2" applyNumberFormat="1" applyFont="1" applyFill="1" applyBorder="1" applyAlignment="1">
      <alignment horizontal="center" vertical="center"/>
    </xf>
    <xf numFmtId="0" fontId="14" fillId="13" borderId="6" xfId="2" applyFont="1" applyFill="1" applyBorder="1" applyAlignment="1">
      <alignment horizontal="center" vertical="center"/>
    </xf>
    <xf numFmtId="0" fontId="14" fillId="13" borderId="9" xfId="2" applyFont="1" applyFill="1" applyBorder="1" applyAlignment="1">
      <alignment horizontal="center" vertical="center"/>
    </xf>
    <xf numFmtId="0" fontId="14" fillId="13" borderId="26" xfId="2" applyFont="1" applyFill="1" applyBorder="1" applyAlignment="1">
      <alignment horizontal="center" vertical="center"/>
    </xf>
    <xf numFmtId="0" fontId="15" fillId="13" borderId="23" xfId="2" applyFont="1" applyFill="1" applyBorder="1" applyAlignment="1">
      <alignment horizontal="center" vertical="center"/>
    </xf>
    <xf numFmtId="0" fontId="15" fillId="13" borderId="0" xfId="2" applyFont="1" applyFill="1">
      <alignment vertical="top"/>
    </xf>
    <xf numFmtId="0" fontId="15" fillId="13" borderId="23" xfId="2" applyFont="1" applyFill="1" applyBorder="1" applyAlignment="1">
      <alignment horizontal="left" vertical="center"/>
    </xf>
    <xf numFmtId="0" fontId="15" fillId="13" borderId="6" xfId="2" applyFont="1" applyFill="1" applyBorder="1">
      <alignment vertical="top"/>
    </xf>
    <xf numFmtId="0" fontId="15" fillId="13" borderId="8" xfId="2" applyFont="1" applyFill="1" applyBorder="1">
      <alignment vertical="top"/>
    </xf>
    <xf numFmtId="0" fontId="15" fillId="13" borderId="9" xfId="2" applyFont="1" applyFill="1" applyBorder="1">
      <alignment vertical="top"/>
    </xf>
    <xf numFmtId="0" fontId="15" fillId="13" borderId="0" xfId="2" applyFont="1" applyFill="1" applyAlignment="1">
      <alignment horizontal="center" vertical="center"/>
    </xf>
    <xf numFmtId="14" fontId="15" fillId="13" borderId="23" xfId="2" applyNumberFormat="1" applyFont="1" applyFill="1" applyBorder="1" applyAlignment="1">
      <alignment horizontal="center" vertical="center"/>
    </xf>
    <xf numFmtId="0" fontId="15" fillId="13" borderId="6" xfId="2" applyFont="1" applyFill="1" applyBorder="1" applyAlignment="1">
      <alignment horizontal="center" vertical="center"/>
    </xf>
    <xf numFmtId="0" fontId="15" fillId="13" borderId="9" xfId="2" applyFont="1" applyFill="1" applyBorder="1" applyAlignment="1">
      <alignment horizontal="center" vertical="center"/>
    </xf>
    <xf numFmtId="0" fontId="14" fillId="13" borderId="25" xfId="2" applyFont="1" applyFill="1" applyBorder="1">
      <alignment vertical="top"/>
    </xf>
    <xf numFmtId="0" fontId="14" fillId="13" borderId="25" xfId="2" applyFont="1" applyFill="1" applyBorder="1" applyAlignment="1">
      <alignment horizontal="center" vertical="center"/>
    </xf>
    <xf numFmtId="0" fontId="14" fillId="13" borderId="25" xfId="2" applyFont="1" applyFill="1" applyBorder="1" applyAlignment="1">
      <alignment horizontal="left" vertical="center"/>
    </xf>
    <xf numFmtId="14" fontId="14" fillId="13" borderId="25" xfId="2" applyNumberFormat="1" applyFont="1" applyFill="1" applyBorder="1" applyAlignment="1">
      <alignment horizontal="center" vertical="center"/>
    </xf>
    <xf numFmtId="0" fontId="15" fillId="13" borderId="19" xfId="2" applyFont="1" applyFill="1" applyBorder="1" applyAlignment="1">
      <alignment horizontal="center" vertical="center"/>
    </xf>
    <xf numFmtId="0" fontId="15" fillId="13" borderId="24" xfId="2" applyFont="1" applyFill="1" applyBorder="1" applyAlignment="1">
      <alignment horizontal="center" vertical="center"/>
    </xf>
    <xf numFmtId="0" fontId="15" fillId="13" borderId="19" xfId="2" applyFont="1" applyFill="1" applyBorder="1" applyAlignment="1">
      <alignment horizontal="center" vertical="center" readingOrder="1"/>
    </xf>
    <xf numFmtId="0" fontId="15" fillId="13" borderId="24" xfId="2" applyFont="1" applyFill="1" applyBorder="1" applyAlignment="1">
      <alignment horizontal="center" vertical="center" readingOrder="1"/>
    </xf>
    <xf numFmtId="0" fontId="15" fillId="13" borderId="20" xfId="2" applyFont="1" applyFill="1" applyBorder="1" applyAlignment="1">
      <alignment horizontal="center" vertical="center" readingOrder="1"/>
    </xf>
    <xf numFmtId="0" fontId="15" fillId="13" borderId="21" xfId="2" applyFont="1" applyFill="1" applyBorder="1" applyAlignment="1">
      <alignment horizontal="center" vertical="center"/>
    </xf>
    <xf numFmtId="0" fontId="15" fillId="13" borderId="22" xfId="2" applyFont="1" applyFill="1" applyBorder="1" applyAlignment="1">
      <alignment horizontal="center" vertical="center" readingOrder="1"/>
    </xf>
    <xf numFmtId="14" fontId="15" fillId="13" borderId="24" xfId="2" applyNumberFormat="1" applyFont="1" applyFill="1" applyBorder="1" applyAlignment="1">
      <alignment horizontal="center" vertical="center"/>
    </xf>
    <xf numFmtId="14" fontId="15" fillId="13" borderId="24" xfId="2" applyNumberFormat="1" applyFont="1" applyFill="1" applyBorder="1" applyAlignment="1">
      <alignment horizontal="center" vertical="center" readingOrder="1"/>
    </xf>
    <xf numFmtId="0" fontId="15" fillId="13" borderId="27" xfId="2" applyFont="1" applyFill="1" applyBorder="1" applyAlignment="1">
      <alignment horizontal="center" vertical="center"/>
    </xf>
    <xf numFmtId="0" fontId="15" fillId="13" borderId="0" xfId="2" applyFont="1" applyFill="1" applyAlignment="1">
      <alignment horizontal="left" vertical="top" readingOrder="1"/>
    </xf>
    <xf numFmtId="0" fontId="14" fillId="13" borderId="6" xfId="2" applyFont="1" applyFill="1" applyBorder="1" applyAlignment="1">
      <alignment horizontal="left" vertical="top"/>
    </xf>
    <xf numFmtId="0" fontId="15" fillId="13" borderId="9" xfId="2" applyFont="1" applyFill="1" applyBorder="1" applyAlignment="1">
      <alignment horizontal="left" vertical="top"/>
    </xf>
    <xf numFmtId="164" fontId="14" fillId="13" borderId="6" xfId="2" applyNumberFormat="1" applyFont="1" applyFill="1" applyBorder="1" applyAlignment="1">
      <alignment horizontal="center" vertical="center"/>
    </xf>
    <xf numFmtId="164" fontId="14" fillId="13" borderId="9" xfId="2" applyNumberFormat="1" applyFont="1" applyFill="1" applyBorder="1" applyAlignment="1">
      <alignment horizontal="center" vertical="center"/>
    </xf>
    <xf numFmtId="164" fontId="14" fillId="13" borderId="0" xfId="2" applyNumberFormat="1" applyFont="1" applyFill="1" applyAlignment="1">
      <alignment horizontal="center" vertical="center"/>
    </xf>
    <xf numFmtId="164" fontId="14" fillId="13" borderId="23" xfId="2" applyNumberFormat="1" applyFont="1" applyFill="1" applyBorder="1" applyAlignment="1">
      <alignment horizontal="center" vertical="center"/>
    </xf>
    <xf numFmtId="0" fontId="15" fillId="13" borderId="0" xfId="2" applyFont="1" applyFill="1" applyAlignment="1">
      <alignment horizontal="left" vertical="top"/>
    </xf>
    <xf numFmtId="14" fontId="15" fillId="13" borderId="23" xfId="2" applyNumberFormat="1" applyFont="1" applyFill="1" applyBorder="1" applyAlignment="1">
      <alignment horizontal="center" vertical="center" readingOrder="1"/>
    </xf>
    <xf numFmtId="14" fontId="14" fillId="13" borderId="23" xfId="2" applyNumberFormat="1" applyFont="1" applyFill="1" applyBorder="1" applyAlignment="1">
      <alignment horizontal="center" vertical="center" readingOrder="1"/>
    </xf>
    <xf numFmtId="0" fontId="15" fillId="13" borderId="0" xfId="2" applyFont="1" applyFill="1" applyAlignment="1">
      <alignment horizontal="center" vertical="center" readingOrder="1"/>
    </xf>
    <xf numFmtId="0" fontId="16" fillId="10" borderId="1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7" fillId="14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left" vertical="center"/>
    </xf>
    <xf numFmtId="0" fontId="17" fillId="14" borderId="17" xfId="0" applyFont="1" applyFill="1" applyBorder="1" applyAlignment="1">
      <alignment horizontal="center" vertical="center"/>
    </xf>
    <xf numFmtId="0" fontId="17" fillId="14" borderId="18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4" fillId="15" borderId="0" xfId="2" applyFont="1" applyFill="1">
      <alignment vertical="top"/>
    </xf>
    <xf numFmtId="0" fontId="14" fillId="15" borderId="23" xfId="2" applyFont="1" applyFill="1" applyBorder="1" applyAlignment="1">
      <alignment horizontal="center" vertical="center"/>
    </xf>
    <xf numFmtId="0" fontId="15" fillId="15" borderId="0" xfId="2" applyFont="1" applyFill="1">
      <alignment vertical="top"/>
    </xf>
    <xf numFmtId="0" fontId="14" fillId="15" borderId="23" xfId="2" applyFont="1" applyFill="1" applyBorder="1" applyAlignment="1">
      <alignment horizontal="left" vertical="center"/>
    </xf>
    <xf numFmtId="0" fontId="15" fillId="15" borderId="0" xfId="2" applyFont="1" applyFill="1" applyAlignment="1">
      <alignment horizontal="left" vertical="top" readingOrder="1"/>
    </xf>
    <xf numFmtId="0" fontId="14" fillId="15" borderId="6" xfId="2" applyFont="1" applyFill="1" applyBorder="1" applyAlignment="1">
      <alignment horizontal="left" vertical="top"/>
    </xf>
    <xf numFmtId="0" fontId="14" fillId="15" borderId="8" xfId="2" applyFont="1" applyFill="1" applyBorder="1">
      <alignment vertical="top"/>
    </xf>
    <xf numFmtId="0" fontId="15" fillId="15" borderId="9" xfId="2" applyFont="1" applyFill="1" applyBorder="1" applyAlignment="1">
      <alignment horizontal="left" vertical="top"/>
    </xf>
    <xf numFmtId="0" fontId="14" fillId="15" borderId="0" xfId="2" applyFont="1" applyFill="1" applyAlignment="1">
      <alignment horizontal="center" vertical="center"/>
    </xf>
    <xf numFmtId="0" fontId="15" fillId="15" borderId="0" xfId="2" applyFont="1" applyFill="1" applyAlignment="1">
      <alignment horizontal="center" vertical="center"/>
    </xf>
    <xf numFmtId="14" fontId="14" fillId="15" borderId="23" xfId="2" applyNumberFormat="1" applyFont="1" applyFill="1" applyBorder="1" applyAlignment="1">
      <alignment horizontal="center" vertical="center"/>
    </xf>
    <xf numFmtId="164" fontId="14" fillId="15" borderId="6" xfId="2" applyNumberFormat="1" applyFont="1" applyFill="1" applyBorder="1" applyAlignment="1">
      <alignment horizontal="center" vertical="center"/>
    </xf>
    <xf numFmtId="164" fontId="14" fillId="15" borderId="9" xfId="2" applyNumberFormat="1" applyFont="1" applyFill="1" applyBorder="1" applyAlignment="1">
      <alignment horizontal="center" vertical="center"/>
    </xf>
    <xf numFmtId="164" fontId="14" fillId="15" borderId="0" xfId="2" applyNumberFormat="1" applyFont="1" applyFill="1" applyAlignment="1">
      <alignment horizontal="center" vertical="center"/>
    </xf>
    <xf numFmtId="164" fontId="14" fillId="15" borderId="23" xfId="2" applyNumberFormat="1" applyFont="1" applyFill="1" applyBorder="1" applyAlignment="1">
      <alignment horizontal="center" vertical="center"/>
    </xf>
    <xf numFmtId="0" fontId="14" fillId="15" borderId="26" xfId="2" applyFont="1" applyFill="1" applyBorder="1" applyAlignment="1">
      <alignment horizontal="center" vertical="center"/>
    </xf>
    <xf numFmtId="0" fontId="14" fillId="15" borderId="6" xfId="2" applyFont="1" applyFill="1" applyBorder="1">
      <alignment vertical="top"/>
    </xf>
    <xf numFmtId="0" fontId="15" fillId="15" borderId="0" xfId="2" applyFont="1" applyFill="1" applyAlignment="1">
      <alignment horizontal="left" vertical="top"/>
    </xf>
    <xf numFmtId="0" fontId="18" fillId="13" borderId="23" xfId="2" applyFont="1" applyFill="1" applyBorder="1" applyAlignment="1">
      <alignment horizontal="left" vertical="center"/>
    </xf>
    <xf numFmtId="0" fontId="1" fillId="0" borderId="11" xfId="0" applyFont="1" applyBorder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1" fillId="6" borderId="7" xfId="0" applyFont="1" applyFill="1" applyBorder="1" applyAlignment="1" applyProtection="1">
      <alignment horizontal="center" vertical="center"/>
      <protection hidden="1"/>
    </xf>
    <xf numFmtId="0" fontId="1" fillId="6" borderId="9" xfId="0" applyFont="1" applyFill="1" applyBorder="1" applyAlignment="1" applyProtection="1">
      <alignment horizontal="center" vertical="center"/>
      <protection hidden="1"/>
    </xf>
    <xf numFmtId="0" fontId="1" fillId="6" borderId="13" xfId="0" applyFont="1" applyFill="1" applyBorder="1" applyAlignment="1" applyProtection="1">
      <alignment horizontal="center" vertical="center"/>
      <protection hidden="1"/>
    </xf>
    <xf numFmtId="9" fontId="1" fillId="6" borderId="15" xfId="1" applyFont="1" applyFill="1" applyBorder="1" applyAlignment="1" applyProtection="1">
      <alignment horizontal="center" vertical="center"/>
      <protection hidden="1"/>
    </xf>
    <xf numFmtId="9" fontId="1" fillId="6" borderId="6" xfId="1" applyFont="1" applyFill="1" applyBorder="1" applyAlignment="1" applyProtection="1">
      <alignment horizontal="center" vertical="center"/>
      <protection hidden="1"/>
    </xf>
    <xf numFmtId="9" fontId="1" fillId="6" borderId="10" xfId="1" applyFont="1" applyFill="1" applyBorder="1" applyAlignment="1" applyProtection="1">
      <alignment horizontal="center" vertical="center"/>
      <protection hidden="1"/>
    </xf>
    <xf numFmtId="0" fontId="2" fillId="4" borderId="5" xfId="0" applyFont="1" applyFill="1" applyBorder="1" applyAlignment="1" applyProtection="1">
      <alignment horizontal="center" vertical="center" textRotation="255"/>
      <protection hidden="1"/>
    </xf>
    <xf numFmtId="0" fontId="2" fillId="4" borderId="1" xfId="0" applyFont="1" applyFill="1" applyBorder="1" applyAlignment="1" applyProtection="1">
      <alignment horizontal="center" vertical="center" textRotation="255"/>
      <protection hidden="1"/>
    </xf>
    <xf numFmtId="0" fontId="2" fillId="11" borderId="2" xfId="0" applyFont="1" applyFill="1" applyBorder="1" applyAlignment="1" applyProtection="1">
      <alignment horizontal="center" vertical="center"/>
      <protection hidden="1"/>
    </xf>
    <xf numFmtId="0" fontId="2" fillId="11" borderId="12" xfId="0" applyFont="1" applyFill="1" applyBorder="1" applyAlignment="1" applyProtection="1">
      <alignment horizontal="center" vertical="center"/>
      <protection hidden="1"/>
    </xf>
    <xf numFmtId="0" fontId="2" fillId="11" borderId="3" xfId="0" applyFont="1" applyFill="1" applyBorder="1" applyAlignment="1" applyProtection="1">
      <alignment horizontal="center" vertical="center"/>
      <protection hidden="1"/>
    </xf>
    <xf numFmtId="0" fontId="3" fillId="4" borderId="1" xfId="0" applyFont="1" applyFill="1" applyBorder="1" applyAlignment="1" applyProtection="1">
      <alignment horizontal="center" vertical="center"/>
      <protection hidden="1"/>
    </xf>
    <xf numFmtId="0" fontId="2" fillId="4" borderId="11" xfId="0" applyFont="1" applyFill="1" applyBorder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4" xfId="0" applyFont="1" applyFill="1" applyBorder="1" applyAlignment="1" applyProtection="1">
      <alignment horizontal="center" vertical="center"/>
      <protection hidden="1"/>
    </xf>
    <xf numFmtId="0" fontId="2" fillId="4" borderId="5" xfId="0" applyFont="1" applyFill="1" applyBorder="1" applyAlignment="1" applyProtection="1">
      <alignment horizontal="center" vertical="center"/>
      <protection hidden="1"/>
    </xf>
    <xf numFmtId="0" fontId="2" fillId="4" borderId="8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/>
      <protection hidden="1"/>
    </xf>
    <xf numFmtId="0" fontId="2" fillId="4" borderId="15" xfId="0" applyFont="1" applyFill="1" applyBorder="1" applyAlignment="1" applyProtection="1">
      <alignment horizontal="center" vertical="center"/>
      <protection hidden="1"/>
    </xf>
    <xf numFmtId="0" fontId="2" fillId="4" borderId="9" xfId="0" applyFont="1" applyFill="1" applyBorder="1" applyAlignment="1" applyProtection="1">
      <alignment horizontal="center" vertical="center"/>
      <protection hidden="1"/>
    </xf>
    <xf numFmtId="0" fontId="2" fillId="4" borderId="6" xfId="0" applyFont="1" applyFill="1" applyBorder="1" applyAlignment="1" applyProtection="1">
      <alignment horizontal="center" vertical="center"/>
      <protection hidden="1"/>
    </xf>
    <xf numFmtId="0" fontId="5" fillId="8" borderId="2" xfId="0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12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</cellXfs>
  <cellStyles count="3">
    <cellStyle name="Normal" xfId="0" builtinId="0"/>
    <cellStyle name="Normal 2" xfId="2" xr:uid="{62BC676A-AE45-47FD-B0E6-6F9B754201F2}"/>
    <cellStyle name="Porcentagem" xfId="1" builtinId="5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atrasos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Atrasos!$K$3</c:f>
              <c:strCache>
                <c:ptCount val="1"/>
                <c:pt idx="0">
                  <c:v>REP: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Atrasos!$L$3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E-42F6-8C85-63CCF2355438}"/>
            </c:ext>
          </c:extLst>
        </c:ser>
        <c:ser>
          <c:idx val="2"/>
          <c:order val="1"/>
          <c:tx>
            <c:strRef>
              <c:f>Atrasos!$K$5</c:f>
              <c:strCache>
                <c:ptCount val="1"/>
                <c:pt idx="0">
                  <c:v>Cabos: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Atrasos!$K$5:$L$5</c:f>
              <c:numCache>
                <c:formatCode>General</c:formatCode>
                <c:ptCount val="2"/>
                <c:pt idx="0">
                  <c:v>0</c:v>
                </c:pt>
                <c:pt idx="1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E-42F6-8C85-63CCF2355438}"/>
            </c:ext>
          </c:extLst>
        </c:ser>
        <c:ser>
          <c:idx val="3"/>
          <c:order val="2"/>
          <c:tx>
            <c:strRef>
              <c:f>Atrasos!$K$7</c:f>
              <c:strCache>
                <c:ptCount val="1"/>
                <c:pt idx="0">
                  <c:v>Diversos: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Atrasos!$K$7:$L$7</c:f>
              <c:numCache>
                <c:formatCode>General</c:formatCode>
                <c:ptCount val="2"/>
                <c:pt idx="0">
                  <c:v>0</c:v>
                </c:pt>
                <c:pt idx="1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CE-42F6-8C85-63CCF2355438}"/>
            </c:ext>
          </c:extLst>
        </c:ser>
        <c:ser>
          <c:idx val="4"/>
          <c:order val="3"/>
          <c:tx>
            <c:strRef>
              <c:f>Atrasos!$K$9</c:f>
              <c:strCache>
                <c:ptCount val="1"/>
                <c:pt idx="0">
                  <c:v>Químico: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Atrasos!$K$9:$L$9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CE-42F6-8C85-63CCF2355438}"/>
            </c:ext>
          </c:extLst>
        </c:ser>
        <c:ser>
          <c:idx val="5"/>
          <c:order val="4"/>
          <c:tx>
            <c:strRef>
              <c:f>Atrasos!$K$11</c:f>
              <c:strCache>
                <c:ptCount val="1"/>
                <c:pt idx="0">
                  <c:v>Fogo: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Atrasos!$K$11:$L$11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CE-42F6-8C85-63CCF2355438}"/>
            </c:ext>
          </c:extLst>
        </c:ser>
        <c:ser>
          <c:idx val="6"/>
          <c:order val="5"/>
          <c:tx>
            <c:strRef>
              <c:f>Atrasos!$K$13</c:f>
              <c:strCache>
                <c:ptCount val="1"/>
                <c:pt idx="0">
                  <c:v>Plugues: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Atrasos!$K$13:$L$13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CE-42F6-8C85-63CCF2355438}"/>
            </c:ext>
          </c:extLst>
        </c:ser>
        <c:ser>
          <c:idx val="7"/>
          <c:order val="6"/>
          <c:tx>
            <c:strRef>
              <c:f>Atrasos!$K$15</c:f>
              <c:strCache>
                <c:ptCount val="1"/>
                <c:pt idx="0">
                  <c:v>Eletrodoméstico: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Atrasos!$K$15:$L$15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CE-42F6-8C85-63CCF2355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745344"/>
        <c:axId val="96746880"/>
      </c:barChart>
      <c:catAx>
        <c:axId val="9674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746880"/>
        <c:crosses val="autoZero"/>
        <c:auto val="1"/>
        <c:lblAlgn val="ctr"/>
        <c:lblOffset val="100"/>
        <c:noMultiLvlLbl val="0"/>
      </c:catAx>
      <c:valAx>
        <c:axId val="9674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745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atrasos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Atrasos!$N$41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Atrasos!$O$39:$AA$40</c:f>
              <c:strCache>
                <c:ptCount val="13"/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Atrasos!$O$41:$AA$41</c:f>
              <c:numCache>
                <c:formatCode>General</c:formatCode>
                <c:ptCount val="13"/>
                <c:pt idx="1">
                  <c:v>8</c:v>
                </c:pt>
                <c:pt idx="2">
                  <c:v>8</c:v>
                </c:pt>
                <c:pt idx="3">
                  <c:v>2</c:v>
                </c:pt>
                <c:pt idx="4">
                  <c:v>7</c:v>
                </c:pt>
                <c:pt idx="5">
                  <c:v>4</c:v>
                </c:pt>
                <c:pt idx="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F-4DFD-A6C4-DFB2CA2BC628}"/>
            </c:ext>
          </c:extLst>
        </c:ser>
        <c:ser>
          <c:idx val="1"/>
          <c:order val="1"/>
          <c:tx>
            <c:strRef>
              <c:f>Atrasos!$N$42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Atrasos!$O$39:$AA$40</c:f>
              <c:strCache>
                <c:ptCount val="13"/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Atrasos!$O$42:$AA$42</c:f>
              <c:numCache>
                <c:formatCode>General</c:formatCode>
                <c:ptCount val="13"/>
                <c:pt idx="1">
                  <c:v>33</c:v>
                </c:pt>
                <c:pt idx="2">
                  <c:v>25</c:v>
                </c:pt>
                <c:pt idx="3">
                  <c:v>32</c:v>
                </c:pt>
                <c:pt idx="4">
                  <c:v>54</c:v>
                </c:pt>
                <c:pt idx="5">
                  <c:v>74</c:v>
                </c:pt>
                <c:pt idx="6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8F-4DFD-A6C4-DFB2CA2BC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946704"/>
        <c:axId val="480946048"/>
      </c:lineChart>
      <c:catAx>
        <c:axId val="48094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048"/>
        <c:crosses val="autoZero"/>
        <c:auto val="1"/>
        <c:lblAlgn val="ctr"/>
        <c:lblOffset val="100"/>
        <c:noMultiLvlLbl val="0"/>
      </c:catAx>
      <c:valAx>
        <c:axId val="480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Controle de revisões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Revisões!$A$1</c:f>
              <c:strCache>
                <c:ptCount val="1"/>
                <c:pt idx="0">
                  <c:v>Controle de revisões:</c:v>
                </c:pt>
              </c:strCache>
            </c:strRef>
          </c:tx>
          <c:invertIfNegative val="0"/>
          <c:cat>
            <c:strRef>
              <c:f>Revisões!$A$2:$D$2</c:f>
              <c:strCache>
                <c:ptCount val="4"/>
                <c:pt idx="0">
                  <c:v>REP:</c:v>
                </c:pt>
                <c:pt idx="1">
                  <c:v>TÉCNICOS:</c:v>
                </c:pt>
                <c:pt idx="2">
                  <c:v>COMERCIAL:</c:v>
                </c:pt>
                <c:pt idx="3">
                  <c:v>CLIENTES:</c:v>
                </c:pt>
              </c:strCache>
            </c:strRef>
          </c:cat>
          <c:val>
            <c:numRef>
              <c:f>Revisões!$A$3:$D$3</c:f>
              <c:numCache>
                <c:formatCode>General</c:formatCode>
                <c:ptCount val="4"/>
                <c:pt idx="0">
                  <c:v>9</c:v>
                </c:pt>
                <c:pt idx="1">
                  <c:v>14</c:v>
                </c:pt>
                <c:pt idx="2">
                  <c:v>7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7-4E3B-BC80-85CB0DF7F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261120"/>
        <c:axId val="102262656"/>
      </c:barChart>
      <c:catAx>
        <c:axId val="102261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262656"/>
        <c:crosses val="autoZero"/>
        <c:auto val="1"/>
        <c:lblAlgn val="ctr"/>
        <c:lblOffset val="100"/>
        <c:noMultiLvlLbl val="0"/>
      </c:catAx>
      <c:valAx>
        <c:axId val="10226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261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revisões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Revisões!$F$8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Revisões!$G$6:$R$7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Revisões!$G$8:$R$8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2</c:v>
                </c:pt>
                <c:pt idx="3">
                  <c:v>6</c:v>
                </c:pt>
                <c:pt idx="4">
                  <c:v>11</c:v>
                </c:pt>
                <c:pt idx="5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8-42D7-89B2-97765CA580B3}"/>
            </c:ext>
          </c:extLst>
        </c:ser>
        <c:ser>
          <c:idx val="1"/>
          <c:order val="1"/>
          <c:tx>
            <c:strRef>
              <c:f>Revisões!$F$9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Revisões!$G$6:$R$7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Revisões!$G$9:$R$9</c:f>
              <c:numCache>
                <c:formatCode>General</c:formatCode>
                <c:ptCount val="12"/>
                <c:pt idx="0">
                  <c:v>10</c:v>
                </c:pt>
                <c:pt idx="1">
                  <c:v>7</c:v>
                </c:pt>
                <c:pt idx="2">
                  <c:v>16</c:v>
                </c:pt>
                <c:pt idx="3">
                  <c:v>4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8-42D7-89B2-97765CA580B3}"/>
            </c:ext>
          </c:extLst>
        </c:ser>
        <c:ser>
          <c:idx val="2"/>
          <c:order val="2"/>
          <c:tx>
            <c:strRef>
              <c:f>Revisões!$F$10</c:f>
              <c:strCache>
                <c:ptCount val="1"/>
                <c:pt idx="0">
                  <c:v>Comercial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Revisões!$G$6:$R$7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Revisões!$G$10:$R$10</c:f>
              <c:numCache>
                <c:formatCode>General</c:formatCode>
                <c:ptCount val="12"/>
                <c:pt idx="0">
                  <c:v>22</c:v>
                </c:pt>
                <c:pt idx="1">
                  <c:v>6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8-42D7-89B2-97765CA580B3}"/>
            </c:ext>
          </c:extLst>
        </c:ser>
        <c:ser>
          <c:idx val="3"/>
          <c:order val="3"/>
          <c:tx>
            <c:strRef>
              <c:f>Revisões!$F$11</c:f>
              <c:strCache>
                <c:ptCount val="1"/>
                <c:pt idx="0">
                  <c:v>Cliente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Revisões!$G$6:$R$7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Revisões!$G$11:$R$11</c:f>
              <c:numCache>
                <c:formatCode>General</c:formatCode>
                <c:ptCount val="12"/>
                <c:pt idx="0">
                  <c:v>14</c:v>
                </c:pt>
                <c:pt idx="1">
                  <c:v>10</c:v>
                </c:pt>
                <c:pt idx="2">
                  <c:v>13</c:v>
                </c:pt>
                <c:pt idx="3">
                  <c:v>8</c:v>
                </c:pt>
                <c:pt idx="4">
                  <c:v>9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68-42D7-89B2-97765CA5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013128"/>
        <c:axId val="480012144"/>
      </c:lineChart>
      <c:catAx>
        <c:axId val="480013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2144"/>
        <c:crosses val="autoZero"/>
        <c:auto val="1"/>
        <c:lblAlgn val="ctr"/>
        <c:lblOffset val="100"/>
        <c:noMultiLvlLbl val="0"/>
      </c:catAx>
      <c:valAx>
        <c:axId val="4800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3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envios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Envios</c:v>
          </c:tx>
          <c:invertIfNegative val="0"/>
          <c:cat>
            <c:strRef>
              <c:f>Envios!$B$2:$E$2</c:f>
              <c:strCache>
                <c:ptCount val="4"/>
                <c:pt idx="0">
                  <c:v>BRUNA:</c:v>
                </c:pt>
                <c:pt idx="1">
                  <c:v>ELIAS:</c:v>
                </c:pt>
                <c:pt idx="2">
                  <c:v>MARCEL:</c:v>
                </c:pt>
                <c:pt idx="3">
                  <c:v>Vitoria:</c:v>
                </c:pt>
              </c:strCache>
            </c:strRef>
          </c:cat>
          <c:val>
            <c:numRef>
              <c:f>Envios!$B$3:$E$3</c:f>
              <c:numCache>
                <c:formatCode>General</c:formatCode>
                <c:ptCount val="4"/>
                <c:pt idx="0">
                  <c:v>100</c:v>
                </c:pt>
                <c:pt idx="1">
                  <c:v>59</c:v>
                </c:pt>
                <c:pt idx="2">
                  <c:v>61</c:v>
                </c:pt>
                <c:pt idx="3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99-4F05-9FB1-D6EF6188EFFC}"/>
            </c:ext>
          </c:extLst>
        </c:ser>
        <c:ser>
          <c:idx val="1"/>
          <c:order val="1"/>
          <c:tx>
            <c:v>Revisões</c:v>
          </c:tx>
          <c:invertIfNegative val="0"/>
          <c:val>
            <c:numRef>
              <c:f>Envios!$B$4:$E$4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99-4F05-9FB1-D6EF6188E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301056"/>
        <c:axId val="102564992"/>
      </c:barChart>
      <c:catAx>
        <c:axId val="102301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564992"/>
        <c:crosses val="autoZero"/>
        <c:auto val="1"/>
        <c:lblAlgn val="ctr"/>
        <c:lblOffset val="100"/>
        <c:noMultiLvlLbl val="0"/>
      </c:catAx>
      <c:valAx>
        <c:axId val="10256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30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envios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Envios!$G$8</c:f>
              <c:strCache>
                <c:ptCount val="1"/>
                <c:pt idx="0">
                  <c:v>Bruna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Envios!$H$6:$S$7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Envios!$H$8:$S$8</c:f>
              <c:numCache>
                <c:formatCode>General</c:formatCode>
                <c:ptCount val="12"/>
                <c:pt idx="0">
                  <c:v>5</c:v>
                </c:pt>
                <c:pt idx="1">
                  <c:v>13</c:v>
                </c:pt>
                <c:pt idx="2">
                  <c:v>19</c:v>
                </c:pt>
                <c:pt idx="3">
                  <c:v>13</c:v>
                </c:pt>
                <c:pt idx="4">
                  <c:v>136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28-40B4-BBE7-8BD0F4BE821C}"/>
            </c:ext>
          </c:extLst>
        </c:ser>
        <c:ser>
          <c:idx val="1"/>
          <c:order val="1"/>
          <c:tx>
            <c:strRef>
              <c:f>Envios!$G$9</c:f>
              <c:strCache>
                <c:ptCount val="1"/>
                <c:pt idx="0">
                  <c:v>Elias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Envios!$H$6:$S$7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Envios!$H$9:$S$9</c:f>
              <c:numCache>
                <c:formatCode>General</c:formatCode>
                <c:ptCount val="12"/>
                <c:pt idx="0">
                  <c:v>36</c:v>
                </c:pt>
                <c:pt idx="1">
                  <c:v>37</c:v>
                </c:pt>
                <c:pt idx="2">
                  <c:v>43</c:v>
                </c:pt>
                <c:pt idx="3">
                  <c:v>50</c:v>
                </c:pt>
                <c:pt idx="4">
                  <c:v>65</c:v>
                </c:pt>
                <c:pt idx="5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28-40B4-BBE7-8BD0F4BE821C}"/>
            </c:ext>
          </c:extLst>
        </c:ser>
        <c:ser>
          <c:idx val="2"/>
          <c:order val="2"/>
          <c:tx>
            <c:strRef>
              <c:f>Envios!$G$10</c:f>
              <c:strCache>
                <c:ptCount val="1"/>
                <c:pt idx="0">
                  <c:v>Marcel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Envios!$H$6:$S$7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Envios!$H$10:$S$10</c:f>
              <c:numCache>
                <c:formatCode>General</c:formatCode>
                <c:ptCount val="12"/>
                <c:pt idx="0">
                  <c:v>11</c:v>
                </c:pt>
                <c:pt idx="1">
                  <c:v>29</c:v>
                </c:pt>
                <c:pt idx="2">
                  <c:v>46</c:v>
                </c:pt>
                <c:pt idx="3">
                  <c:v>28</c:v>
                </c:pt>
                <c:pt idx="4">
                  <c:v>127</c:v>
                </c:pt>
                <c:pt idx="5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28-40B4-BBE7-8BD0F4BE821C}"/>
            </c:ext>
          </c:extLst>
        </c:ser>
        <c:ser>
          <c:idx val="3"/>
          <c:order val="3"/>
          <c:tx>
            <c:strRef>
              <c:f>Envios!$G$11</c:f>
              <c:strCache>
                <c:ptCount val="1"/>
                <c:pt idx="0">
                  <c:v>Vitoria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Envios!$H$6:$S$7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Envios!$H$11:$S$11</c:f>
              <c:numCache>
                <c:formatCode>General</c:formatCode>
                <c:ptCount val="12"/>
                <c:pt idx="5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28-40B4-BBE7-8BD0F4BE8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750232"/>
        <c:axId val="515744000"/>
      </c:lineChart>
      <c:catAx>
        <c:axId val="51575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44000"/>
        <c:crosses val="autoZero"/>
        <c:auto val="1"/>
        <c:lblAlgn val="ctr"/>
        <c:lblOffset val="100"/>
        <c:noMultiLvlLbl val="0"/>
      </c:catAx>
      <c:valAx>
        <c:axId val="51574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5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Erros!$A$1</c:f>
              <c:strCache>
                <c:ptCount val="1"/>
                <c:pt idx="0">
                  <c:v>Controle de erros:</c:v>
                </c:pt>
              </c:strCache>
            </c:strRef>
          </c:tx>
          <c:invertIfNegative val="0"/>
          <c:cat>
            <c:strRef>
              <c:f>Erros!$A$2:$G$2</c:f>
              <c:strCache>
                <c:ptCount val="7"/>
                <c:pt idx="0">
                  <c:v>CABOS:</c:v>
                </c:pt>
                <c:pt idx="1">
                  <c:v>DIVERSOS:</c:v>
                </c:pt>
                <c:pt idx="2">
                  <c:v>QUÍMICO:</c:v>
                </c:pt>
                <c:pt idx="3">
                  <c:v>FOGO:</c:v>
                </c:pt>
                <c:pt idx="4">
                  <c:v>PLUGUES:</c:v>
                </c:pt>
                <c:pt idx="5">
                  <c:v>ELETRODOMÉSTICO:</c:v>
                </c:pt>
                <c:pt idx="6">
                  <c:v>COMERCIAL:</c:v>
                </c:pt>
              </c:strCache>
            </c:strRef>
          </c:cat>
          <c:val>
            <c:numRef>
              <c:f>Erros!$A$3:$G$3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25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D-4B2B-AAD7-67EA3E9BA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635392"/>
        <c:axId val="102636928"/>
      </c:barChart>
      <c:catAx>
        <c:axId val="102635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636928"/>
        <c:crosses val="autoZero"/>
        <c:auto val="1"/>
        <c:lblAlgn val="ctr"/>
        <c:lblOffset val="100"/>
        <c:noMultiLvlLbl val="0"/>
      </c:catAx>
      <c:valAx>
        <c:axId val="10263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635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erros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Erros!$I$8</c:f>
              <c:strCache>
                <c:ptCount val="1"/>
                <c:pt idx="0">
                  <c:v>Somatória dos setores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Erros!$J$6:$U$7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Erros!$J$8:$U$8</c:f>
              <c:numCache>
                <c:formatCode>General</c:formatCode>
                <c:ptCount val="12"/>
                <c:pt idx="0">
                  <c:v>18</c:v>
                </c:pt>
                <c:pt idx="1">
                  <c:v>35</c:v>
                </c:pt>
                <c:pt idx="2">
                  <c:v>36</c:v>
                </c:pt>
                <c:pt idx="3">
                  <c:v>23</c:v>
                </c:pt>
                <c:pt idx="4">
                  <c:v>34</c:v>
                </c:pt>
                <c:pt idx="5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6-49F7-A204-8A223DAD9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659376"/>
        <c:axId val="517657408"/>
      </c:lineChart>
      <c:catAx>
        <c:axId val="5176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7408"/>
        <c:crosses val="autoZero"/>
        <c:auto val="1"/>
        <c:lblAlgn val="ctr"/>
        <c:lblOffset val="100"/>
        <c:noMultiLvlLbl val="0"/>
      </c:catAx>
      <c:valAx>
        <c:axId val="51765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78441</xdr:colOff>
      <xdr:row>5</xdr:row>
      <xdr:rowOff>78441</xdr:rowOff>
    </xdr:from>
    <xdr:to>
      <xdr:col>3</xdr:col>
      <xdr:colOff>605118</xdr:colOff>
      <xdr:row>5</xdr:row>
      <xdr:rowOff>369794</xdr:rowOff>
    </xdr:to>
    <xdr:sp macro="[0]!ImportarDados" textlink="">
      <xdr:nvSpPr>
        <xdr:cNvPr id="3" name="Retângulo 2">
          <a:extLst>
            <a:ext uri="{FF2B5EF4-FFF2-40B4-BE49-F238E27FC236}">
              <a16:creationId xmlns:a16="http://schemas.microsoft.com/office/drawing/2014/main" id="{C0199B84-BDF6-4156-B6E5-5F5E00BDE89D}"/>
            </a:ext>
          </a:extLst>
        </xdr:cNvPr>
        <xdr:cNvSpPr/>
      </xdr:nvSpPr>
      <xdr:spPr>
        <a:xfrm>
          <a:off x="78441" y="78441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</a:t>
          </a:r>
          <a:r>
            <a:rPr lang="pt-BR" sz="1100" baseline="0">
              <a:solidFill>
                <a:schemeClr val="tx1">
                  <a:lumMod val="85000"/>
                  <a:lumOff val="15000"/>
                </a:schemeClr>
              </a:solidFill>
            </a:rPr>
            <a:t> dados</a:t>
          </a:r>
          <a:endParaRPr lang="pt-BR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677956</xdr:colOff>
      <xdr:row>5</xdr:row>
      <xdr:rowOff>78441</xdr:rowOff>
    </xdr:from>
    <xdr:to>
      <xdr:col>5</xdr:col>
      <xdr:colOff>274544</xdr:colOff>
      <xdr:row>5</xdr:row>
      <xdr:rowOff>369794</xdr:rowOff>
    </xdr:to>
    <xdr:sp macro="[0]!btnAtualizar" textlink="">
      <xdr:nvSpPr>
        <xdr:cNvPr id="4" name="Retângulo 3">
          <a:extLst>
            <a:ext uri="{FF2B5EF4-FFF2-40B4-BE49-F238E27FC236}">
              <a16:creationId xmlns:a16="http://schemas.microsoft.com/office/drawing/2014/main" id="{EEA41B00-7356-4F73-B98B-D92FA1A838C9}"/>
            </a:ext>
          </a:extLst>
        </xdr:cNvPr>
        <xdr:cNvSpPr/>
      </xdr:nvSpPr>
      <xdr:spPr>
        <a:xfrm>
          <a:off x="1686485" y="78441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Atualizar</a:t>
          </a:r>
        </a:p>
      </xdr:txBody>
    </xdr:sp>
    <xdr:clientData/>
  </xdr:twoCellAnchor>
  <xdr:twoCellAnchor>
    <xdr:from>
      <xdr:col>5</xdr:col>
      <xdr:colOff>347382</xdr:colOff>
      <xdr:row>5</xdr:row>
      <xdr:rowOff>78441</xdr:rowOff>
    </xdr:from>
    <xdr:to>
      <xdr:col>5</xdr:col>
      <xdr:colOff>1882588</xdr:colOff>
      <xdr:row>5</xdr:row>
      <xdr:rowOff>369794</xdr:rowOff>
    </xdr:to>
    <xdr:sp macro="[0]!btnLimpar" textlink="">
      <xdr:nvSpPr>
        <xdr:cNvPr id="5" name="Retângulo 4">
          <a:extLst>
            <a:ext uri="{FF2B5EF4-FFF2-40B4-BE49-F238E27FC236}">
              <a16:creationId xmlns:a16="http://schemas.microsoft.com/office/drawing/2014/main" id="{F554BDC6-1DFF-4CF1-B286-407DB8B1A954}"/>
            </a:ext>
          </a:extLst>
        </xdr:cNvPr>
        <xdr:cNvSpPr/>
      </xdr:nvSpPr>
      <xdr:spPr>
        <a:xfrm>
          <a:off x="3294529" y="78441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8283</xdr:colOff>
      <xdr:row>8</xdr:row>
      <xdr:rowOff>33130</xdr:rowOff>
    </xdr:from>
    <xdr:to>
      <xdr:col>3</xdr:col>
      <xdr:colOff>1543489</xdr:colOff>
      <xdr:row>9</xdr:row>
      <xdr:rowOff>92570</xdr:rowOff>
    </xdr:to>
    <xdr:sp macro="[0]!ImportarDados" textlink="">
      <xdr:nvSpPr>
        <xdr:cNvPr id="2" name="Retângulo 1">
          <a:extLst>
            <a:ext uri="{FF2B5EF4-FFF2-40B4-BE49-F238E27FC236}">
              <a16:creationId xmlns:a16="http://schemas.microsoft.com/office/drawing/2014/main" id="{EF41DBAF-A5F4-4EB7-AFBF-76440C56B225}"/>
            </a:ext>
          </a:extLst>
        </xdr:cNvPr>
        <xdr:cNvSpPr/>
      </xdr:nvSpPr>
      <xdr:spPr>
        <a:xfrm>
          <a:off x="5574196" y="1888434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</a:t>
          </a:r>
          <a:r>
            <a:rPr lang="pt-BR" sz="1100" baseline="0">
              <a:solidFill>
                <a:schemeClr val="tx1">
                  <a:lumMod val="85000"/>
                  <a:lumOff val="15000"/>
                </a:schemeClr>
              </a:solidFill>
            </a:rPr>
            <a:t> dados</a:t>
          </a:r>
          <a:endParaRPr lang="pt-BR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8283</xdr:colOff>
      <xdr:row>9</xdr:row>
      <xdr:rowOff>169793</xdr:rowOff>
    </xdr:from>
    <xdr:to>
      <xdr:col>3</xdr:col>
      <xdr:colOff>1543489</xdr:colOff>
      <xdr:row>10</xdr:row>
      <xdr:rowOff>229233</xdr:rowOff>
    </xdr:to>
    <xdr:sp macro="[0]!btnAtualizar" textlink="">
      <xdr:nvSpPr>
        <xdr:cNvPr id="3" name="Retângulo 2">
          <a:extLst>
            <a:ext uri="{FF2B5EF4-FFF2-40B4-BE49-F238E27FC236}">
              <a16:creationId xmlns:a16="http://schemas.microsoft.com/office/drawing/2014/main" id="{72F0280A-EB86-49AA-AECA-F060AD6D8F84}"/>
            </a:ext>
          </a:extLst>
        </xdr:cNvPr>
        <xdr:cNvSpPr/>
      </xdr:nvSpPr>
      <xdr:spPr>
        <a:xfrm>
          <a:off x="5574196" y="2257010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Atualizar</a:t>
          </a:r>
        </a:p>
      </xdr:txBody>
    </xdr:sp>
    <xdr:clientData/>
  </xdr:twoCellAnchor>
  <xdr:twoCellAnchor>
    <xdr:from>
      <xdr:col>3</xdr:col>
      <xdr:colOff>8283</xdr:colOff>
      <xdr:row>11</xdr:row>
      <xdr:rowOff>74543</xdr:rowOff>
    </xdr:from>
    <xdr:to>
      <xdr:col>3</xdr:col>
      <xdr:colOff>1543489</xdr:colOff>
      <xdr:row>12</xdr:row>
      <xdr:rowOff>133982</xdr:rowOff>
    </xdr:to>
    <xdr:sp macro="[0]!btnLimpar" textlink="">
      <xdr:nvSpPr>
        <xdr:cNvPr id="4" name="Retângulo 3">
          <a:extLst>
            <a:ext uri="{FF2B5EF4-FFF2-40B4-BE49-F238E27FC236}">
              <a16:creationId xmlns:a16="http://schemas.microsoft.com/office/drawing/2014/main" id="{5FE0B00E-0219-491B-91AF-72B24898FB78}"/>
            </a:ext>
          </a:extLst>
        </xdr:cNvPr>
        <xdr:cNvSpPr/>
      </xdr:nvSpPr>
      <xdr:spPr>
        <a:xfrm>
          <a:off x="5574196" y="2625586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240195</xdr:colOff>
      <xdr:row>0</xdr:row>
      <xdr:rowOff>27214</xdr:rowOff>
    </xdr:from>
    <xdr:to>
      <xdr:col>25</xdr:col>
      <xdr:colOff>0</xdr:colOff>
      <xdr:row>17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34016</xdr:colOff>
      <xdr:row>19</xdr:row>
      <xdr:rowOff>125184</xdr:rowOff>
    </xdr:from>
    <xdr:to>
      <xdr:col>24</xdr:col>
      <xdr:colOff>585107</xdr:colOff>
      <xdr:row>34</xdr:row>
      <xdr:rowOff>34636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E6931DD-437B-4A84-88E5-66BA1B36C2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209550</xdr:colOff>
      <xdr:row>0</xdr:row>
      <xdr:rowOff>209550</xdr:rowOff>
    </xdr:from>
    <xdr:to>
      <xdr:col>27</xdr:col>
      <xdr:colOff>525556</xdr:colOff>
      <xdr:row>0</xdr:row>
      <xdr:rowOff>500903</xdr:rowOff>
    </xdr:to>
    <xdr:sp macro="[0]!ImportarDados" textlink="">
      <xdr:nvSpPr>
        <xdr:cNvPr id="4" name="Retângulo 3">
          <a:extLst>
            <a:ext uri="{FF2B5EF4-FFF2-40B4-BE49-F238E27FC236}">
              <a16:creationId xmlns:a16="http://schemas.microsoft.com/office/drawing/2014/main" id="{C346E778-604B-44E7-B1B6-39B2AC8F1DDD}"/>
            </a:ext>
          </a:extLst>
        </xdr:cNvPr>
        <xdr:cNvSpPr/>
      </xdr:nvSpPr>
      <xdr:spPr>
        <a:xfrm>
          <a:off x="12601575" y="209550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</a:t>
          </a:r>
          <a:r>
            <a:rPr lang="pt-BR" sz="1100" baseline="0">
              <a:solidFill>
                <a:schemeClr val="tx1">
                  <a:lumMod val="85000"/>
                  <a:lumOff val="15000"/>
                </a:schemeClr>
              </a:solidFill>
            </a:rPr>
            <a:t> dados</a:t>
          </a:r>
          <a:endParaRPr lang="pt-BR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25</xdr:col>
      <xdr:colOff>209550</xdr:colOff>
      <xdr:row>1</xdr:row>
      <xdr:rowOff>6626</xdr:rowOff>
    </xdr:from>
    <xdr:to>
      <xdr:col>27</xdr:col>
      <xdr:colOff>525556</xdr:colOff>
      <xdr:row>1</xdr:row>
      <xdr:rowOff>297979</xdr:rowOff>
    </xdr:to>
    <xdr:sp macro="[0]!btnAtualizar" textlink="">
      <xdr:nvSpPr>
        <xdr:cNvPr id="5" name="Retângulo 4">
          <a:extLst>
            <a:ext uri="{FF2B5EF4-FFF2-40B4-BE49-F238E27FC236}">
              <a16:creationId xmlns:a16="http://schemas.microsoft.com/office/drawing/2014/main" id="{59B2E94D-1C45-4EB5-878C-3E8B0D18C322}"/>
            </a:ext>
          </a:extLst>
        </xdr:cNvPr>
        <xdr:cNvSpPr/>
      </xdr:nvSpPr>
      <xdr:spPr>
        <a:xfrm>
          <a:off x="12601575" y="578126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Atualizar</a:t>
          </a:r>
        </a:p>
      </xdr:txBody>
    </xdr:sp>
    <xdr:clientData/>
  </xdr:twoCellAnchor>
  <xdr:twoCellAnchor>
    <xdr:from>
      <xdr:col>25</xdr:col>
      <xdr:colOff>209550</xdr:colOff>
      <xdr:row>2</xdr:row>
      <xdr:rowOff>60877</xdr:rowOff>
    </xdr:from>
    <xdr:to>
      <xdr:col>27</xdr:col>
      <xdr:colOff>525556</xdr:colOff>
      <xdr:row>3</xdr:row>
      <xdr:rowOff>37905</xdr:rowOff>
    </xdr:to>
    <xdr:sp macro="[0]!btnLimpar" textlink="">
      <xdr:nvSpPr>
        <xdr:cNvPr id="6" name="Retângulo 5">
          <a:extLst>
            <a:ext uri="{FF2B5EF4-FFF2-40B4-BE49-F238E27FC236}">
              <a16:creationId xmlns:a16="http://schemas.microsoft.com/office/drawing/2014/main" id="{E0AD00DC-1DC9-4154-80F0-40F5F65E8206}"/>
            </a:ext>
          </a:extLst>
        </xdr:cNvPr>
        <xdr:cNvSpPr/>
      </xdr:nvSpPr>
      <xdr:spPr>
        <a:xfrm>
          <a:off x="12601575" y="946702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Limpar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1085850</xdr:colOff>
      <xdr:row>5</xdr:row>
      <xdr:rowOff>9525</xdr:rowOff>
    </xdr:from>
    <xdr:to>
      <xdr:col>3</xdr:col>
      <xdr:colOff>514350</xdr:colOff>
      <xdr:row>19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20</xdr:row>
      <xdr:rowOff>12700</xdr:rowOff>
    </xdr:from>
    <xdr:to>
      <xdr:col>5</xdr:col>
      <xdr:colOff>0</xdr:colOff>
      <xdr:row>34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B84B07-BD94-44FC-9010-E7BBD1A48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1276110</xdr:colOff>
      <xdr:row>4</xdr:row>
      <xdr:rowOff>187326</xdr:rowOff>
    </xdr:from>
    <xdr:to>
      <xdr:col>4</xdr:col>
      <xdr:colOff>687941</xdr:colOff>
      <xdr:row>19</xdr:row>
      <xdr:rowOff>73026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136661</xdr:colOff>
      <xdr:row>20</xdr:row>
      <xdr:rowOff>11595</xdr:rowOff>
    </xdr:from>
    <xdr:to>
      <xdr:col>5</xdr:col>
      <xdr:colOff>596348</xdr:colOff>
      <xdr:row>35</xdr:row>
      <xdr:rowOff>66260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D9D713E-43E0-4C39-A18B-D0984E4A7D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1326696</xdr:colOff>
      <xdr:row>5</xdr:row>
      <xdr:rowOff>3174</xdr:rowOff>
    </xdr:from>
    <xdr:to>
      <xdr:col>5</xdr:col>
      <xdr:colOff>762000</xdr:colOff>
      <xdr:row>28</xdr:row>
      <xdr:rowOff>122463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44822</xdr:colOff>
      <xdr:row>29</xdr:row>
      <xdr:rowOff>33618</xdr:rowOff>
    </xdr:from>
    <xdr:to>
      <xdr:col>7</xdr:col>
      <xdr:colOff>582705</xdr:colOff>
      <xdr:row>52</xdr:row>
      <xdr:rowOff>168088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0FD495-7064-40F3-8088-227FA15235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C8A55-5B60-48F1-B2E2-45DCCBC4D28A}">
  <sheetPr codeName="Planilha5">
    <outlinePr summaryBelow="0" summaryRight="0"/>
    <pageSetUpPr autoPageBreaks="0"/>
  </sheetPr>
  <dimension ref="A1:AV2244"/>
  <sheetViews>
    <sheetView showGridLines="0" tabSelected="1" showOutlineSymbols="0" topLeftCell="B6" zoomScale="85" zoomScaleNormal="85" workbookViewId="0">
      <selection activeCell="B7" sqref="B7"/>
    </sheetView>
  </sheetViews>
  <sheetFormatPr defaultColWidth="6.85546875" defaultRowHeight="12.75" customHeight="1" x14ac:dyDescent="0.25"/>
  <cols>
    <col min="1" max="1" width="1.7109375" style="47" hidden="1" customWidth="1"/>
    <col min="2" max="2" width="15.140625" style="48" bestFit="1" customWidth="1"/>
    <col min="3" max="3" width="1.42578125" style="47" hidden="1" customWidth="1"/>
    <col min="4" max="4" width="29" style="49" bestFit="1" customWidth="1"/>
    <col min="5" max="5" width="8.42578125" style="47" hidden="1" customWidth="1"/>
    <col min="6" max="6" width="29.7109375" style="49" bestFit="1" customWidth="1"/>
    <col min="7" max="7" width="29.42578125" style="47" hidden="1" customWidth="1"/>
    <col min="8" max="8" width="50.7109375" style="49" customWidth="1"/>
    <col min="9" max="9" width="2.140625" style="50" hidden="1" customWidth="1"/>
    <col min="10" max="10" width="1.42578125" style="51" hidden="1" customWidth="1"/>
    <col min="11" max="11" width="17.140625" style="52" hidden="1" customWidth="1"/>
    <col min="12" max="12" width="7.42578125" style="48" bestFit="1" customWidth="1"/>
    <col min="13" max="13" width="1.5703125" style="53" hidden="1" customWidth="1"/>
    <col min="14" max="14" width="16.7109375" style="48" customWidth="1"/>
    <col min="15" max="15" width="17.140625" style="53" hidden="1" customWidth="1"/>
    <col min="16" max="18" width="14.7109375" style="54" customWidth="1"/>
    <col min="19" max="19" width="2" style="55" hidden="1" customWidth="1"/>
    <col min="20" max="20" width="1.5703125" style="56" hidden="1" customWidth="1"/>
    <col min="21" max="22" width="14.7109375" style="54" customWidth="1"/>
    <col min="23" max="23" width="1" style="53" hidden="1" customWidth="1"/>
    <col min="24" max="25" width="10.7109375" style="48" customWidth="1"/>
    <col min="26" max="26" width="14.7109375" style="48" customWidth="1"/>
    <col min="27" max="27" width="18.5703125" style="57" bestFit="1" customWidth="1"/>
    <col min="28" max="256" width="6.85546875" style="47"/>
    <col min="257" max="257" width="1.7109375" style="47" customWidth="1"/>
    <col min="258" max="258" width="2.42578125" style="47" customWidth="1"/>
    <col min="259" max="259" width="1.42578125" style="47" customWidth="1"/>
    <col min="260" max="260" width="10.42578125" style="47" customWidth="1"/>
    <col min="261" max="261" width="8.42578125" style="47" customWidth="1"/>
    <col min="262" max="262" width="11.28515625" style="47" customWidth="1"/>
    <col min="263" max="263" width="22" style="47" customWidth="1"/>
    <col min="264" max="264" width="1.28515625" style="47" customWidth="1"/>
    <col min="265" max="265" width="17.7109375" style="47" customWidth="1"/>
    <col min="266" max="266" width="1.42578125" style="47" customWidth="1"/>
    <col min="267" max="267" width="8.85546875" style="47" customWidth="1"/>
    <col min="268" max="268" width="1.140625" style="47" customWidth="1"/>
    <col min="269" max="269" width="1.5703125" style="47" customWidth="1"/>
    <col min="270" max="270" width="5.7109375" style="47" customWidth="1"/>
    <col min="271" max="271" width="10.42578125" style="47" customWidth="1"/>
    <col min="272" max="272" width="10.5703125" style="47" customWidth="1"/>
    <col min="273" max="273" width="7.85546875" style="47" customWidth="1"/>
    <col min="274" max="274" width="10.85546875" style="47" customWidth="1"/>
    <col min="275" max="275" width="2" style="47" customWidth="1"/>
    <col min="276" max="276" width="1.5703125" style="47" customWidth="1"/>
    <col min="277" max="277" width="4.28515625" style="47" customWidth="1"/>
    <col min="278" max="278" width="13.28515625" style="47" customWidth="1"/>
    <col min="279" max="279" width="1" style="47" customWidth="1"/>
    <col min="280" max="280" width="6.7109375" style="47" customWidth="1"/>
    <col min="281" max="512" width="6.85546875" style="47"/>
    <col min="513" max="513" width="1.7109375" style="47" customWidth="1"/>
    <col min="514" max="514" width="2.42578125" style="47" customWidth="1"/>
    <col min="515" max="515" width="1.42578125" style="47" customWidth="1"/>
    <col min="516" max="516" width="10.42578125" style="47" customWidth="1"/>
    <col min="517" max="517" width="8.42578125" style="47" customWidth="1"/>
    <col min="518" max="518" width="11.28515625" style="47" customWidth="1"/>
    <col min="519" max="519" width="22" style="47" customWidth="1"/>
    <col min="520" max="520" width="1.28515625" style="47" customWidth="1"/>
    <col min="521" max="521" width="17.7109375" style="47" customWidth="1"/>
    <col min="522" max="522" width="1.42578125" style="47" customWidth="1"/>
    <col min="523" max="523" width="8.85546875" style="47" customWidth="1"/>
    <col min="524" max="524" width="1.140625" style="47" customWidth="1"/>
    <col min="525" max="525" width="1.5703125" style="47" customWidth="1"/>
    <col min="526" max="526" width="5.7109375" style="47" customWidth="1"/>
    <col min="527" max="527" width="10.42578125" style="47" customWidth="1"/>
    <col min="528" max="528" width="10.5703125" style="47" customWidth="1"/>
    <col min="529" max="529" width="7.85546875" style="47" customWidth="1"/>
    <col min="530" max="530" width="10.85546875" style="47" customWidth="1"/>
    <col min="531" max="531" width="2" style="47" customWidth="1"/>
    <col min="532" max="532" width="1.5703125" style="47" customWidth="1"/>
    <col min="533" max="533" width="4.28515625" style="47" customWidth="1"/>
    <col min="534" max="534" width="13.28515625" style="47" customWidth="1"/>
    <col min="535" max="535" width="1" style="47" customWidth="1"/>
    <col min="536" max="536" width="6.7109375" style="47" customWidth="1"/>
    <col min="537" max="768" width="6.85546875" style="47"/>
    <col min="769" max="769" width="1.7109375" style="47" customWidth="1"/>
    <col min="770" max="770" width="2.42578125" style="47" customWidth="1"/>
    <col min="771" max="771" width="1.42578125" style="47" customWidth="1"/>
    <col min="772" max="772" width="10.42578125" style="47" customWidth="1"/>
    <col min="773" max="773" width="8.42578125" style="47" customWidth="1"/>
    <col min="774" max="774" width="11.28515625" style="47" customWidth="1"/>
    <col min="775" max="775" width="22" style="47" customWidth="1"/>
    <col min="776" max="776" width="1.28515625" style="47" customWidth="1"/>
    <col min="777" max="777" width="17.7109375" style="47" customWidth="1"/>
    <col min="778" max="778" width="1.42578125" style="47" customWidth="1"/>
    <col min="779" max="779" width="8.85546875" style="47" customWidth="1"/>
    <col min="780" max="780" width="1.140625" style="47" customWidth="1"/>
    <col min="781" max="781" width="1.5703125" style="47" customWidth="1"/>
    <col min="782" max="782" width="5.7109375" style="47" customWidth="1"/>
    <col min="783" max="783" width="10.42578125" style="47" customWidth="1"/>
    <col min="784" max="784" width="10.5703125" style="47" customWidth="1"/>
    <col min="785" max="785" width="7.85546875" style="47" customWidth="1"/>
    <col min="786" max="786" width="10.85546875" style="47" customWidth="1"/>
    <col min="787" max="787" width="2" style="47" customWidth="1"/>
    <col min="788" max="788" width="1.5703125" style="47" customWidth="1"/>
    <col min="789" max="789" width="4.28515625" style="47" customWidth="1"/>
    <col min="790" max="790" width="13.28515625" style="47" customWidth="1"/>
    <col min="791" max="791" width="1" style="47" customWidth="1"/>
    <col min="792" max="792" width="6.7109375" style="47" customWidth="1"/>
    <col min="793" max="1024" width="6.85546875" style="47"/>
    <col min="1025" max="1025" width="1.7109375" style="47" customWidth="1"/>
    <col min="1026" max="1026" width="2.42578125" style="47" customWidth="1"/>
    <col min="1027" max="1027" width="1.42578125" style="47" customWidth="1"/>
    <col min="1028" max="1028" width="10.42578125" style="47" customWidth="1"/>
    <col min="1029" max="1029" width="8.42578125" style="47" customWidth="1"/>
    <col min="1030" max="1030" width="11.28515625" style="47" customWidth="1"/>
    <col min="1031" max="1031" width="22" style="47" customWidth="1"/>
    <col min="1032" max="1032" width="1.28515625" style="47" customWidth="1"/>
    <col min="1033" max="1033" width="17.7109375" style="47" customWidth="1"/>
    <col min="1034" max="1034" width="1.42578125" style="47" customWidth="1"/>
    <col min="1035" max="1035" width="8.85546875" style="47" customWidth="1"/>
    <col min="1036" max="1036" width="1.140625" style="47" customWidth="1"/>
    <col min="1037" max="1037" width="1.5703125" style="47" customWidth="1"/>
    <col min="1038" max="1038" width="5.7109375" style="47" customWidth="1"/>
    <col min="1039" max="1039" width="10.42578125" style="47" customWidth="1"/>
    <col min="1040" max="1040" width="10.5703125" style="47" customWidth="1"/>
    <col min="1041" max="1041" width="7.85546875" style="47" customWidth="1"/>
    <col min="1042" max="1042" width="10.85546875" style="47" customWidth="1"/>
    <col min="1043" max="1043" width="2" style="47" customWidth="1"/>
    <col min="1044" max="1044" width="1.5703125" style="47" customWidth="1"/>
    <col min="1045" max="1045" width="4.28515625" style="47" customWidth="1"/>
    <col min="1046" max="1046" width="13.28515625" style="47" customWidth="1"/>
    <col min="1047" max="1047" width="1" style="47" customWidth="1"/>
    <col min="1048" max="1048" width="6.7109375" style="47" customWidth="1"/>
    <col min="1049" max="1280" width="6.85546875" style="47"/>
    <col min="1281" max="1281" width="1.7109375" style="47" customWidth="1"/>
    <col min="1282" max="1282" width="2.42578125" style="47" customWidth="1"/>
    <col min="1283" max="1283" width="1.42578125" style="47" customWidth="1"/>
    <col min="1284" max="1284" width="10.42578125" style="47" customWidth="1"/>
    <col min="1285" max="1285" width="8.42578125" style="47" customWidth="1"/>
    <col min="1286" max="1286" width="11.28515625" style="47" customWidth="1"/>
    <col min="1287" max="1287" width="22" style="47" customWidth="1"/>
    <col min="1288" max="1288" width="1.28515625" style="47" customWidth="1"/>
    <col min="1289" max="1289" width="17.7109375" style="47" customWidth="1"/>
    <col min="1290" max="1290" width="1.42578125" style="47" customWidth="1"/>
    <col min="1291" max="1291" width="8.85546875" style="47" customWidth="1"/>
    <col min="1292" max="1292" width="1.140625" style="47" customWidth="1"/>
    <col min="1293" max="1293" width="1.5703125" style="47" customWidth="1"/>
    <col min="1294" max="1294" width="5.7109375" style="47" customWidth="1"/>
    <col min="1295" max="1295" width="10.42578125" style="47" customWidth="1"/>
    <col min="1296" max="1296" width="10.5703125" style="47" customWidth="1"/>
    <col min="1297" max="1297" width="7.85546875" style="47" customWidth="1"/>
    <col min="1298" max="1298" width="10.85546875" style="47" customWidth="1"/>
    <col min="1299" max="1299" width="2" style="47" customWidth="1"/>
    <col min="1300" max="1300" width="1.5703125" style="47" customWidth="1"/>
    <col min="1301" max="1301" width="4.28515625" style="47" customWidth="1"/>
    <col min="1302" max="1302" width="13.28515625" style="47" customWidth="1"/>
    <col min="1303" max="1303" width="1" style="47" customWidth="1"/>
    <col min="1304" max="1304" width="6.7109375" style="47" customWidth="1"/>
    <col min="1305" max="1536" width="6.85546875" style="47"/>
    <col min="1537" max="1537" width="1.7109375" style="47" customWidth="1"/>
    <col min="1538" max="1538" width="2.42578125" style="47" customWidth="1"/>
    <col min="1539" max="1539" width="1.42578125" style="47" customWidth="1"/>
    <col min="1540" max="1540" width="10.42578125" style="47" customWidth="1"/>
    <col min="1541" max="1541" width="8.42578125" style="47" customWidth="1"/>
    <col min="1542" max="1542" width="11.28515625" style="47" customWidth="1"/>
    <col min="1543" max="1543" width="22" style="47" customWidth="1"/>
    <col min="1544" max="1544" width="1.28515625" style="47" customWidth="1"/>
    <col min="1545" max="1545" width="17.7109375" style="47" customWidth="1"/>
    <col min="1546" max="1546" width="1.42578125" style="47" customWidth="1"/>
    <col min="1547" max="1547" width="8.85546875" style="47" customWidth="1"/>
    <col min="1548" max="1548" width="1.140625" style="47" customWidth="1"/>
    <col min="1549" max="1549" width="1.5703125" style="47" customWidth="1"/>
    <col min="1550" max="1550" width="5.7109375" style="47" customWidth="1"/>
    <col min="1551" max="1551" width="10.42578125" style="47" customWidth="1"/>
    <col min="1552" max="1552" width="10.5703125" style="47" customWidth="1"/>
    <col min="1553" max="1553" width="7.85546875" style="47" customWidth="1"/>
    <col min="1554" max="1554" width="10.85546875" style="47" customWidth="1"/>
    <col min="1555" max="1555" width="2" style="47" customWidth="1"/>
    <col min="1556" max="1556" width="1.5703125" style="47" customWidth="1"/>
    <col min="1557" max="1557" width="4.28515625" style="47" customWidth="1"/>
    <col min="1558" max="1558" width="13.28515625" style="47" customWidth="1"/>
    <col min="1559" max="1559" width="1" style="47" customWidth="1"/>
    <col min="1560" max="1560" width="6.7109375" style="47" customWidth="1"/>
    <col min="1561" max="1792" width="6.85546875" style="47"/>
    <col min="1793" max="1793" width="1.7109375" style="47" customWidth="1"/>
    <col min="1794" max="1794" width="2.42578125" style="47" customWidth="1"/>
    <col min="1795" max="1795" width="1.42578125" style="47" customWidth="1"/>
    <col min="1796" max="1796" width="10.42578125" style="47" customWidth="1"/>
    <col min="1797" max="1797" width="8.42578125" style="47" customWidth="1"/>
    <col min="1798" max="1798" width="11.28515625" style="47" customWidth="1"/>
    <col min="1799" max="1799" width="22" style="47" customWidth="1"/>
    <col min="1800" max="1800" width="1.28515625" style="47" customWidth="1"/>
    <col min="1801" max="1801" width="17.7109375" style="47" customWidth="1"/>
    <col min="1802" max="1802" width="1.42578125" style="47" customWidth="1"/>
    <col min="1803" max="1803" width="8.85546875" style="47" customWidth="1"/>
    <col min="1804" max="1804" width="1.140625" style="47" customWidth="1"/>
    <col min="1805" max="1805" width="1.5703125" style="47" customWidth="1"/>
    <col min="1806" max="1806" width="5.7109375" style="47" customWidth="1"/>
    <col min="1807" max="1807" width="10.42578125" style="47" customWidth="1"/>
    <col min="1808" max="1808" width="10.5703125" style="47" customWidth="1"/>
    <col min="1809" max="1809" width="7.85546875" style="47" customWidth="1"/>
    <col min="1810" max="1810" width="10.85546875" style="47" customWidth="1"/>
    <col min="1811" max="1811" width="2" style="47" customWidth="1"/>
    <col min="1812" max="1812" width="1.5703125" style="47" customWidth="1"/>
    <col min="1813" max="1813" width="4.28515625" style="47" customWidth="1"/>
    <col min="1814" max="1814" width="13.28515625" style="47" customWidth="1"/>
    <col min="1815" max="1815" width="1" style="47" customWidth="1"/>
    <col min="1816" max="1816" width="6.7109375" style="47" customWidth="1"/>
    <col min="1817" max="2048" width="6.85546875" style="47"/>
    <col min="2049" max="2049" width="1.7109375" style="47" customWidth="1"/>
    <col min="2050" max="2050" width="2.42578125" style="47" customWidth="1"/>
    <col min="2051" max="2051" width="1.42578125" style="47" customWidth="1"/>
    <col min="2052" max="2052" width="10.42578125" style="47" customWidth="1"/>
    <col min="2053" max="2053" width="8.42578125" style="47" customWidth="1"/>
    <col min="2054" max="2054" width="11.28515625" style="47" customWidth="1"/>
    <col min="2055" max="2055" width="22" style="47" customWidth="1"/>
    <col min="2056" max="2056" width="1.28515625" style="47" customWidth="1"/>
    <col min="2057" max="2057" width="17.7109375" style="47" customWidth="1"/>
    <col min="2058" max="2058" width="1.42578125" style="47" customWidth="1"/>
    <col min="2059" max="2059" width="8.85546875" style="47" customWidth="1"/>
    <col min="2060" max="2060" width="1.140625" style="47" customWidth="1"/>
    <col min="2061" max="2061" width="1.5703125" style="47" customWidth="1"/>
    <col min="2062" max="2062" width="5.7109375" style="47" customWidth="1"/>
    <col min="2063" max="2063" width="10.42578125" style="47" customWidth="1"/>
    <col min="2064" max="2064" width="10.5703125" style="47" customWidth="1"/>
    <col min="2065" max="2065" width="7.85546875" style="47" customWidth="1"/>
    <col min="2066" max="2066" width="10.85546875" style="47" customWidth="1"/>
    <col min="2067" max="2067" width="2" style="47" customWidth="1"/>
    <col min="2068" max="2068" width="1.5703125" style="47" customWidth="1"/>
    <col min="2069" max="2069" width="4.28515625" style="47" customWidth="1"/>
    <col min="2070" max="2070" width="13.28515625" style="47" customWidth="1"/>
    <col min="2071" max="2071" width="1" style="47" customWidth="1"/>
    <col min="2072" max="2072" width="6.7109375" style="47" customWidth="1"/>
    <col min="2073" max="2304" width="6.85546875" style="47"/>
    <col min="2305" max="2305" width="1.7109375" style="47" customWidth="1"/>
    <col min="2306" max="2306" width="2.42578125" style="47" customWidth="1"/>
    <col min="2307" max="2307" width="1.42578125" style="47" customWidth="1"/>
    <col min="2308" max="2308" width="10.42578125" style="47" customWidth="1"/>
    <col min="2309" max="2309" width="8.42578125" style="47" customWidth="1"/>
    <col min="2310" max="2310" width="11.28515625" style="47" customWidth="1"/>
    <col min="2311" max="2311" width="22" style="47" customWidth="1"/>
    <col min="2312" max="2312" width="1.28515625" style="47" customWidth="1"/>
    <col min="2313" max="2313" width="17.7109375" style="47" customWidth="1"/>
    <col min="2314" max="2314" width="1.42578125" style="47" customWidth="1"/>
    <col min="2315" max="2315" width="8.85546875" style="47" customWidth="1"/>
    <col min="2316" max="2316" width="1.140625" style="47" customWidth="1"/>
    <col min="2317" max="2317" width="1.5703125" style="47" customWidth="1"/>
    <col min="2318" max="2318" width="5.7109375" style="47" customWidth="1"/>
    <col min="2319" max="2319" width="10.42578125" style="47" customWidth="1"/>
    <col min="2320" max="2320" width="10.5703125" style="47" customWidth="1"/>
    <col min="2321" max="2321" width="7.85546875" style="47" customWidth="1"/>
    <col min="2322" max="2322" width="10.85546875" style="47" customWidth="1"/>
    <col min="2323" max="2323" width="2" style="47" customWidth="1"/>
    <col min="2324" max="2324" width="1.5703125" style="47" customWidth="1"/>
    <col min="2325" max="2325" width="4.28515625" style="47" customWidth="1"/>
    <col min="2326" max="2326" width="13.28515625" style="47" customWidth="1"/>
    <col min="2327" max="2327" width="1" style="47" customWidth="1"/>
    <col min="2328" max="2328" width="6.7109375" style="47" customWidth="1"/>
    <col min="2329" max="2560" width="6.85546875" style="47"/>
    <col min="2561" max="2561" width="1.7109375" style="47" customWidth="1"/>
    <col min="2562" max="2562" width="2.42578125" style="47" customWidth="1"/>
    <col min="2563" max="2563" width="1.42578125" style="47" customWidth="1"/>
    <col min="2564" max="2564" width="10.42578125" style="47" customWidth="1"/>
    <col min="2565" max="2565" width="8.42578125" style="47" customWidth="1"/>
    <col min="2566" max="2566" width="11.28515625" style="47" customWidth="1"/>
    <col min="2567" max="2567" width="22" style="47" customWidth="1"/>
    <col min="2568" max="2568" width="1.28515625" style="47" customWidth="1"/>
    <col min="2569" max="2569" width="17.7109375" style="47" customWidth="1"/>
    <col min="2570" max="2570" width="1.42578125" style="47" customWidth="1"/>
    <col min="2571" max="2571" width="8.85546875" style="47" customWidth="1"/>
    <col min="2572" max="2572" width="1.140625" style="47" customWidth="1"/>
    <col min="2573" max="2573" width="1.5703125" style="47" customWidth="1"/>
    <col min="2574" max="2574" width="5.7109375" style="47" customWidth="1"/>
    <col min="2575" max="2575" width="10.42578125" style="47" customWidth="1"/>
    <col min="2576" max="2576" width="10.5703125" style="47" customWidth="1"/>
    <col min="2577" max="2577" width="7.85546875" style="47" customWidth="1"/>
    <col min="2578" max="2578" width="10.85546875" style="47" customWidth="1"/>
    <col min="2579" max="2579" width="2" style="47" customWidth="1"/>
    <col min="2580" max="2580" width="1.5703125" style="47" customWidth="1"/>
    <col min="2581" max="2581" width="4.28515625" style="47" customWidth="1"/>
    <col min="2582" max="2582" width="13.28515625" style="47" customWidth="1"/>
    <col min="2583" max="2583" width="1" style="47" customWidth="1"/>
    <col min="2584" max="2584" width="6.7109375" style="47" customWidth="1"/>
    <col min="2585" max="2816" width="6.85546875" style="47"/>
    <col min="2817" max="2817" width="1.7109375" style="47" customWidth="1"/>
    <col min="2818" max="2818" width="2.42578125" style="47" customWidth="1"/>
    <col min="2819" max="2819" width="1.42578125" style="47" customWidth="1"/>
    <col min="2820" max="2820" width="10.42578125" style="47" customWidth="1"/>
    <col min="2821" max="2821" width="8.42578125" style="47" customWidth="1"/>
    <col min="2822" max="2822" width="11.28515625" style="47" customWidth="1"/>
    <col min="2823" max="2823" width="22" style="47" customWidth="1"/>
    <col min="2824" max="2824" width="1.28515625" style="47" customWidth="1"/>
    <col min="2825" max="2825" width="17.7109375" style="47" customWidth="1"/>
    <col min="2826" max="2826" width="1.42578125" style="47" customWidth="1"/>
    <col min="2827" max="2827" width="8.85546875" style="47" customWidth="1"/>
    <col min="2828" max="2828" width="1.140625" style="47" customWidth="1"/>
    <col min="2829" max="2829" width="1.5703125" style="47" customWidth="1"/>
    <col min="2830" max="2830" width="5.7109375" style="47" customWidth="1"/>
    <col min="2831" max="2831" width="10.42578125" style="47" customWidth="1"/>
    <col min="2832" max="2832" width="10.5703125" style="47" customWidth="1"/>
    <col min="2833" max="2833" width="7.85546875" style="47" customWidth="1"/>
    <col min="2834" max="2834" width="10.85546875" style="47" customWidth="1"/>
    <col min="2835" max="2835" width="2" style="47" customWidth="1"/>
    <col min="2836" max="2836" width="1.5703125" style="47" customWidth="1"/>
    <col min="2837" max="2837" width="4.28515625" style="47" customWidth="1"/>
    <col min="2838" max="2838" width="13.28515625" style="47" customWidth="1"/>
    <col min="2839" max="2839" width="1" style="47" customWidth="1"/>
    <col min="2840" max="2840" width="6.7109375" style="47" customWidth="1"/>
    <col min="2841" max="3072" width="6.85546875" style="47"/>
    <col min="3073" max="3073" width="1.7109375" style="47" customWidth="1"/>
    <col min="3074" max="3074" width="2.42578125" style="47" customWidth="1"/>
    <col min="3075" max="3075" width="1.42578125" style="47" customWidth="1"/>
    <col min="3076" max="3076" width="10.42578125" style="47" customWidth="1"/>
    <col min="3077" max="3077" width="8.42578125" style="47" customWidth="1"/>
    <col min="3078" max="3078" width="11.28515625" style="47" customWidth="1"/>
    <col min="3079" max="3079" width="22" style="47" customWidth="1"/>
    <col min="3080" max="3080" width="1.28515625" style="47" customWidth="1"/>
    <col min="3081" max="3081" width="17.7109375" style="47" customWidth="1"/>
    <col min="3082" max="3082" width="1.42578125" style="47" customWidth="1"/>
    <col min="3083" max="3083" width="8.85546875" style="47" customWidth="1"/>
    <col min="3084" max="3084" width="1.140625" style="47" customWidth="1"/>
    <col min="3085" max="3085" width="1.5703125" style="47" customWidth="1"/>
    <col min="3086" max="3086" width="5.7109375" style="47" customWidth="1"/>
    <col min="3087" max="3087" width="10.42578125" style="47" customWidth="1"/>
    <col min="3088" max="3088" width="10.5703125" style="47" customWidth="1"/>
    <col min="3089" max="3089" width="7.85546875" style="47" customWidth="1"/>
    <col min="3090" max="3090" width="10.85546875" style="47" customWidth="1"/>
    <col min="3091" max="3091" width="2" style="47" customWidth="1"/>
    <col min="3092" max="3092" width="1.5703125" style="47" customWidth="1"/>
    <col min="3093" max="3093" width="4.28515625" style="47" customWidth="1"/>
    <col min="3094" max="3094" width="13.28515625" style="47" customWidth="1"/>
    <col min="3095" max="3095" width="1" style="47" customWidth="1"/>
    <col min="3096" max="3096" width="6.7109375" style="47" customWidth="1"/>
    <col min="3097" max="3328" width="6.85546875" style="47"/>
    <col min="3329" max="3329" width="1.7109375" style="47" customWidth="1"/>
    <col min="3330" max="3330" width="2.42578125" style="47" customWidth="1"/>
    <col min="3331" max="3331" width="1.42578125" style="47" customWidth="1"/>
    <col min="3332" max="3332" width="10.42578125" style="47" customWidth="1"/>
    <col min="3333" max="3333" width="8.42578125" style="47" customWidth="1"/>
    <col min="3334" max="3334" width="11.28515625" style="47" customWidth="1"/>
    <col min="3335" max="3335" width="22" style="47" customWidth="1"/>
    <col min="3336" max="3336" width="1.28515625" style="47" customWidth="1"/>
    <col min="3337" max="3337" width="17.7109375" style="47" customWidth="1"/>
    <col min="3338" max="3338" width="1.42578125" style="47" customWidth="1"/>
    <col min="3339" max="3339" width="8.85546875" style="47" customWidth="1"/>
    <col min="3340" max="3340" width="1.140625" style="47" customWidth="1"/>
    <col min="3341" max="3341" width="1.5703125" style="47" customWidth="1"/>
    <col min="3342" max="3342" width="5.7109375" style="47" customWidth="1"/>
    <col min="3343" max="3343" width="10.42578125" style="47" customWidth="1"/>
    <col min="3344" max="3344" width="10.5703125" style="47" customWidth="1"/>
    <col min="3345" max="3345" width="7.85546875" style="47" customWidth="1"/>
    <col min="3346" max="3346" width="10.85546875" style="47" customWidth="1"/>
    <col min="3347" max="3347" width="2" style="47" customWidth="1"/>
    <col min="3348" max="3348" width="1.5703125" style="47" customWidth="1"/>
    <col min="3349" max="3349" width="4.28515625" style="47" customWidth="1"/>
    <col min="3350" max="3350" width="13.28515625" style="47" customWidth="1"/>
    <col min="3351" max="3351" width="1" style="47" customWidth="1"/>
    <col min="3352" max="3352" width="6.7109375" style="47" customWidth="1"/>
    <col min="3353" max="3584" width="6.85546875" style="47"/>
    <col min="3585" max="3585" width="1.7109375" style="47" customWidth="1"/>
    <col min="3586" max="3586" width="2.42578125" style="47" customWidth="1"/>
    <col min="3587" max="3587" width="1.42578125" style="47" customWidth="1"/>
    <col min="3588" max="3588" width="10.42578125" style="47" customWidth="1"/>
    <col min="3589" max="3589" width="8.42578125" style="47" customWidth="1"/>
    <col min="3590" max="3590" width="11.28515625" style="47" customWidth="1"/>
    <col min="3591" max="3591" width="22" style="47" customWidth="1"/>
    <col min="3592" max="3592" width="1.28515625" style="47" customWidth="1"/>
    <col min="3593" max="3593" width="17.7109375" style="47" customWidth="1"/>
    <col min="3594" max="3594" width="1.42578125" style="47" customWidth="1"/>
    <col min="3595" max="3595" width="8.85546875" style="47" customWidth="1"/>
    <col min="3596" max="3596" width="1.140625" style="47" customWidth="1"/>
    <col min="3597" max="3597" width="1.5703125" style="47" customWidth="1"/>
    <col min="3598" max="3598" width="5.7109375" style="47" customWidth="1"/>
    <col min="3599" max="3599" width="10.42578125" style="47" customWidth="1"/>
    <col min="3600" max="3600" width="10.5703125" style="47" customWidth="1"/>
    <col min="3601" max="3601" width="7.85546875" style="47" customWidth="1"/>
    <col min="3602" max="3602" width="10.85546875" style="47" customWidth="1"/>
    <col min="3603" max="3603" width="2" style="47" customWidth="1"/>
    <col min="3604" max="3604" width="1.5703125" style="47" customWidth="1"/>
    <col min="3605" max="3605" width="4.28515625" style="47" customWidth="1"/>
    <col min="3606" max="3606" width="13.28515625" style="47" customWidth="1"/>
    <col min="3607" max="3607" width="1" style="47" customWidth="1"/>
    <col min="3608" max="3608" width="6.7109375" style="47" customWidth="1"/>
    <col min="3609" max="3840" width="6.85546875" style="47"/>
    <col min="3841" max="3841" width="1.7109375" style="47" customWidth="1"/>
    <col min="3842" max="3842" width="2.42578125" style="47" customWidth="1"/>
    <col min="3843" max="3843" width="1.42578125" style="47" customWidth="1"/>
    <col min="3844" max="3844" width="10.42578125" style="47" customWidth="1"/>
    <col min="3845" max="3845" width="8.42578125" style="47" customWidth="1"/>
    <col min="3846" max="3846" width="11.28515625" style="47" customWidth="1"/>
    <col min="3847" max="3847" width="22" style="47" customWidth="1"/>
    <col min="3848" max="3848" width="1.28515625" style="47" customWidth="1"/>
    <col min="3849" max="3849" width="17.7109375" style="47" customWidth="1"/>
    <col min="3850" max="3850" width="1.42578125" style="47" customWidth="1"/>
    <col min="3851" max="3851" width="8.85546875" style="47" customWidth="1"/>
    <col min="3852" max="3852" width="1.140625" style="47" customWidth="1"/>
    <col min="3853" max="3853" width="1.5703125" style="47" customWidth="1"/>
    <col min="3854" max="3854" width="5.7109375" style="47" customWidth="1"/>
    <col min="3855" max="3855" width="10.42578125" style="47" customWidth="1"/>
    <col min="3856" max="3856" width="10.5703125" style="47" customWidth="1"/>
    <col min="3857" max="3857" width="7.85546875" style="47" customWidth="1"/>
    <col min="3858" max="3858" width="10.85546875" style="47" customWidth="1"/>
    <col min="3859" max="3859" width="2" style="47" customWidth="1"/>
    <col min="3860" max="3860" width="1.5703125" style="47" customWidth="1"/>
    <col min="3861" max="3861" width="4.28515625" style="47" customWidth="1"/>
    <col min="3862" max="3862" width="13.28515625" style="47" customWidth="1"/>
    <col min="3863" max="3863" width="1" style="47" customWidth="1"/>
    <col min="3864" max="3864" width="6.7109375" style="47" customWidth="1"/>
    <col min="3865" max="4096" width="6.85546875" style="47"/>
    <col min="4097" max="4097" width="1.7109375" style="47" customWidth="1"/>
    <col min="4098" max="4098" width="2.42578125" style="47" customWidth="1"/>
    <col min="4099" max="4099" width="1.42578125" style="47" customWidth="1"/>
    <col min="4100" max="4100" width="10.42578125" style="47" customWidth="1"/>
    <col min="4101" max="4101" width="8.42578125" style="47" customWidth="1"/>
    <col min="4102" max="4102" width="11.28515625" style="47" customWidth="1"/>
    <col min="4103" max="4103" width="22" style="47" customWidth="1"/>
    <col min="4104" max="4104" width="1.28515625" style="47" customWidth="1"/>
    <col min="4105" max="4105" width="17.7109375" style="47" customWidth="1"/>
    <col min="4106" max="4106" width="1.42578125" style="47" customWidth="1"/>
    <col min="4107" max="4107" width="8.85546875" style="47" customWidth="1"/>
    <col min="4108" max="4108" width="1.140625" style="47" customWidth="1"/>
    <col min="4109" max="4109" width="1.5703125" style="47" customWidth="1"/>
    <col min="4110" max="4110" width="5.7109375" style="47" customWidth="1"/>
    <col min="4111" max="4111" width="10.42578125" style="47" customWidth="1"/>
    <col min="4112" max="4112" width="10.5703125" style="47" customWidth="1"/>
    <col min="4113" max="4113" width="7.85546875" style="47" customWidth="1"/>
    <col min="4114" max="4114" width="10.85546875" style="47" customWidth="1"/>
    <col min="4115" max="4115" width="2" style="47" customWidth="1"/>
    <col min="4116" max="4116" width="1.5703125" style="47" customWidth="1"/>
    <col min="4117" max="4117" width="4.28515625" style="47" customWidth="1"/>
    <col min="4118" max="4118" width="13.28515625" style="47" customWidth="1"/>
    <col min="4119" max="4119" width="1" style="47" customWidth="1"/>
    <col min="4120" max="4120" width="6.7109375" style="47" customWidth="1"/>
    <col min="4121" max="4352" width="6.85546875" style="47"/>
    <col min="4353" max="4353" width="1.7109375" style="47" customWidth="1"/>
    <col min="4354" max="4354" width="2.42578125" style="47" customWidth="1"/>
    <col min="4355" max="4355" width="1.42578125" style="47" customWidth="1"/>
    <col min="4356" max="4356" width="10.42578125" style="47" customWidth="1"/>
    <col min="4357" max="4357" width="8.42578125" style="47" customWidth="1"/>
    <col min="4358" max="4358" width="11.28515625" style="47" customWidth="1"/>
    <col min="4359" max="4359" width="22" style="47" customWidth="1"/>
    <col min="4360" max="4360" width="1.28515625" style="47" customWidth="1"/>
    <col min="4361" max="4361" width="17.7109375" style="47" customWidth="1"/>
    <col min="4362" max="4362" width="1.42578125" style="47" customWidth="1"/>
    <col min="4363" max="4363" width="8.85546875" style="47" customWidth="1"/>
    <col min="4364" max="4364" width="1.140625" style="47" customWidth="1"/>
    <col min="4365" max="4365" width="1.5703125" style="47" customWidth="1"/>
    <col min="4366" max="4366" width="5.7109375" style="47" customWidth="1"/>
    <col min="4367" max="4367" width="10.42578125" style="47" customWidth="1"/>
    <col min="4368" max="4368" width="10.5703125" style="47" customWidth="1"/>
    <col min="4369" max="4369" width="7.85546875" style="47" customWidth="1"/>
    <col min="4370" max="4370" width="10.85546875" style="47" customWidth="1"/>
    <col min="4371" max="4371" width="2" style="47" customWidth="1"/>
    <col min="4372" max="4372" width="1.5703125" style="47" customWidth="1"/>
    <col min="4373" max="4373" width="4.28515625" style="47" customWidth="1"/>
    <col min="4374" max="4374" width="13.28515625" style="47" customWidth="1"/>
    <col min="4375" max="4375" width="1" style="47" customWidth="1"/>
    <col min="4376" max="4376" width="6.7109375" style="47" customWidth="1"/>
    <col min="4377" max="4608" width="6.85546875" style="47"/>
    <col min="4609" max="4609" width="1.7109375" style="47" customWidth="1"/>
    <col min="4610" max="4610" width="2.42578125" style="47" customWidth="1"/>
    <col min="4611" max="4611" width="1.42578125" style="47" customWidth="1"/>
    <col min="4612" max="4612" width="10.42578125" style="47" customWidth="1"/>
    <col min="4613" max="4613" width="8.42578125" style="47" customWidth="1"/>
    <col min="4614" max="4614" width="11.28515625" style="47" customWidth="1"/>
    <col min="4615" max="4615" width="22" style="47" customWidth="1"/>
    <col min="4616" max="4616" width="1.28515625" style="47" customWidth="1"/>
    <col min="4617" max="4617" width="17.7109375" style="47" customWidth="1"/>
    <col min="4618" max="4618" width="1.42578125" style="47" customWidth="1"/>
    <col min="4619" max="4619" width="8.85546875" style="47" customWidth="1"/>
    <col min="4620" max="4620" width="1.140625" style="47" customWidth="1"/>
    <col min="4621" max="4621" width="1.5703125" style="47" customWidth="1"/>
    <col min="4622" max="4622" width="5.7109375" style="47" customWidth="1"/>
    <col min="4623" max="4623" width="10.42578125" style="47" customWidth="1"/>
    <col min="4624" max="4624" width="10.5703125" style="47" customWidth="1"/>
    <col min="4625" max="4625" width="7.85546875" style="47" customWidth="1"/>
    <col min="4626" max="4626" width="10.85546875" style="47" customWidth="1"/>
    <col min="4627" max="4627" width="2" style="47" customWidth="1"/>
    <col min="4628" max="4628" width="1.5703125" style="47" customWidth="1"/>
    <col min="4629" max="4629" width="4.28515625" style="47" customWidth="1"/>
    <col min="4630" max="4630" width="13.28515625" style="47" customWidth="1"/>
    <col min="4631" max="4631" width="1" style="47" customWidth="1"/>
    <col min="4632" max="4632" width="6.7109375" style="47" customWidth="1"/>
    <col min="4633" max="4864" width="6.85546875" style="47"/>
    <col min="4865" max="4865" width="1.7109375" style="47" customWidth="1"/>
    <col min="4866" max="4866" width="2.42578125" style="47" customWidth="1"/>
    <col min="4867" max="4867" width="1.42578125" style="47" customWidth="1"/>
    <col min="4868" max="4868" width="10.42578125" style="47" customWidth="1"/>
    <col min="4869" max="4869" width="8.42578125" style="47" customWidth="1"/>
    <col min="4870" max="4870" width="11.28515625" style="47" customWidth="1"/>
    <col min="4871" max="4871" width="22" style="47" customWidth="1"/>
    <col min="4872" max="4872" width="1.28515625" style="47" customWidth="1"/>
    <col min="4873" max="4873" width="17.7109375" style="47" customWidth="1"/>
    <col min="4874" max="4874" width="1.42578125" style="47" customWidth="1"/>
    <col min="4875" max="4875" width="8.85546875" style="47" customWidth="1"/>
    <col min="4876" max="4876" width="1.140625" style="47" customWidth="1"/>
    <col min="4877" max="4877" width="1.5703125" style="47" customWidth="1"/>
    <col min="4878" max="4878" width="5.7109375" style="47" customWidth="1"/>
    <col min="4879" max="4879" width="10.42578125" style="47" customWidth="1"/>
    <col min="4880" max="4880" width="10.5703125" style="47" customWidth="1"/>
    <col min="4881" max="4881" width="7.85546875" style="47" customWidth="1"/>
    <col min="4882" max="4882" width="10.85546875" style="47" customWidth="1"/>
    <col min="4883" max="4883" width="2" style="47" customWidth="1"/>
    <col min="4884" max="4884" width="1.5703125" style="47" customWidth="1"/>
    <col min="4885" max="4885" width="4.28515625" style="47" customWidth="1"/>
    <col min="4886" max="4886" width="13.28515625" style="47" customWidth="1"/>
    <col min="4887" max="4887" width="1" style="47" customWidth="1"/>
    <col min="4888" max="4888" width="6.7109375" style="47" customWidth="1"/>
    <col min="4889" max="5120" width="6.85546875" style="47"/>
    <col min="5121" max="5121" width="1.7109375" style="47" customWidth="1"/>
    <col min="5122" max="5122" width="2.42578125" style="47" customWidth="1"/>
    <col min="5123" max="5123" width="1.42578125" style="47" customWidth="1"/>
    <col min="5124" max="5124" width="10.42578125" style="47" customWidth="1"/>
    <col min="5125" max="5125" width="8.42578125" style="47" customWidth="1"/>
    <col min="5126" max="5126" width="11.28515625" style="47" customWidth="1"/>
    <col min="5127" max="5127" width="22" style="47" customWidth="1"/>
    <col min="5128" max="5128" width="1.28515625" style="47" customWidth="1"/>
    <col min="5129" max="5129" width="17.7109375" style="47" customWidth="1"/>
    <col min="5130" max="5130" width="1.42578125" style="47" customWidth="1"/>
    <col min="5131" max="5131" width="8.85546875" style="47" customWidth="1"/>
    <col min="5132" max="5132" width="1.140625" style="47" customWidth="1"/>
    <col min="5133" max="5133" width="1.5703125" style="47" customWidth="1"/>
    <col min="5134" max="5134" width="5.7109375" style="47" customWidth="1"/>
    <col min="5135" max="5135" width="10.42578125" style="47" customWidth="1"/>
    <col min="5136" max="5136" width="10.5703125" style="47" customWidth="1"/>
    <col min="5137" max="5137" width="7.85546875" style="47" customWidth="1"/>
    <col min="5138" max="5138" width="10.85546875" style="47" customWidth="1"/>
    <col min="5139" max="5139" width="2" style="47" customWidth="1"/>
    <col min="5140" max="5140" width="1.5703125" style="47" customWidth="1"/>
    <col min="5141" max="5141" width="4.28515625" style="47" customWidth="1"/>
    <col min="5142" max="5142" width="13.28515625" style="47" customWidth="1"/>
    <col min="5143" max="5143" width="1" style="47" customWidth="1"/>
    <col min="5144" max="5144" width="6.7109375" style="47" customWidth="1"/>
    <col min="5145" max="5376" width="6.85546875" style="47"/>
    <col min="5377" max="5377" width="1.7109375" style="47" customWidth="1"/>
    <col min="5378" max="5378" width="2.42578125" style="47" customWidth="1"/>
    <col min="5379" max="5379" width="1.42578125" style="47" customWidth="1"/>
    <col min="5380" max="5380" width="10.42578125" style="47" customWidth="1"/>
    <col min="5381" max="5381" width="8.42578125" style="47" customWidth="1"/>
    <col min="5382" max="5382" width="11.28515625" style="47" customWidth="1"/>
    <col min="5383" max="5383" width="22" style="47" customWidth="1"/>
    <col min="5384" max="5384" width="1.28515625" style="47" customWidth="1"/>
    <col min="5385" max="5385" width="17.7109375" style="47" customWidth="1"/>
    <col min="5386" max="5386" width="1.42578125" style="47" customWidth="1"/>
    <col min="5387" max="5387" width="8.85546875" style="47" customWidth="1"/>
    <col min="5388" max="5388" width="1.140625" style="47" customWidth="1"/>
    <col min="5389" max="5389" width="1.5703125" style="47" customWidth="1"/>
    <col min="5390" max="5390" width="5.7109375" style="47" customWidth="1"/>
    <col min="5391" max="5391" width="10.42578125" style="47" customWidth="1"/>
    <col min="5392" max="5392" width="10.5703125" style="47" customWidth="1"/>
    <col min="5393" max="5393" width="7.85546875" style="47" customWidth="1"/>
    <col min="5394" max="5394" width="10.85546875" style="47" customWidth="1"/>
    <col min="5395" max="5395" width="2" style="47" customWidth="1"/>
    <col min="5396" max="5396" width="1.5703125" style="47" customWidth="1"/>
    <col min="5397" max="5397" width="4.28515625" style="47" customWidth="1"/>
    <col min="5398" max="5398" width="13.28515625" style="47" customWidth="1"/>
    <col min="5399" max="5399" width="1" style="47" customWidth="1"/>
    <col min="5400" max="5400" width="6.7109375" style="47" customWidth="1"/>
    <col min="5401" max="5632" width="6.85546875" style="47"/>
    <col min="5633" max="5633" width="1.7109375" style="47" customWidth="1"/>
    <col min="5634" max="5634" width="2.42578125" style="47" customWidth="1"/>
    <col min="5635" max="5635" width="1.42578125" style="47" customWidth="1"/>
    <col min="5636" max="5636" width="10.42578125" style="47" customWidth="1"/>
    <col min="5637" max="5637" width="8.42578125" style="47" customWidth="1"/>
    <col min="5638" max="5638" width="11.28515625" style="47" customWidth="1"/>
    <col min="5639" max="5639" width="22" style="47" customWidth="1"/>
    <col min="5640" max="5640" width="1.28515625" style="47" customWidth="1"/>
    <col min="5641" max="5641" width="17.7109375" style="47" customWidth="1"/>
    <col min="5642" max="5642" width="1.42578125" style="47" customWidth="1"/>
    <col min="5643" max="5643" width="8.85546875" style="47" customWidth="1"/>
    <col min="5644" max="5644" width="1.140625" style="47" customWidth="1"/>
    <col min="5645" max="5645" width="1.5703125" style="47" customWidth="1"/>
    <col min="5646" max="5646" width="5.7109375" style="47" customWidth="1"/>
    <col min="5647" max="5647" width="10.42578125" style="47" customWidth="1"/>
    <col min="5648" max="5648" width="10.5703125" style="47" customWidth="1"/>
    <col min="5649" max="5649" width="7.85546875" style="47" customWidth="1"/>
    <col min="5650" max="5650" width="10.85546875" style="47" customWidth="1"/>
    <col min="5651" max="5651" width="2" style="47" customWidth="1"/>
    <col min="5652" max="5652" width="1.5703125" style="47" customWidth="1"/>
    <col min="5653" max="5653" width="4.28515625" style="47" customWidth="1"/>
    <col min="5654" max="5654" width="13.28515625" style="47" customWidth="1"/>
    <col min="5655" max="5655" width="1" style="47" customWidth="1"/>
    <col min="5656" max="5656" width="6.7109375" style="47" customWidth="1"/>
    <col min="5657" max="5888" width="6.85546875" style="47"/>
    <col min="5889" max="5889" width="1.7109375" style="47" customWidth="1"/>
    <col min="5890" max="5890" width="2.42578125" style="47" customWidth="1"/>
    <col min="5891" max="5891" width="1.42578125" style="47" customWidth="1"/>
    <col min="5892" max="5892" width="10.42578125" style="47" customWidth="1"/>
    <col min="5893" max="5893" width="8.42578125" style="47" customWidth="1"/>
    <col min="5894" max="5894" width="11.28515625" style="47" customWidth="1"/>
    <col min="5895" max="5895" width="22" style="47" customWidth="1"/>
    <col min="5896" max="5896" width="1.28515625" style="47" customWidth="1"/>
    <col min="5897" max="5897" width="17.7109375" style="47" customWidth="1"/>
    <col min="5898" max="5898" width="1.42578125" style="47" customWidth="1"/>
    <col min="5899" max="5899" width="8.85546875" style="47" customWidth="1"/>
    <col min="5900" max="5900" width="1.140625" style="47" customWidth="1"/>
    <col min="5901" max="5901" width="1.5703125" style="47" customWidth="1"/>
    <col min="5902" max="5902" width="5.7109375" style="47" customWidth="1"/>
    <col min="5903" max="5903" width="10.42578125" style="47" customWidth="1"/>
    <col min="5904" max="5904" width="10.5703125" style="47" customWidth="1"/>
    <col min="5905" max="5905" width="7.85546875" style="47" customWidth="1"/>
    <col min="5906" max="5906" width="10.85546875" style="47" customWidth="1"/>
    <col min="5907" max="5907" width="2" style="47" customWidth="1"/>
    <col min="5908" max="5908" width="1.5703125" style="47" customWidth="1"/>
    <col min="5909" max="5909" width="4.28515625" style="47" customWidth="1"/>
    <col min="5910" max="5910" width="13.28515625" style="47" customWidth="1"/>
    <col min="5911" max="5911" width="1" style="47" customWidth="1"/>
    <col min="5912" max="5912" width="6.7109375" style="47" customWidth="1"/>
    <col min="5913" max="6144" width="6.85546875" style="47"/>
    <col min="6145" max="6145" width="1.7109375" style="47" customWidth="1"/>
    <col min="6146" max="6146" width="2.42578125" style="47" customWidth="1"/>
    <col min="6147" max="6147" width="1.42578125" style="47" customWidth="1"/>
    <col min="6148" max="6148" width="10.42578125" style="47" customWidth="1"/>
    <col min="6149" max="6149" width="8.42578125" style="47" customWidth="1"/>
    <col min="6150" max="6150" width="11.28515625" style="47" customWidth="1"/>
    <col min="6151" max="6151" width="22" style="47" customWidth="1"/>
    <col min="6152" max="6152" width="1.28515625" style="47" customWidth="1"/>
    <col min="6153" max="6153" width="17.7109375" style="47" customWidth="1"/>
    <col min="6154" max="6154" width="1.42578125" style="47" customWidth="1"/>
    <col min="6155" max="6155" width="8.85546875" style="47" customWidth="1"/>
    <col min="6156" max="6156" width="1.140625" style="47" customWidth="1"/>
    <col min="6157" max="6157" width="1.5703125" style="47" customWidth="1"/>
    <col min="6158" max="6158" width="5.7109375" style="47" customWidth="1"/>
    <col min="6159" max="6159" width="10.42578125" style="47" customWidth="1"/>
    <col min="6160" max="6160" width="10.5703125" style="47" customWidth="1"/>
    <col min="6161" max="6161" width="7.85546875" style="47" customWidth="1"/>
    <col min="6162" max="6162" width="10.85546875" style="47" customWidth="1"/>
    <col min="6163" max="6163" width="2" style="47" customWidth="1"/>
    <col min="6164" max="6164" width="1.5703125" style="47" customWidth="1"/>
    <col min="6165" max="6165" width="4.28515625" style="47" customWidth="1"/>
    <col min="6166" max="6166" width="13.28515625" style="47" customWidth="1"/>
    <col min="6167" max="6167" width="1" style="47" customWidth="1"/>
    <col min="6168" max="6168" width="6.7109375" style="47" customWidth="1"/>
    <col min="6169" max="6400" width="6.85546875" style="47"/>
    <col min="6401" max="6401" width="1.7109375" style="47" customWidth="1"/>
    <col min="6402" max="6402" width="2.42578125" style="47" customWidth="1"/>
    <col min="6403" max="6403" width="1.42578125" style="47" customWidth="1"/>
    <col min="6404" max="6404" width="10.42578125" style="47" customWidth="1"/>
    <col min="6405" max="6405" width="8.42578125" style="47" customWidth="1"/>
    <col min="6406" max="6406" width="11.28515625" style="47" customWidth="1"/>
    <col min="6407" max="6407" width="22" style="47" customWidth="1"/>
    <col min="6408" max="6408" width="1.28515625" style="47" customWidth="1"/>
    <col min="6409" max="6409" width="17.7109375" style="47" customWidth="1"/>
    <col min="6410" max="6410" width="1.42578125" style="47" customWidth="1"/>
    <col min="6411" max="6411" width="8.85546875" style="47" customWidth="1"/>
    <col min="6412" max="6412" width="1.140625" style="47" customWidth="1"/>
    <col min="6413" max="6413" width="1.5703125" style="47" customWidth="1"/>
    <col min="6414" max="6414" width="5.7109375" style="47" customWidth="1"/>
    <col min="6415" max="6415" width="10.42578125" style="47" customWidth="1"/>
    <col min="6416" max="6416" width="10.5703125" style="47" customWidth="1"/>
    <col min="6417" max="6417" width="7.85546875" style="47" customWidth="1"/>
    <col min="6418" max="6418" width="10.85546875" style="47" customWidth="1"/>
    <col min="6419" max="6419" width="2" style="47" customWidth="1"/>
    <col min="6420" max="6420" width="1.5703125" style="47" customWidth="1"/>
    <col min="6421" max="6421" width="4.28515625" style="47" customWidth="1"/>
    <col min="6422" max="6422" width="13.28515625" style="47" customWidth="1"/>
    <col min="6423" max="6423" width="1" style="47" customWidth="1"/>
    <col min="6424" max="6424" width="6.7109375" style="47" customWidth="1"/>
    <col min="6425" max="6656" width="6.85546875" style="47"/>
    <col min="6657" max="6657" width="1.7109375" style="47" customWidth="1"/>
    <col min="6658" max="6658" width="2.42578125" style="47" customWidth="1"/>
    <col min="6659" max="6659" width="1.42578125" style="47" customWidth="1"/>
    <col min="6660" max="6660" width="10.42578125" style="47" customWidth="1"/>
    <col min="6661" max="6661" width="8.42578125" style="47" customWidth="1"/>
    <col min="6662" max="6662" width="11.28515625" style="47" customWidth="1"/>
    <col min="6663" max="6663" width="22" style="47" customWidth="1"/>
    <col min="6664" max="6664" width="1.28515625" style="47" customWidth="1"/>
    <col min="6665" max="6665" width="17.7109375" style="47" customWidth="1"/>
    <col min="6666" max="6666" width="1.42578125" style="47" customWidth="1"/>
    <col min="6667" max="6667" width="8.85546875" style="47" customWidth="1"/>
    <col min="6668" max="6668" width="1.140625" style="47" customWidth="1"/>
    <col min="6669" max="6669" width="1.5703125" style="47" customWidth="1"/>
    <col min="6670" max="6670" width="5.7109375" style="47" customWidth="1"/>
    <col min="6671" max="6671" width="10.42578125" style="47" customWidth="1"/>
    <col min="6672" max="6672" width="10.5703125" style="47" customWidth="1"/>
    <col min="6673" max="6673" width="7.85546875" style="47" customWidth="1"/>
    <col min="6674" max="6674" width="10.85546875" style="47" customWidth="1"/>
    <col min="6675" max="6675" width="2" style="47" customWidth="1"/>
    <col min="6676" max="6676" width="1.5703125" style="47" customWidth="1"/>
    <col min="6677" max="6677" width="4.28515625" style="47" customWidth="1"/>
    <col min="6678" max="6678" width="13.28515625" style="47" customWidth="1"/>
    <col min="6679" max="6679" width="1" style="47" customWidth="1"/>
    <col min="6680" max="6680" width="6.7109375" style="47" customWidth="1"/>
    <col min="6681" max="6912" width="6.85546875" style="47"/>
    <col min="6913" max="6913" width="1.7109375" style="47" customWidth="1"/>
    <col min="6914" max="6914" width="2.42578125" style="47" customWidth="1"/>
    <col min="6915" max="6915" width="1.42578125" style="47" customWidth="1"/>
    <col min="6916" max="6916" width="10.42578125" style="47" customWidth="1"/>
    <col min="6917" max="6917" width="8.42578125" style="47" customWidth="1"/>
    <col min="6918" max="6918" width="11.28515625" style="47" customWidth="1"/>
    <col min="6919" max="6919" width="22" style="47" customWidth="1"/>
    <col min="6920" max="6920" width="1.28515625" style="47" customWidth="1"/>
    <col min="6921" max="6921" width="17.7109375" style="47" customWidth="1"/>
    <col min="6922" max="6922" width="1.42578125" style="47" customWidth="1"/>
    <col min="6923" max="6923" width="8.85546875" style="47" customWidth="1"/>
    <col min="6924" max="6924" width="1.140625" style="47" customWidth="1"/>
    <col min="6925" max="6925" width="1.5703125" style="47" customWidth="1"/>
    <col min="6926" max="6926" width="5.7109375" style="47" customWidth="1"/>
    <col min="6927" max="6927" width="10.42578125" style="47" customWidth="1"/>
    <col min="6928" max="6928" width="10.5703125" style="47" customWidth="1"/>
    <col min="6929" max="6929" width="7.85546875" style="47" customWidth="1"/>
    <col min="6930" max="6930" width="10.85546875" style="47" customWidth="1"/>
    <col min="6931" max="6931" width="2" style="47" customWidth="1"/>
    <col min="6932" max="6932" width="1.5703125" style="47" customWidth="1"/>
    <col min="6933" max="6933" width="4.28515625" style="47" customWidth="1"/>
    <col min="6934" max="6934" width="13.28515625" style="47" customWidth="1"/>
    <col min="6935" max="6935" width="1" style="47" customWidth="1"/>
    <col min="6936" max="6936" width="6.7109375" style="47" customWidth="1"/>
    <col min="6937" max="7168" width="6.85546875" style="47"/>
    <col min="7169" max="7169" width="1.7109375" style="47" customWidth="1"/>
    <col min="7170" max="7170" width="2.42578125" style="47" customWidth="1"/>
    <col min="7171" max="7171" width="1.42578125" style="47" customWidth="1"/>
    <col min="7172" max="7172" width="10.42578125" style="47" customWidth="1"/>
    <col min="7173" max="7173" width="8.42578125" style="47" customWidth="1"/>
    <col min="7174" max="7174" width="11.28515625" style="47" customWidth="1"/>
    <col min="7175" max="7175" width="22" style="47" customWidth="1"/>
    <col min="7176" max="7176" width="1.28515625" style="47" customWidth="1"/>
    <col min="7177" max="7177" width="17.7109375" style="47" customWidth="1"/>
    <col min="7178" max="7178" width="1.42578125" style="47" customWidth="1"/>
    <col min="7179" max="7179" width="8.85546875" style="47" customWidth="1"/>
    <col min="7180" max="7180" width="1.140625" style="47" customWidth="1"/>
    <col min="7181" max="7181" width="1.5703125" style="47" customWidth="1"/>
    <col min="7182" max="7182" width="5.7109375" style="47" customWidth="1"/>
    <col min="7183" max="7183" width="10.42578125" style="47" customWidth="1"/>
    <col min="7184" max="7184" width="10.5703125" style="47" customWidth="1"/>
    <col min="7185" max="7185" width="7.85546875" style="47" customWidth="1"/>
    <col min="7186" max="7186" width="10.85546875" style="47" customWidth="1"/>
    <col min="7187" max="7187" width="2" style="47" customWidth="1"/>
    <col min="7188" max="7188" width="1.5703125" style="47" customWidth="1"/>
    <col min="7189" max="7189" width="4.28515625" style="47" customWidth="1"/>
    <col min="7190" max="7190" width="13.28515625" style="47" customWidth="1"/>
    <col min="7191" max="7191" width="1" style="47" customWidth="1"/>
    <col min="7192" max="7192" width="6.7109375" style="47" customWidth="1"/>
    <col min="7193" max="7424" width="6.85546875" style="47"/>
    <col min="7425" max="7425" width="1.7109375" style="47" customWidth="1"/>
    <col min="7426" max="7426" width="2.42578125" style="47" customWidth="1"/>
    <col min="7427" max="7427" width="1.42578125" style="47" customWidth="1"/>
    <col min="7428" max="7428" width="10.42578125" style="47" customWidth="1"/>
    <col min="7429" max="7429" width="8.42578125" style="47" customWidth="1"/>
    <col min="7430" max="7430" width="11.28515625" style="47" customWidth="1"/>
    <col min="7431" max="7431" width="22" style="47" customWidth="1"/>
    <col min="7432" max="7432" width="1.28515625" style="47" customWidth="1"/>
    <col min="7433" max="7433" width="17.7109375" style="47" customWidth="1"/>
    <col min="7434" max="7434" width="1.42578125" style="47" customWidth="1"/>
    <col min="7435" max="7435" width="8.85546875" style="47" customWidth="1"/>
    <col min="7436" max="7436" width="1.140625" style="47" customWidth="1"/>
    <col min="7437" max="7437" width="1.5703125" style="47" customWidth="1"/>
    <col min="7438" max="7438" width="5.7109375" style="47" customWidth="1"/>
    <col min="7439" max="7439" width="10.42578125" style="47" customWidth="1"/>
    <col min="7440" max="7440" width="10.5703125" style="47" customWidth="1"/>
    <col min="7441" max="7441" width="7.85546875" style="47" customWidth="1"/>
    <col min="7442" max="7442" width="10.85546875" style="47" customWidth="1"/>
    <col min="7443" max="7443" width="2" style="47" customWidth="1"/>
    <col min="7444" max="7444" width="1.5703125" style="47" customWidth="1"/>
    <col min="7445" max="7445" width="4.28515625" style="47" customWidth="1"/>
    <col min="7446" max="7446" width="13.28515625" style="47" customWidth="1"/>
    <col min="7447" max="7447" width="1" style="47" customWidth="1"/>
    <col min="7448" max="7448" width="6.7109375" style="47" customWidth="1"/>
    <col min="7449" max="7680" width="6.85546875" style="47"/>
    <col min="7681" max="7681" width="1.7109375" style="47" customWidth="1"/>
    <col min="7682" max="7682" width="2.42578125" style="47" customWidth="1"/>
    <col min="7683" max="7683" width="1.42578125" style="47" customWidth="1"/>
    <col min="7684" max="7684" width="10.42578125" style="47" customWidth="1"/>
    <col min="7685" max="7685" width="8.42578125" style="47" customWidth="1"/>
    <col min="7686" max="7686" width="11.28515625" style="47" customWidth="1"/>
    <col min="7687" max="7687" width="22" style="47" customWidth="1"/>
    <col min="7688" max="7688" width="1.28515625" style="47" customWidth="1"/>
    <col min="7689" max="7689" width="17.7109375" style="47" customWidth="1"/>
    <col min="7690" max="7690" width="1.42578125" style="47" customWidth="1"/>
    <col min="7691" max="7691" width="8.85546875" style="47" customWidth="1"/>
    <col min="7692" max="7692" width="1.140625" style="47" customWidth="1"/>
    <col min="7693" max="7693" width="1.5703125" style="47" customWidth="1"/>
    <col min="7694" max="7694" width="5.7109375" style="47" customWidth="1"/>
    <col min="7695" max="7695" width="10.42578125" style="47" customWidth="1"/>
    <col min="7696" max="7696" width="10.5703125" style="47" customWidth="1"/>
    <col min="7697" max="7697" width="7.85546875" style="47" customWidth="1"/>
    <col min="7698" max="7698" width="10.85546875" style="47" customWidth="1"/>
    <col min="7699" max="7699" width="2" style="47" customWidth="1"/>
    <col min="7700" max="7700" width="1.5703125" style="47" customWidth="1"/>
    <col min="7701" max="7701" width="4.28515625" style="47" customWidth="1"/>
    <col min="7702" max="7702" width="13.28515625" style="47" customWidth="1"/>
    <col min="7703" max="7703" width="1" style="47" customWidth="1"/>
    <col min="7704" max="7704" width="6.7109375" style="47" customWidth="1"/>
    <col min="7705" max="7936" width="6.85546875" style="47"/>
    <col min="7937" max="7937" width="1.7109375" style="47" customWidth="1"/>
    <col min="7938" max="7938" width="2.42578125" style="47" customWidth="1"/>
    <col min="7939" max="7939" width="1.42578125" style="47" customWidth="1"/>
    <col min="7940" max="7940" width="10.42578125" style="47" customWidth="1"/>
    <col min="7941" max="7941" width="8.42578125" style="47" customWidth="1"/>
    <col min="7942" max="7942" width="11.28515625" style="47" customWidth="1"/>
    <col min="7943" max="7943" width="22" style="47" customWidth="1"/>
    <col min="7944" max="7944" width="1.28515625" style="47" customWidth="1"/>
    <col min="7945" max="7945" width="17.7109375" style="47" customWidth="1"/>
    <col min="7946" max="7946" width="1.42578125" style="47" customWidth="1"/>
    <col min="7947" max="7947" width="8.85546875" style="47" customWidth="1"/>
    <col min="7948" max="7948" width="1.140625" style="47" customWidth="1"/>
    <col min="7949" max="7949" width="1.5703125" style="47" customWidth="1"/>
    <col min="7950" max="7950" width="5.7109375" style="47" customWidth="1"/>
    <col min="7951" max="7951" width="10.42578125" style="47" customWidth="1"/>
    <col min="7952" max="7952" width="10.5703125" style="47" customWidth="1"/>
    <col min="7953" max="7953" width="7.85546875" style="47" customWidth="1"/>
    <col min="7954" max="7954" width="10.85546875" style="47" customWidth="1"/>
    <col min="7955" max="7955" width="2" style="47" customWidth="1"/>
    <col min="7956" max="7956" width="1.5703125" style="47" customWidth="1"/>
    <col min="7957" max="7957" width="4.28515625" style="47" customWidth="1"/>
    <col min="7958" max="7958" width="13.28515625" style="47" customWidth="1"/>
    <col min="7959" max="7959" width="1" style="47" customWidth="1"/>
    <col min="7960" max="7960" width="6.7109375" style="47" customWidth="1"/>
    <col min="7961" max="8192" width="6.85546875" style="47"/>
    <col min="8193" max="8193" width="1.7109375" style="47" customWidth="1"/>
    <col min="8194" max="8194" width="2.42578125" style="47" customWidth="1"/>
    <col min="8195" max="8195" width="1.42578125" style="47" customWidth="1"/>
    <col min="8196" max="8196" width="10.42578125" style="47" customWidth="1"/>
    <col min="8197" max="8197" width="8.42578125" style="47" customWidth="1"/>
    <col min="8198" max="8198" width="11.28515625" style="47" customWidth="1"/>
    <col min="8199" max="8199" width="22" style="47" customWidth="1"/>
    <col min="8200" max="8200" width="1.28515625" style="47" customWidth="1"/>
    <col min="8201" max="8201" width="17.7109375" style="47" customWidth="1"/>
    <col min="8202" max="8202" width="1.42578125" style="47" customWidth="1"/>
    <col min="8203" max="8203" width="8.85546875" style="47" customWidth="1"/>
    <col min="8204" max="8204" width="1.140625" style="47" customWidth="1"/>
    <col min="8205" max="8205" width="1.5703125" style="47" customWidth="1"/>
    <col min="8206" max="8206" width="5.7109375" style="47" customWidth="1"/>
    <col min="8207" max="8207" width="10.42578125" style="47" customWidth="1"/>
    <col min="8208" max="8208" width="10.5703125" style="47" customWidth="1"/>
    <col min="8209" max="8209" width="7.85546875" style="47" customWidth="1"/>
    <col min="8210" max="8210" width="10.85546875" style="47" customWidth="1"/>
    <col min="8211" max="8211" width="2" style="47" customWidth="1"/>
    <col min="8212" max="8212" width="1.5703125" style="47" customWidth="1"/>
    <col min="8213" max="8213" width="4.28515625" style="47" customWidth="1"/>
    <col min="8214" max="8214" width="13.28515625" style="47" customWidth="1"/>
    <col min="8215" max="8215" width="1" style="47" customWidth="1"/>
    <col min="8216" max="8216" width="6.7109375" style="47" customWidth="1"/>
    <col min="8217" max="8448" width="6.85546875" style="47"/>
    <col min="8449" max="8449" width="1.7109375" style="47" customWidth="1"/>
    <col min="8450" max="8450" width="2.42578125" style="47" customWidth="1"/>
    <col min="8451" max="8451" width="1.42578125" style="47" customWidth="1"/>
    <col min="8452" max="8452" width="10.42578125" style="47" customWidth="1"/>
    <col min="8453" max="8453" width="8.42578125" style="47" customWidth="1"/>
    <col min="8454" max="8454" width="11.28515625" style="47" customWidth="1"/>
    <col min="8455" max="8455" width="22" style="47" customWidth="1"/>
    <col min="8456" max="8456" width="1.28515625" style="47" customWidth="1"/>
    <col min="8457" max="8457" width="17.7109375" style="47" customWidth="1"/>
    <col min="8458" max="8458" width="1.42578125" style="47" customWidth="1"/>
    <col min="8459" max="8459" width="8.85546875" style="47" customWidth="1"/>
    <col min="8460" max="8460" width="1.140625" style="47" customWidth="1"/>
    <col min="8461" max="8461" width="1.5703125" style="47" customWidth="1"/>
    <col min="8462" max="8462" width="5.7109375" style="47" customWidth="1"/>
    <col min="8463" max="8463" width="10.42578125" style="47" customWidth="1"/>
    <col min="8464" max="8464" width="10.5703125" style="47" customWidth="1"/>
    <col min="8465" max="8465" width="7.85546875" style="47" customWidth="1"/>
    <col min="8466" max="8466" width="10.85546875" style="47" customWidth="1"/>
    <col min="8467" max="8467" width="2" style="47" customWidth="1"/>
    <col min="8468" max="8468" width="1.5703125" style="47" customWidth="1"/>
    <col min="8469" max="8469" width="4.28515625" style="47" customWidth="1"/>
    <col min="8470" max="8470" width="13.28515625" style="47" customWidth="1"/>
    <col min="8471" max="8471" width="1" style="47" customWidth="1"/>
    <col min="8472" max="8472" width="6.7109375" style="47" customWidth="1"/>
    <col min="8473" max="8704" width="6.85546875" style="47"/>
    <col min="8705" max="8705" width="1.7109375" style="47" customWidth="1"/>
    <col min="8706" max="8706" width="2.42578125" style="47" customWidth="1"/>
    <col min="8707" max="8707" width="1.42578125" style="47" customWidth="1"/>
    <col min="8708" max="8708" width="10.42578125" style="47" customWidth="1"/>
    <col min="8709" max="8709" width="8.42578125" style="47" customWidth="1"/>
    <col min="8710" max="8710" width="11.28515625" style="47" customWidth="1"/>
    <col min="8711" max="8711" width="22" style="47" customWidth="1"/>
    <col min="8712" max="8712" width="1.28515625" style="47" customWidth="1"/>
    <col min="8713" max="8713" width="17.7109375" style="47" customWidth="1"/>
    <col min="8714" max="8714" width="1.42578125" style="47" customWidth="1"/>
    <col min="8715" max="8715" width="8.85546875" style="47" customWidth="1"/>
    <col min="8716" max="8716" width="1.140625" style="47" customWidth="1"/>
    <col min="8717" max="8717" width="1.5703125" style="47" customWidth="1"/>
    <col min="8718" max="8718" width="5.7109375" style="47" customWidth="1"/>
    <col min="8719" max="8719" width="10.42578125" style="47" customWidth="1"/>
    <col min="8720" max="8720" width="10.5703125" style="47" customWidth="1"/>
    <col min="8721" max="8721" width="7.85546875" style="47" customWidth="1"/>
    <col min="8722" max="8722" width="10.85546875" style="47" customWidth="1"/>
    <col min="8723" max="8723" width="2" style="47" customWidth="1"/>
    <col min="8724" max="8724" width="1.5703125" style="47" customWidth="1"/>
    <col min="8725" max="8725" width="4.28515625" style="47" customWidth="1"/>
    <col min="8726" max="8726" width="13.28515625" style="47" customWidth="1"/>
    <col min="8727" max="8727" width="1" style="47" customWidth="1"/>
    <col min="8728" max="8728" width="6.7109375" style="47" customWidth="1"/>
    <col min="8729" max="8960" width="6.85546875" style="47"/>
    <col min="8961" max="8961" width="1.7109375" style="47" customWidth="1"/>
    <col min="8962" max="8962" width="2.42578125" style="47" customWidth="1"/>
    <col min="8963" max="8963" width="1.42578125" style="47" customWidth="1"/>
    <col min="8964" max="8964" width="10.42578125" style="47" customWidth="1"/>
    <col min="8965" max="8965" width="8.42578125" style="47" customWidth="1"/>
    <col min="8966" max="8966" width="11.28515625" style="47" customWidth="1"/>
    <col min="8967" max="8967" width="22" style="47" customWidth="1"/>
    <col min="8968" max="8968" width="1.28515625" style="47" customWidth="1"/>
    <col min="8969" max="8969" width="17.7109375" style="47" customWidth="1"/>
    <col min="8970" max="8970" width="1.42578125" style="47" customWidth="1"/>
    <col min="8971" max="8971" width="8.85546875" style="47" customWidth="1"/>
    <col min="8972" max="8972" width="1.140625" style="47" customWidth="1"/>
    <col min="8973" max="8973" width="1.5703125" style="47" customWidth="1"/>
    <col min="8974" max="8974" width="5.7109375" style="47" customWidth="1"/>
    <col min="8975" max="8975" width="10.42578125" style="47" customWidth="1"/>
    <col min="8976" max="8976" width="10.5703125" style="47" customWidth="1"/>
    <col min="8977" max="8977" width="7.85546875" style="47" customWidth="1"/>
    <col min="8978" max="8978" width="10.85546875" style="47" customWidth="1"/>
    <col min="8979" max="8979" width="2" style="47" customWidth="1"/>
    <col min="8980" max="8980" width="1.5703125" style="47" customWidth="1"/>
    <col min="8981" max="8981" width="4.28515625" style="47" customWidth="1"/>
    <col min="8982" max="8982" width="13.28515625" style="47" customWidth="1"/>
    <col min="8983" max="8983" width="1" style="47" customWidth="1"/>
    <col min="8984" max="8984" width="6.7109375" style="47" customWidth="1"/>
    <col min="8985" max="9216" width="6.85546875" style="47"/>
    <col min="9217" max="9217" width="1.7109375" style="47" customWidth="1"/>
    <col min="9218" max="9218" width="2.42578125" style="47" customWidth="1"/>
    <col min="9219" max="9219" width="1.42578125" style="47" customWidth="1"/>
    <col min="9220" max="9220" width="10.42578125" style="47" customWidth="1"/>
    <col min="9221" max="9221" width="8.42578125" style="47" customWidth="1"/>
    <col min="9222" max="9222" width="11.28515625" style="47" customWidth="1"/>
    <col min="9223" max="9223" width="22" style="47" customWidth="1"/>
    <col min="9224" max="9224" width="1.28515625" style="47" customWidth="1"/>
    <col min="9225" max="9225" width="17.7109375" style="47" customWidth="1"/>
    <col min="9226" max="9226" width="1.42578125" style="47" customWidth="1"/>
    <col min="9227" max="9227" width="8.85546875" style="47" customWidth="1"/>
    <col min="9228" max="9228" width="1.140625" style="47" customWidth="1"/>
    <col min="9229" max="9229" width="1.5703125" style="47" customWidth="1"/>
    <col min="9230" max="9230" width="5.7109375" style="47" customWidth="1"/>
    <col min="9231" max="9231" width="10.42578125" style="47" customWidth="1"/>
    <col min="9232" max="9232" width="10.5703125" style="47" customWidth="1"/>
    <col min="9233" max="9233" width="7.85546875" style="47" customWidth="1"/>
    <col min="9234" max="9234" width="10.85546875" style="47" customWidth="1"/>
    <col min="9235" max="9235" width="2" style="47" customWidth="1"/>
    <col min="9236" max="9236" width="1.5703125" style="47" customWidth="1"/>
    <col min="9237" max="9237" width="4.28515625" style="47" customWidth="1"/>
    <col min="9238" max="9238" width="13.28515625" style="47" customWidth="1"/>
    <col min="9239" max="9239" width="1" style="47" customWidth="1"/>
    <col min="9240" max="9240" width="6.7109375" style="47" customWidth="1"/>
    <col min="9241" max="9472" width="6.85546875" style="47"/>
    <col min="9473" max="9473" width="1.7109375" style="47" customWidth="1"/>
    <col min="9474" max="9474" width="2.42578125" style="47" customWidth="1"/>
    <col min="9475" max="9475" width="1.42578125" style="47" customWidth="1"/>
    <col min="9476" max="9476" width="10.42578125" style="47" customWidth="1"/>
    <col min="9477" max="9477" width="8.42578125" style="47" customWidth="1"/>
    <col min="9478" max="9478" width="11.28515625" style="47" customWidth="1"/>
    <col min="9479" max="9479" width="22" style="47" customWidth="1"/>
    <col min="9480" max="9480" width="1.28515625" style="47" customWidth="1"/>
    <col min="9481" max="9481" width="17.7109375" style="47" customWidth="1"/>
    <col min="9482" max="9482" width="1.42578125" style="47" customWidth="1"/>
    <col min="9483" max="9483" width="8.85546875" style="47" customWidth="1"/>
    <col min="9484" max="9484" width="1.140625" style="47" customWidth="1"/>
    <col min="9485" max="9485" width="1.5703125" style="47" customWidth="1"/>
    <col min="9486" max="9486" width="5.7109375" style="47" customWidth="1"/>
    <col min="9487" max="9487" width="10.42578125" style="47" customWidth="1"/>
    <col min="9488" max="9488" width="10.5703125" style="47" customWidth="1"/>
    <col min="9489" max="9489" width="7.85546875" style="47" customWidth="1"/>
    <col min="9490" max="9490" width="10.85546875" style="47" customWidth="1"/>
    <col min="9491" max="9491" width="2" style="47" customWidth="1"/>
    <col min="9492" max="9492" width="1.5703125" style="47" customWidth="1"/>
    <col min="9493" max="9493" width="4.28515625" style="47" customWidth="1"/>
    <col min="9494" max="9494" width="13.28515625" style="47" customWidth="1"/>
    <col min="9495" max="9495" width="1" style="47" customWidth="1"/>
    <col min="9496" max="9496" width="6.7109375" style="47" customWidth="1"/>
    <col min="9497" max="9728" width="6.85546875" style="47"/>
    <col min="9729" max="9729" width="1.7109375" style="47" customWidth="1"/>
    <col min="9730" max="9730" width="2.42578125" style="47" customWidth="1"/>
    <col min="9731" max="9731" width="1.42578125" style="47" customWidth="1"/>
    <col min="9732" max="9732" width="10.42578125" style="47" customWidth="1"/>
    <col min="9733" max="9733" width="8.42578125" style="47" customWidth="1"/>
    <col min="9734" max="9734" width="11.28515625" style="47" customWidth="1"/>
    <col min="9735" max="9735" width="22" style="47" customWidth="1"/>
    <col min="9736" max="9736" width="1.28515625" style="47" customWidth="1"/>
    <col min="9737" max="9737" width="17.7109375" style="47" customWidth="1"/>
    <col min="9738" max="9738" width="1.42578125" style="47" customWidth="1"/>
    <col min="9739" max="9739" width="8.85546875" style="47" customWidth="1"/>
    <col min="9740" max="9740" width="1.140625" style="47" customWidth="1"/>
    <col min="9741" max="9741" width="1.5703125" style="47" customWidth="1"/>
    <col min="9742" max="9742" width="5.7109375" style="47" customWidth="1"/>
    <col min="9743" max="9743" width="10.42578125" style="47" customWidth="1"/>
    <col min="9744" max="9744" width="10.5703125" style="47" customWidth="1"/>
    <col min="9745" max="9745" width="7.85546875" style="47" customWidth="1"/>
    <col min="9746" max="9746" width="10.85546875" style="47" customWidth="1"/>
    <col min="9747" max="9747" width="2" style="47" customWidth="1"/>
    <col min="9748" max="9748" width="1.5703125" style="47" customWidth="1"/>
    <col min="9749" max="9749" width="4.28515625" style="47" customWidth="1"/>
    <col min="9750" max="9750" width="13.28515625" style="47" customWidth="1"/>
    <col min="9751" max="9751" width="1" style="47" customWidth="1"/>
    <col min="9752" max="9752" width="6.7109375" style="47" customWidth="1"/>
    <col min="9753" max="9984" width="6.85546875" style="47"/>
    <col min="9985" max="9985" width="1.7109375" style="47" customWidth="1"/>
    <col min="9986" max="9986" width="2.42578125" style="47" customWidth="1"/>
    <col min="9987" max="9987" width="1.42578125" style="47" customWidth="1"/>
    <col min="9988" max="9988" width="10.42578125" style="47" customWidth="1"/>
    <col min="9989" max="9989" width="8.42578125" style="47" customWidth="1"/>
    <col min="9990" max="9990" width="11.28515625" style="47" customWidth="1"/>
    <col min="9991" max="9991" width="22" style="47" customWidth="1"/>
    <col min="9992" max="9992" width="1.28515625" style="47" customWidth="1"/>
    <col min="9993" max="9993" width="17.7109375" style="47" customWidth="1"/>
    <col min="9994" max="9994" width="1.42578125" style="47" customWidth="1"/>
    <col min="9995" max="9995" width="8.85546875" style="47" customWidth="1"/>
    <col min="9996" max="9996" width="1.140625" style="47" customWidth="1"/>
    <col min="9997" max="9997" width="1.5703125" style="47" customWidth="1"/>
    <col min="9998" max="9998" width="5.7109375" style="47" customWidth="1"/>
    <col min="9999" max="9999" width="10.42578125" style="47" customWidth="1"/>
    <col min="10000" max="10000" width="10.5703125" style="47" customWidth="1"/>
    <col min="10001" max="10001" width="7.85546875" style="47" customWidth="1"/>
    <col min="10002" max="10002" width="10.85546875" style="47" customWidth="1"/>
    <col min="10003" max="10003" width="2" style="47" customWidth="1"/>
    <col min="10004" max="10004" width="1.5703125" style="47" customWidth="1"/>
    <col min="10005" max="10005" width="4.28515625" style="47" customWidth="1"/>
    <col min="10006" max="10006" width="13.28515625" style="47" customWidth="1"/>
    <col min="10007" max="10007" width="1" style="47" customWidth="1"/>
    <col min="10008" max="10008" width="6.7109375" style="47" customWidth="1"/>
    <col min="10009" max="10240" width="6.85546875" style="47"/>
    <col min="10241" max="10241" width="1.7109375" style="47" customWidth="1"/>
    <col min="10242" max="10242" width="2.42578125" style="47" customWidth="1"/>
    <col min="10243" max="10243" width="1.42578125" style="47" customWidth="1"/>
    <col min="10244" max="10244" width="10.42578125" style="47" customWidth="1"/>
    <col min="10245" max="10245" width="8.42578125" style="47" customWidth="1"/>
    <col min="10246" max="10246" width="11.28515625" style="47" customWidth="1"/>
    <col min="10247" max="10247" width="22" style="47" customWidth="1"/>
    <col min="10248" max="10248" width="1.28515625" style="47" customWidth="1"/>
    <col min="10249" max="10249" width="17.7109375" style="47" customWidth="1"/>
    <col min="10250" max="10250" width="1.42578125" style="47" customWidth="1"/>
    <col min="10251" max="10251" width="8.85546875" style="47" customWidth="1"/>
    <col min="10252" max="10252" width="1.140625" style="47" customWidth="1"/>
    <col min="10253" max="10253" width="1.5703125" style="47" customWidth="1"/>
    <col min="10254" max="10254" width="5.7109375" style="47" customWidth="1"/>
    <col min="10255" max="10255" width="10.42578125" style="47" customWidth="1"/>
    <col min="10256" max="10256" width="10.5703125" style="47" customWidth="1"/>
    <col min="10257" max="10257" width="7.85546875" style="47" customWidth="1"/>
    <col min="10258" max="10258" width="10.85546875" style="47" customWidth="1"/>
    <col min="10259" max="10259" width="2" style="47" customWidth="1"/>
    <col min="10260" max="10260" width="1.5703125" style="47" customWidth="1"/>
    <col min="10261" max="10261" width="4.28515625" style="47" customWidth="1"/>
    <col min="10262" max="10262" width="13.28515625" style="47" customWidth="1"/>
    <col min="10263" max="10263" width="1" style="47" customWidth="1"/>
    <col min="10264" max="10264" width="6.7109375" style="47" customWidth="1"/>
    <col min="10265" max="10496" width="6.85546875" style="47"/>
    <col min="10497" max="10497" width="1.7109375" style="47" customWidth="1"/>
    <col min="10498" max="10498" width="2.42578125" style="47" customWidth="1"/>
    <col min="10499" max="10499" width="1.42578125" style="47" customWidth="1"/>
    <col min="10500" max="10500" width="10.42578125" style="47" customWidth="1"/>
    <col min="10501" max="10501" width="8.42578125" style="47" customWidth="1"/>
    <col min="10502" max="10502" width="11.28515625" style="47" customWidth="1"/>
    <col min="10503" max="10503" width="22" style="47" customWidth="1"/>
    <col min="10504" max="10504" width="1.28515625" style="47" customWidth="1"/>
    <col min="10505" max="10505" width="17.7109375" style="47" customWidth="1"/>
    <col min="10506" max="10506" width="1.42578125" style="47" customWidth="1"/>
    <col min="10507" max="10507" width="8.85546875" style="47" customWidth="1"/>
    <col min="10508" max="10508" width="1.140625" style="47" customWidth="1"/>
    <col min="10509" max="10509" width="1.5703125" style="47" customWidth="1"/>
    <col min="10510" max="10510" width="5.7109375" style="47" customWidth="1"/>
    <col min="10511" max="10511" width="10.42578125" style="47" customWidth="1"/>
    <col min="10512" max="10512" width="10.5703125" style="47" customWidth="1"/>
    <col min="10513" max="10513" width="7.85546875" style="47" customWidth="1"/>
    <col min="10514" max="10514" width="10.85546875" style="47" customWidth="1"/>
    <col min="10515" max="10515" width="2" style="47" customWidth="1"/>
    <col min="10516" max="10516" width="1.5703125" style="47" customWidth="1"/>
    <col min="10517" max="10517" width="4.28515625" style="47" customWidth="1"/>
    <col min="10518" max="10518" width="13.28515625" style="47" customWidth="1"/>
    <col min="10519" max="10519" width="1" style="47" customWidth="1"/>
    <col min="10520" max="10520" width="6.7109375" style="47" customWidth="1"/>
    <col min="10521" max="10752" width="6.85546875" style="47"/>
    <col min="10753" max="10753" width="1.7109375" style="47" customWidth="1"/>
    <col min="10754" max="10754" width="2.42578125" style="47" customWidth="1"/>
    <col min="10755" max="10755" width="1.42578125" style="47" customWidth="1"/>
    <col min="10756" max="10756" width="10.42578125" style="47" customWidth="1"/>
    <col min="10757" max="10757" width="8.42578125" style="47" customWidth="1"/>
    <col min="10758" max="10758" width="11.28515625" style="47" customWidth="1"/>
    <col min="10759" max="10759" width="22" style="47" customWidth="1"/>
    <col min="10760" max="10760" width="1.28515625" style="47" customWidth="1"/>
    <col min="10761" max="10761" width="17.7109375" style="47" customWidth="1"/>
    <col min="10762" max="10762" width="1.42578125" style="47" customWidth="1"/>
    <col min="10763" max="10763" width="8.85546875" style="47" customWidth="1"/>
    <col min="10764" max="10764" width="1.140625" style="47" customWidth="1"/>
    <col min="10765" max="10765" width="1.5703125" style="47" customWidth="1"/>
    <col min="10766" max="10766" width="5.7109375" style="47" customWidth="1"/>
    <col min="10767" max="10767" width="10.42578125" style="47" customWidth="1"/>
    <col min="10768" max="10768" width="10.5703125" style="47" customWidth="1"/>
    <col min="10769" max="10769" width="7.85546875" style="47" customWidth="1"/>
    <col min="10770" max="10770" width="10.85546875" style="47" customWidth="1"/>
    <col min="10771" max="10771" width="2" style="47" customWidth="1"/>
    <col min="10772" max="10772" width="1.5703125" style="47" customWidth="1"/>
    <col min="10773" max="10773" width="4.28515625" style="47" customWidth="1"/>
    <col min="10774" max="10774" width="13.28515625" style="47" customWidth="1"/>
    <col min="10775" max="10775" width="1" style="47" customWidth="1"/>
    <col min="10776" max="10776" width="6.7109375" style="47" customWidth="1"/>
    <col min="10777" max="11008" width="6.85546875" style="47"/>
    <col min="11009" max="11009" width="1.7109375" style="47" customWidth="1"/>
    <col min="11010" max="11010" width="2.42578125" style="47" customWidth="1"/>
    <col min="11011" max="11011" width="1.42578125" style="47" customWidth="1"/>
    <col min="11012" max="11012" width="10.42578125" style="47" customWidth="1"/>
    <col min="11013" max="11013" width="8.42578125" style="47" customWidth="1"/>
    <col min="11014" max="11014" width="11.28515625" style="47" customWidth="1"/>
    <col min="11015" max="11015" width="22" style="47" customWidth="1"/>
    <col min="11016" max="11016" width="1.28515625" style="47" customWidth="1"/>
    <col min="11017" max="11017" width="17.7109375" style="47" customWidth="1"/>
    <col min="11018" max="11018" width="1.42578125" style="47" customWidth="1"/>
    <col min="11019" max="11019" width="8.85546875" style="47" customWidth="1"/>
    <col min="11020" max="11020" width="1.140625" style="47" customWidth="1"/>
    <col min="11021" max="11021" width="1.5703125" style="47" customWidth="1"/>
    <col min="11022" max="11022" width="5.7109375" style="47" customWidth="1"/>
    <col min="11023" max="11023" width="10.42578125" style="47" customWidth="1"/>
    <col min="11024" max="11024" width="10.5703125" style="47" customWidth="1"/>
    <col min="11025" max="11025" width="7.85546875" style="47" customWidth="1"/>
    <col min="11026" max="11026" width="10.85546875" style="47" customWidth="1"/>
    <col min="11027" max="11027" width="2" style="47" customWidth="1"/>
    <col min="11028" max="11028" width="1.5703125" style="47" customWidth="1"/>
    <col min="11029" max="11029" width="4.28515625" style="47" customWidth="1"/>
    <col min="11030" max="11030" width="13.28515625" style="47" customWidth="1"/>
    <col min="11031" max="11031" width="1" style="47" customWidth="1"/>
    <col min="11032" max="11032" width="6.7109375" style="47" customWidth="1"/>
    <col min="11033" max="11264" width="6.85546875" style="47"/>
    <col min="11265" max="11265" width="1.7109375" style="47" customWidth="1"/>
    <col min="11266" max="11266" width="2.42578125" style="47" customWidth="1"/>
    <col min="11267" max="11267" width="1.42578125" style="47" customWidth="1"/>
    <col min="11268" max="11268" width="10.42578125" style="47" customWidth="1"/>
    <col min="11269" max="11269" width="8.42578125" style="47" customWidth="1"/>
    <col min="11270" max="11270" width="11.28515625" style="47" customWidth="1"/>
    <col min="11271" max="11271" width="22" style="47" customWidth="1"/>
    <col min="11272" max="11272" width="1.28515625" style="47" customWidth="1"/>
    <col min="11273" max="11273" width="17.7109375" style="47" customWidth="1"/>
    <col min="11274" max="11274" width="1.42578125" style="47" customWidth="1"/>
    <col min="11275" max="11275" width="8.85546875" style="47" customWidth="1"/>
    <col min="11276" max="11276" width="1.140625" style="47" customWidth="1"/>
    <col min="11277" max="11277" width="1.5703125" style="47" customWidth="1"/>
    <col min="11278" max="11278" width="5.7109375" style="47" customWidth="1"/>
    <col min="11279" max="11279" width="10.42578125" style="47" customWidth="1"/>
    <col min="11280" max="11280" width="10.5703125" style="47" customWidth="1"/>
    <col min="11281" max="11281" width="7.85546875" style="47" customWidth="1"/>
    <col min="11282" max="11282" width="10.85546875" style="47" customWidth="1"/>
    <col min="11283" max="11283" width="2" style="47" customWidth="1"/>
    <col min="11284" max="11284" width="1.5703125" style="47" customWidth="1"/>
    <col min="11285" max="11285" width="4.28515625" style="47" customWidth="1"/>
    <col min="11286" max="11286" width="13.28515625" style="47" customWidth="1"/>
    <col min="11287" max="11287" width="1" style="47" customWidth="1"/>
    <col min="11288" max="11288" width="6.7109375" style="47" customWidth="1"/>
    <col min="11289" max="11520" width="6.85546875" style="47"/>
    <col min="11521" max="11521" width="1.7109375" style="47" customWidth="1"/>
    <col min="11522" max="11522" width="2.42578125" style="47" customWidth="1"/>
    <col min="11523" max="11523" width="1.42578125" style="47" customWidth="1"/>
    <col min="11524" max="11524" width="10.42578125" style="47" customWidth="1"/>
    <col min="11525" max="11525" width="8.42578125" style="47" customWidth="1"/>
    <col min="11526" max="11526" width="11.28515625" style="47" customWidth="1"/>
    <col min="11527" max="11527" width="22" style="47" customWidth="1"/>
    <col min="11528" max="11528" width="1.28515625" style="47" customWidth="1"/>
    <col min="11529" max="11529" width="17.7109375" style="47" customWidth="1"/>
    <col min="11530" max="11530" width="1.42578125" style="47" customWidth="1"/>
    <col min="11531" max="11531" width="8.85546875" style="47" customWidth="1"/>
    <col min="11532" max="11532" width="1.140625" style="47" customWidth="1"/>
    <col min="11533" max="11533" width="1.5703125" style="47" customWidth="1"/>
    <col min="11534" max="11534" width="5.7109375" style="47" customWidth="1"/>
    <col min="11535" max="11535" width="10.42578125" style="47" customWidth="1"/>
    <col min="11536" max="11536" width="10.5703125" style="47" customWidth="1"/>
    <col min="11537" max="11537" width="7.85546875" style="47" customWidth="1"/>
    <col min="11538" max="11538" width="10.85546875" style="47" customWidth="1"/>
    <col min="11539" max="11539" width="2" style="47" customWidth="1"/>
    <col min="11540" max="11540" width="1.5703125" style="47" customWidth="1"/>
    <col min="11541" max="11541" width="4.28515625" style="47" customWidth="1"/>
    <col min="11542" max="11542" width="13.28515625" style="47" customWidth="1"/>
    <col min="11543" max="11543" width="1" style="47" customWidth="1"/>
    <col min="11544" max="11544" width="6.7109375" style="47" customWidth="1"/>
    <col min="11545" max="11776" width="6.85546875" style="47"/>
    <col min="11777" max="11777" width="1.7109375" style="47" customWidth="1"/>
    <col min="11778" max="11778" width="2.42578125" style="47" customWidth="1"/>
    <col min="11779" max="11779" width="1.42578125" style="47" customWidth="1"/>
    <col min="11780" max="11780" width="10.42578125" style="47" customWidth="1"/>
    <col min="11781" max="11781" width="8.42578125" style="47" customWidth="1"/>
    <col min="11782" max="11782" width="11.28515625" style="47" customWidth="1"/>
    <col min="11783" max="11783" width="22" style="47" customWidth="1"/>
    <col min="11784" max="11784" width="1.28515625" style="47" customWidth="1"/>
    <col min="11785" max="11785" width="17.7109375" style="47" customWidth="1"/>
    <col min="11786" max="11786" width="1.42578125" style="47" customWidth="1"/>
    <col min="11787" max="11787" width="8.85546875" style="47" customWidth="1"/>
    <col min="11788" max="11788" width="1.140625" style="47" customWidth="1"/>
    <col min="11789" max="11789" width="1.5703125" style="47" customWidth="1"/>
    <col min="11790" max="11790" width="5.7109375" style="47" customWidth="1"/>
    <col min="11791" max="11791" width="10.42578125" style="47" customWidth="1"/>
    <col min="11792" max="11792" width="10.5703125" style="47" customWidth="1"/>
    <col min="11793" max="11793" width="7.85546875" style="47" customWidth="1"/>
    <col min="11794" max="11794" width="10.85546875" style="47" customWidth="1"/>
    <col min="11795" max="11795" width="2" style="47" customWidth="1"/>
    <col min="11796" max="11796" width="1.5703125" style="47" customWidth="1"/>
    <col min="11797" max="11797" width="4.28515625" style="47" customWidth="1"/>
    <col min="11798" max="11798" width="13.28515625" style="47" customWidth="1"/>
    <col min="11799" max="11799" width="1" style="47" customWidth="1"/>
    <col min="11800" max="11800" width="6.7109375" style="47" customWidth="1"/>
    <col min="11801" max="12032" width="6.85546875" style="47"/>
    <col min="12033" max="12033" width="1.7109375" style="47" customWidth="1"/>
    <col min="12034" max="12034" width="2.42578125" style="47" customWidth="1"/>
    <col min="12035" max="12035" width="1.42578125" style="47" customWidth="1"/>
    <col min="12036" max="12036" width="10.42578125" style="47" customWidth="1"/>
    <col min="12037" max="12037" width="8.42578125" style="47" customWidth="1"/>
    <col min="12038" max="12038" width="11.28515625" style="47" customWidth="1"/>
    <col min="12039" max="12039" width="22" style="47" customWidth="1"/>
    <col min="12040" max="12040" width="1.28515625" style="47" customWidth="1"/>
    <col min="12041" max="12041" width="17.7109375" style="47" customWidth="1"/>
    <col min="12042" max="12042" width="1.42578125" style="47" customWidth="1"/>
    <col min="12043" max="12043" width="8.85546875" style="47" customWidth="1"/>
    <col min="12044" max="12044" width="1.140625" style="47" customWidth="1"/>
    <col min="12045" max="12045" width="1.5703125" style="47" customWidth="1"/>
    <col min="12046" max="12046" width="5.7109375" style="47" customWidth="1"/>
    <col min="12047" max="12047" width="10.42578125" style="47" customWidth="1"/>
    <col min="12048" max="12048" width="10.5703125" style="47" customWidth="1"/>
    <col min="12049" max="12049" width="7.85546875" style="47" customWidth="1"/>
    <col min="12050" max="12050" width="10.85546875" style="47" customWidth="1"/>
    <col min="12051" max="12051" width="2" style="47" customWidth="1"/>
    <col min="12052" max="12052" width="1.5703125" style="47" customWidth="1"/>
    <col min="12053" max="12053" width="4.28515625" style="47" customWidth="1"/>
    <col min="12054" max="12054" width="13.28515625" style="47" customWidth="1"/>
    <col min="12055" max="12055" width="1" style="47" customWidth="1"/>
    <col min="12056" max="12056" width="6.7109375" style="47" customWidth="1"/>
    <col min="12057" max="12288" width="6.85546875" style="47"/>
    <col min="12289" max="12289" width="1.7109375" style="47" customWidth="1"/>
    <col min="12290" max="12290" width="2.42578125" style="47" customWidth="1"/>
    <col min="12291" max="12291" width="1.42578125" style="47" customWidth="1"/>
    <col min="12292" max="12292" width="10.42578125" style="47" customWidth="1"/>
    <col min="12293" max="12293" width="8.42578125" style="47" customWidth="1"/>
    <col min="12294" max="12294" width="11.28515625" style="47" customWidth="1"/>
    <col min="12295" max="12295" width="22" style="47" customWidth="1"/>
    <col min="12296" max="12296" width="1.28515625" style="47" customWidth="1"/>
    <col min="12297" max="12297" width="17.7109375" style="47" customWidth="1"/>
    <col min="12298" max="12298" width="1.42578125" style="47" customWidth="1"/>
    <col min="12299" max="12299" width="8.85546875" style="47" customWidth="1"/>
    <col min="12300" max="12300" width="1.140625" style="47" customWidth="1"/>
    <col min="12301" max="12301" width="1.5703125" style="47" customWidth="1"/>
    <col min="12302" max="12302" width="5.7109375" style="47" customWidth="1"/>
    <col min="12303" max="12303" width="10.42578125" style="47" customWidth="1"/>
    <col min="12304" max="12304" width="10.5703125" style="47" customWidth="1"/>
    <col min="12305" max="12305" width="7.85546875" style="47" customWidth="1"/>
    <col min="12306" max="12306" width="10.85546875" style="47" customWidth="1"/>
    <col min="12307" max="12307" width="2" style="47" customWidth="1"/>
    <col min="12308" max="12308" width="1.5703125" style="47" customWidth="1"/>
    <col min="12309" max="12309" width="4.28515625" style="47" customWidth="1"/>
    <col min="12310" max="12310" width="13.28515625" style="47" customWidth="1"/>
    <col min="12311" max="12311" width="1" style="47" customWidth="1"/>
    <col min="12312" max="12312" width="6.7109375" style="47" customWidth="1"/>
    <col min="12313" max="12544" width="6.85546875" style="47"/>
    <col min="12545" max="12545" width="1.7109375" style="47" customWidth="1"/>
    <col min="12546" max="12546" width="2.42578125" style="47" customWidth="1"/>
    <col min="12547" max="12547" width="1.42578125" style="47" customWidth="1"/>
    <col min="12548" max="12548" width="10.42578125" style="47" customWidth="1"/>
    <col min="12549" max="12549" width="8.42578125" style="47" customWidth="1"/>
    <col min="12550" max="12550" width="11.28515625" style="47" customWidth="1"/>
    <col min="12551" max="12551" width="22" style="47" customWidth="1"/>
    <col min="12552" max="12552" width="1.28515625" style="47" customWidth="1"/>
    <col min="12553" max="12553" width="17.7109375" style="47" customWidth="1"/>
    <col min="12554" max="12554" width="1.42578125" style="47" customWidth="1"/>
    <col min="12555" max="12555" width="8.85546875" style="47" customWidth="1"/>
    <col min="12556" max="12556" width="1.140625" style="47" customWidth="1"/>
    <col min="12557" max="12557" width="1.5703125" style="47" customWidth="1"/>
    <col min="12558" max="12558" width="5.7109375" style="47" customWidth="1"/>
    <col min="12559" max="12559" width="10.42578125" style="47" customWidth="1"/>
    <col min="12560" max="12560" width="10.5703125" style="47" customWidth="1"/>
    <col min="12561" max="12561" width="7.85546875" style="47" customWidth="1"/>
    <col min="12562" max="12562" width="10.85546875" style="47" customWidth="1"/>
    <col min="12563" max="12563" width="2" style="47" customWidth="1"/>
    <col min="12564" max="12564" width="1.5703125" style="47" customWidth="1"/>
    <col min="12565" max="12565" width="4.28515625" style="47" customWidth="1"/>
    <col min="12566" max="12566" width="13.28515625" style="47" customWidth="1"/>
    <col min="12567" max="12567" width="1" style="47" customWidth="1"/>
    <col min="12568" max="12568" width="6.7109375" style="47" customWidth="1"/>
    <col min="12569" max="12800" width="6.85546875" style="47"/>
    <col min="12801" max="12801" width="1.7109375" style="47" customWidth="1"/>
    <col min="12802" max="12802" width="2.42578125" style="47" customWidth="1"/>
    <col min="12803" max="12803" width="1.42578125" style="47" customWidth="1"/>
    <col min="12804" max="12804" width="10.42578125" style="47" customWidth="1"/>
    <col min="12805" max="12805" width="8.42578125" style="47" customWidth="1"/>
    <col min="12806" max="12806" width="11.28515625" style="47" customWidth="1"/>
    <col min="12807" max="12807" width="22" style="47" customWidth="1"/>
    <col min="12808" max="12808" width="1.28515625" style="47" customWidth="1"/>
    <col min="12809" max="12809" width="17.7109375" style="47" customWidth="1"/>
    <col min="12810" max="12810" width="1.42578125" style="47" customWidth="1"/>
    <col min="12811" max="12811" width="8.85546875" style="47" customWidth="1"/>
    <col min="12812" max="12812" width="1.140625" style="47" customWidth="1"/>
    <col min="12813" max="12813" width="1.5703125" style="47" customWidth="1"/>
    <col min="12814" max="12814" width="5.7109375" style="47" customWidth="1"/>
    <col min="12815" max="12815" width="10.42578125" style="47" customWidth="1"/>
    <col min="12816" max="12816" width="10.5703125" style="47" customWidth="1"/>
    <col min="12817" max="12817" width="7.85546875" style="47" customWidth="1"/>
    <col min="12818" max="12818" width="10.85546875" style="47" customWidth="1"/>
    <col min="12819" max="12819" width="2" style="47" customWidth="1"/>
    <col min="12820" max="12820" width="1.5703125" style="47" customWidth="1"/>
    <col min="12821" max="12821" width="4.28515625" style="47" customWidth="1"/>
    <col min="12822" max="12822" width="13.28515625" style="47" customWidth="1"/>
    <col min="12823" max="12823" width="1" style="47" customWidth="1"/>
    <col min="12824" max="12824" width="6.7109375" style="47" customWidth="1"/>
    <col min="12825" max="13056" width="6.85546875" style="47"/>
    <col min="13057" max="13057" width="1.7109375" style="47" customWidth="1"/>
    <col min="13058" max="13058" width="2.42578125" style="47" customWidth="1"/>
    <col min="13059" max="13059" width="1.42578125" style="47" customWidth="1"/>
    <col min="13060" max="13060" width="10.42578125" style="47" customWidth="1"/>
    <col min="13061" max="13061" width="8.42578125" style="47" customWidth="1"/>
    <col min="13062" max="13062" width="11.28515625" style="47" customWidth="1"/>
    <col min="13063" max="13063" width="22" style="47" customWidth="1"/>
    <col min="13064" max="13064" width="1.28515625" style="47" customWidth="1"/>
    <col min="13065" max="13065" width="17.7109375" style="47" customWidth="1"/>
    <col min="13066" max="13066" width="1.42578125" style="47" customWidth="1"/>
    <col min="13067" max="13067" width="8.85546875" style="47" customWidth="1"/>
    <col min="13068" max="13068" width="1.140625" style="47" customWidth="1"/>
    <col min="13069" max="13069" width="1.5703125" style="47" customWidth="1"/>
    <col min="13070" max="13070" width="5.7109375" style="47" customWidth="1"/>
    <col min="13071" max="13071" width="10.42578125" style="47" customWidth="1"/>
    <col min="13072" max="13072" width="10.5703125" style="47" customWidth="1"/>
    <col min="13073" max="13073" width="7.85546875" style="47" customWidth="1"/>
    <col min="13074" max="13074" width="10.85546875" style="47" customWidth="1"/>
    <col min="13075" max="13075" width="2" style="47" customWidth="1"/>
    <col min="13076" max="13076" width="1.5703125" style="47" customWidth="1"/>
    <col min="13077" max="13077" width="4.28515625" style="47" customWidth="1"/>
    <col min="13078" max="13078" width="13.28515625" style="47" customWidth="1"/>
    <col min="13079" max="13079" width="1" style="47" customWidth="1"/>
    <col min="13080" max="13080" width="6.7109375" style="47" customWidth="1"/>
    <col min="13081" max="13312" width="6.85546875" style="47"/>
    <col min="13313" max="13313" width="1.7109375" style="47" customWidth="1"/>
    <col min="13314" max="13314" width="2.42578125" style="47" customWidth="1"/>
    <col min="13315" max="13315" width="1.42578125" style="47" customWidth="1"/>
    <col min="13316" max="13316" width="10.42578125" style="47" customWidth="1"/>
    <col min="13317" max="13317" width="8.42578125" style="47" customWidth="1"/>
    <col min="13318" max="13318" width="11.28515625" style="47" customWidth="1"/>
    <col min="13319" max="13319" width="22" style="47" customWidth="1"/>
    <col min="13320" max="13320" width="1.28515625" style="47" customWidth="1"/>
    <col min="13321" max="13321" width="17.7109375" style="47" customWidth="1"/>
    <col min="13322" max="13322" width="1.42578125" style="47" customWidth="1"/>
    <col min="13323" max="13323" width="8.85546875" style="47" customWidth="1"/>
    <col min="13324" max="13324" width="1.140625" style="47" customWidth="1"/>
    <col min="13325" max="13325" width="1.5703125" style="47" customWidth="1"/>
    <col min="13326" max="13326" width="5.7109375" style="47" customWidth="1"/>
    <col min="13327" max="13327" width="10.42578125" style="47" customWidth="1"/>
    <col min="13328" max="13328" width="10.5703125" style="47" customWidth="1"/>
    <col min="13329" max="13329" width="7.85546875" style="47" customWidth="1"/>
    <col min="13330" max="13330" width="10.85546875" style="47" customWidth="1"/>
    <col min="13331" max="13331" width="2" style="47" customWidth="1"/>
    <col min="13332" max="13332" width="1.5703125" style="47" customWidth="1"/>
    <col min="13333" max="13333" width="4.28515625" style="47" customWidth="1"/>
    <col min="13334" max="13334" width="13.28515625" style="47" customWidth="1"/>
    <col min="13335" max="13335" width="1" style="47" customWidth="1"/>
    <col min="13336" max="13336" width="6.7109375" style="47" customWidth="1"/>
    <col min="13337" max="13568" width="6.85546875" style="47"/>
    <col min="13569" max="13569" width="1.7109375" style="47" customWidth="1"/>
    <col min="13570" max="13570" width="2.42578125" style="47" customWidth="1"/>
    <col min="13571" max="13571" width="1.42578125" style="47" customWidth="1"/>
    <col min="13572" max="13572" width="10.42578125" style="47" customWidth="1"/>
    <col min="13573" max="13573" width="8.42578125" style="47" customWidth="1"/>
    <col min="13574" max="13574" width="11.28515625" style="47" customWidth="1"/>
    <col min="13575" max="13575" width="22" style="47" customWidth="1"/>
    <col min="13576" max="13576" width="1.28515625" style="47" customWidth="1"/>
    <col min="13577" max="13577" width="17.7109375" style="47" customWidth="1"/>
    <col min="13578" max="13578" width="1.42578125" style="47" customWidth="1"/>
    <col min="13579" max="13579" width="8.85546875" style="47" customWidth="1"/>
    <col min="13580" max="13580" width="1.140625" style="47" customWidth="1"/>
    <col min="13581" max="13581" width="1.5703125" style="47" customWidth="1"/>
    <col min="13582" max="13582" width="5.7109375" style="47" customWidth="1"/>
    <col min="13583" max="13583" width="10.42578125" style="47" customWidth="1"/>
    <col min="13584" max="13584" width="10.5703125" style="47" customWidth="1"/>
    <col min="13585" max="13585" width="7.85546875" style="47" customWidth="1"/>
    <col min="13586" max="13586" width="10.85546875" style="47" customWidth="1"/>
    <col min="13587" max="13587" width="2" style="47" customWidth="1"/>
    <col min="13588" max="13588" width="1.5703125" style="47" customWidth="1"/>
    <col min="13589" max="13589" width="4.28515625" style="47" customWidth="1"/>
    <col min="13590" max="13590" width="13.28515625" style="47" customWidth="1"/>
    <col min="13591" max="13591" width="1" style="47" customWidth="1"/>
    <col min="13592" max="13592" width="6.7109375" style="47" customWidth="1"/>
    <col min="13593" max="13824" width="6.85546875" style="47"/>
    <col min="13825" max="13825" width="1.7109375" style="47" customWidth="1"/>
    <col min="13826" max="13826" width="2.42578125" style="47" customWidth="1"/>
    <col min="13827" max="13827" width="1.42578125" style="47" customWidth="1"/>
    <col min="13828" max="13828" width="10.42578125" style="47" customWidth="1"/>
    <col min="13829" max="13829" width="8.42578125" style="47" customWidth="1"/>
    <col min="13830" max="13830" width="11.28515625" style="47" customWidth="1"/>
    <col min="13831" max="13831" width="22" style="47" customWidth="1"/>
    <col min="13832" max="13832" width="1.28515625" style="47" customWidth="1"/>
    <col min="13833" max="13833" width="17.7109375" style="47" customWidth="1"/>
    <col min="13834" max="13834" width="1.42578125" style="47" customWidth="1"/>
    <col min="13835" max="13835" width="8.85546875" style="47" customWidth="1"/>
    <col min="13836" max="13836" width="1.140625" style="47" customWidth="1"/>
    <col min="13837" max="13837" width="1.5703125" style="47" customWidth="1"/>
    <col min="13838" max="13838" width="5.7109375" style="47" customWidth="1"/>
    <col min="13839" max="13839" width="10.42578125" style="47" customWidth="1"/>
    <col min="13840" max="13840" width="10.5703125" style="47" customWidth="1"/>
    <col min="13841" max="13841" width="7.85546875" style="47" customWidth="1"/>
    <col min="13842" max="13842" width="10.85546875" style="47" customWidth="1"/>
    <col min="13843" max="13843" width="2" style="47" customWidth="1"/>
    <col min="13844" max="13844" width="1.5703125" style="47" customWidth="1"/>
    <col min="13845" max="13845" width="4.28515625" style="47" customWidth="1"/>
    <col min="13846" max="13846" width="13.28515625" style="47" customWidth="1"/>
    <col min="13847" max="13847" width="1" style="47" customWidth="1"/>
    <col min="13848" max="13848" width="6.7109375" style="47" customWidth="1"/>
    <col min="13849" max="14080" width="6.85546875" style="47"/>
    <col min="14081" max="14081" width="1.7109375" style="47" customWidth="1"/>
    <col min="14082" max="14082" width="2.42578125" style="47" customWidth="1"/>
    <col min="14083" max="14083" width="1.42578125" style="47" customWidth="1"/>
    <col min="14084" max="14084" width="10.42578125" style="47" customWidth="1"/>
    <col min="14085" max="14085" width="8.42578125" style="47" customWidth="1"/>
    <col min="14086" max="14086" width="11.28515625" style="47" customWidth="1"/>
    <col min="14087" max="14087" width="22" style="47" customWidth="1"/>
    <col min="14088" max="14088" width="1.28515625" style="47" customWidth="1"/>
    <col min="14089" max="14089" width="17.7109375" style="47" customWidth="1"/>
    <col min="14090" max="14090" width="1.42578125" style="47" customWidth="1"/>
    <col min="14091" max="14091" width="8.85546875" style="47" customWidth="1"/>
    <col min="14092" max="14092" width="1.140625" style="47" customWidth="1"/>
    <col min="14093" max="14093" width="1.5703125" style="47" customWidth="1"/>
    <col min="14094" max="14094" width="5.7109375" style="47" customWidth="1"/>
    <col min="14095" max="14095" width="10.42578125" style="47" customWidth="1"/>
    <col min="14096" max="14096" width="10.5703125" style="47" customWidth="1"/>
    <col min="14097" max="14097" width="7.85546875" style="47" customWidth="1"/>
    <col min="14098" max="14098" width="10.85546875" style="47" customWidth="1"/>
    <col min="14099" max="14099" width="2" style="47" customWidth="1"/>
    <col min="14100" max="14100" width="1.5703125" style="47" customWidth="1"/>
    <col min="14101" max="14101" width="4.28515625" style="47" customWidth="1"/>
    <col min="14102" max="14102" width="13.28515625" style="47" customWidth="1"/>
    <col min="14103" max="14103" width="1" style="47" customWidth="1"/>
    <col min="14104" max="14104" width="6.7109375" style="47" customWidth="1"/>
    <col min="14105" max="14336" width="6.85546875" style="47"/>
    <col min="14337" max="14337" width="1.7109375" style="47" customWidth="1"/>
    <col min="14338" max="14338" width="2.42578125" style="47" customWidth="1"/>
    <col min="14339" max="14339" width="1.42578125" style="47" customWidth="1"/>
    <col min="14340" max="14340" width="10.42578125" style="47" customWidth="1"/>
    <col min="14341" max="14341" width="8.42578125" style="47" customWidth="1"/>
    <col min="14342" max="14342" width="11.28515625" style="47" customWidth="1"/>
    <col min="14343" max="14343" width="22" style="47" customWidth="1"/>
    <col min="14344" max="14344" width="1.28515625" style="47" customWidth="1"/>
    <col min="14345" max="14345" width="17.7109375" style="47" customWidth="1"/>
    <col min="14346" max="14346" width="1.42578125" style="47" customWidth="1"/>
    <col min="14347" max="14347" width="8.85546875" style="47" customWidth="1"/>
    <col min="14348" max="14348" width="1.140625" style="47" customWidth="1"/>
    <col min="14349" max="14349" width="1.5703125" style="47" customWidth="1"/>
    <col min="14350" max="14350" width="5.7109375" style="47" customWidth="1"/>
    <col min="14351" max="14351" width="10.42578125" style="47" customWidth="1"/>
    <col min="14352" max="14352" width="10.5703125" style="47" customWidth="1"/>
    <col min="14353" max="14353" width="7.85546875" style="47" customWidth="1"/>
    <col min="14354" max="14354" width="10.85546875" style="47" customWidth="1"/>
    <col min="14355" max="14355" width="2" style="47" customWidth="1"/>
    <col min="14356" max="14356" width="1.5703125" style="47" customWidth="1"/>
    <col min="14357" max="14357" width="4.28515625" style="47" customWidth="1"/>
    <col min="14358" max="14358" width="13.28515625" style="47" customWidth="1"/>
    <col min="14359" max="14359" width="1" style="47" customWidth="1"/>
    <col min="14360" max="14360" width="6.7109375" style="47" customWidth="1"/>
    <col min="14361" max="14592" width="6.85546875" style="47"/>
    <col min="14593" max="14593" width="1.7109375" style="47" customWidth="1"/>
    <col min="14594" max="14594" width="2.42578125" style="47" customWidth="1"/>
    <col min="14595" max="14595" width="1.42578125" style="47" customWidth="1"/>
    <col min="14596" max="14596" width="10.42578125" style="47" customWidth="1"/>
    <col min="14597" max="14597" width="8.42578125" style="47" customWidth="1"/>
    <col min="14598" max="14598" width="11.28515625" style="47" customWidth="1"/>
    <col min="14599" max="14599" width="22" style="47" customWidth="1"/>
    <col min="14600" max="14600" width="1.28515625" style="47" customWidth="1"/>
    <col min="14601" max="14601" width="17.7109375" style="47" customWidth="1"/>
    <col min="14602" max="14602" width="1.42578125" style="47" customWidth="1"/>
    <col min="14603" max="14603" width="8.85546875" style="47" customWidth="1"/>
    <col min="14604" max="14604" width="1.140625" style="47" customWidth="1"/>
    <col min="14605" max="14605" width="1.5703125" style="47" customWidth="1"/>
    <col min="14606" max="14606" width="5.7109375" style="47" customWidth="1"/>
    <col min="14607" max="14607" width="10.42578125" style="47" customWidth="1"/>
    <col min="14608" max="14608" width="10.5703125" style="47" customWidth="1"/>
    <col min="14609" max="14609" width="7.85546875" style="47" customWidth="1"/>
    <col min="14610" max="14610" width="10.85546875" style="47" customWidth="1"/>
    <col min="14611" max="14611" width="2" style="47" customWidth="1"/>
    <col min="14612" max="14612" width="1.5703125" style="47" customWidth="1"/>
    <col min="14613" max="14613" width="4.28515625" style="47" customWidth="1"/>
    <col min="14614" max="14614" width="13.28515625" style="47" customWidth="1"/>
    <col min="14615" max="14615" width="1" style="47" customWidth="1"/>
    <col min="14616" max="14616" width="6.7109375" style="47" customWidth="1"/>
    <col min="14617" max="14848" width="6.85546875" style="47"/>
    <col min="14849" max="14849" width="1.7109375" style="47" customWidth="1"/>
    <col min="14850" max="14850" width="2.42578125" style="47" customWidth="1"/>
    <col min="14851" max="14851" width="1.42578125" style="47" customWidth="1"/>
    <col min="14852" max="14852" width="10.42578125" style="47" customWidth="1"/>
    <col min="14853" max="14853" width="8.42578125" style="47" customWidth="1"/>
    <col min="14854" max="14854" width="11.28515625" style="47" customWidth="1"/>
    <col min="14855" max="14855" width="22" style="47" customWidth="1"/>
    <col min="14856" max="14856" width="1.28515625" style="47" customWidth="1"/>
    <col min="14857" max="14857" width="17.7109375" style="47" customWidth="1"/>
    <col min="14858" max="14858" width="1.42578125" style="47" customWidth="1"/>
    <col min="14859" max="14859" width="8.85546875" style="47" customWidth="1"/>
    <col min="14860" max="14860" width="1.140625" style="47" customWidth="1"/>
    <col min="14861" max="14861" width="1.5703125" style="47" customWidth="1"/>
    <col min="14862" max="14862" width="5.7109375" style="47" customWidth="1"/>
    <col min="14863" max="14863" width="10.42578125" style="47" customWidth="1"/>
    <col min="14864" max="14864" width="10.5703125" style="47" customWidth="1"/>
    <col min="14865" max="14865" width="7.85546875" style="47" customWidth="1"/>
    <col min="14866" max="14866" width="10.85546875" style="47" customWidth="1"/>
    <col min="14867" max="14867" width="2" style="47" customWidth="1"/>
    <col min="14868" max="14868" width="1.5703125" style="47" customWidth="1"/>
    <col min="14869" max="14869" width="4.28515625" style="47" customWidth="1"/>
    <col min="14870" max="14870" width="13.28515625" style="47" customWidth="1"/>
    <col min="14871" max="14871" width="1" style="47" customWidth="1"/>
    <col min="14872" max="14872" width="6.7109375" style="47" customWidth="1"/>
    <col min="14873" max="15104" width="6.85546875" style="47"/>
    <col min="15105" max="15105" width="1.7109375" style="47" customWidth="1"/>
    <col min="15106" max="15106" width="2.42578125" style="47" customWidth="1"/>
    <col min="15107" max="15107" width="1.42578125" style="47" customWidth="1"/>
    <col min="15108" max="15108" width="10.42578125" style="47" customWidth="1"/>
    <col min="15109" max="15109" width="8.42578125" style="47" customWidth="1"/>
    <col min="15110" max="15110" width="11.28515625" style="47" customWidth="1"/>
    <col min="15111" max="15111" width="22" style="47" customWidth="1"/>
    <col min="15112" max="15112" width="1.28515625" style="47" customWidth="1"/>
    <col min="15113" max="15113" width="17.7109375" style="47" customWidth="1"/>
    <col min="15114" max="15114" width="1.42578125" style="47" customWidth="1"/>
    <col min="15115" max="15115" width="8.85546875" style="47" customWidth="1"/>
    <col min="15116" max="15116" width="1.140625" style="47" customWidth="1"/>
    <col min="15117" max="15117" width="1.5703125" style="47" customWidth="1"/>
    <col min="15118" max="15118" width="5.7109375" style="47" customWidth="1"/>
    <col min="15119" max="15119" width="10.42578125" style="47" customWidth="1"/>
    <col min="15120" max="15120" width="10.5703125" style="47" customWidth="1"/>
    <col min="15121" max="15121" width="7.85546875" style="47" customWidth="1"/>
    <col min="15122" max="15122" width="10.85546875" style="47" customWidth="1"/>
    <col min="15123" max="15123" width="2" style="47" customWidth="1"/>
    <col min="15124" max="15124" width="1.5703125" style="47" customWidth="1"/>
    <col min="15125" max="15125" width="4.28515625" style="47" customWidth="1"/>
    <col min="15126" max="15126" width="13.28515625" style="47" customWidth="1"/>
    <col min="15127" max="15127" width="1" style="47" customWidth="1"/>
    <col min="15128" max="15128" width="6.7109375" style="47" customWidth="1"/>
    <col min="15129" max="15360" width="6.85546875" style="47"/>
    <col min="15361" max="15361" width="1.7109375" style="47" customWidth="1"/>
    <col min="15362" max="15362" width="2.42578125" style="47" customWidth="1"/>
    <col min="15363" max="15363" width="1.42578125" style="47" customWidth="1"/>
    <col min="15364" max="15364" width="10.42578125" style="47" customWidth="1"/>
    <col min="15365" max="15365" width="8.42578125" style="47" customWidth="1"/>
    <col min="15366" max="15366" width="11.28515625" style="47" customWidth="1"/>
    <col min="15367" max="15367" width="22" style="47" customWidth="1"/>
    <col min="15368" max="15368" width="1.28515625" style="47" customWidth="1"/>
    <col min="15369" max="15369" width="17.7109375" style="47" customWidth="1"/>
    <col min="15370" max="15370" width="1.42578125" style="47" customWidth="1"/>
    <col min="15371" max="15371" width="8.85546875" style="47" customWidth="1"/>
    <col min="15372" max="15372" width="1.140625" style="47" customWidth="1"/>
    <col min="15373" max="15373" width="1.5703125" style="47" customWidth="1"/>
    <col min="15374" max="15374" width="5.7109375" style="47" customWidth="1"/>
    <col min="15375" max="15375" width="10.42578125" style="47" customWidth="1"/>
    <col min="15376" max="15376" width="10.5703125" style="47" customWidth="1"/>
    <col min="15377" max="15377" width="7.85546875" style="47" customWidth="1"/>
    <col min="15378" max="15378" width="10.85546875" style="47" customWidth="1"/>
    <col min="15379" max="15379" width="2" style="47" customWidth="1"/>
    <col min="15380" max="15380" width="1.5703125" style="47" customWidth="1"/>
    <col min="15381" max="15381" width="4.28515625" style="47" customWidth="1"/>
    <col min="15382" max="15382" width="13.28515625" style="47" customWidth="1"/>
    <col min="15383" max="15383" width="1" style="47" customWidth="1"/>
    <col min="15384" max="15384" width="6.7109375" style="47" customWidth="1"/>
    <col min="15385" max="15616" width="6.85546875" style="47"/>
    <col min="15617" max="15617" width="1.7109375" style="47" customWidth="1"/>
    <col min="15618" max="15618" width="2.42578125" style="47" customWidth="1"/>
    <col min="15619" max="15619" width="1.42578125" style="47" customWidth="1"/>
    <col min="15620" max="15620" width="10.42578125" style="47" customWidth="1"/>
    <col min="15621" max="15621" width="8.42578125" style="47" customWidth="1"/>
    <col min="15622" max="15622" width="11.28515625" style="47" customWidth="1"/>
    <col min="15623" max="15623" width="22" style="47" customWidth="1"/>
    <col min="15624" max="15624" width="1.28515625" style="47" customWidth="1"/>
    <col min="15625" max="15625" width="17.7109375" style="47" customWidth="1"/>
    <col min="15626" max="15626" width="1.42578125" style="47" customWidth="1"/>
    <col min="15627" max="15627" width="8.85546875" style="47" customWidth="1"/>
    <col min="15628" max="15628" width="1.140625" style="47" customWidth="1"/>
    <col min="15629" max="15629" width="1.5703125" style="47" customWidth="1"/>
    <col min="15630" max="15630" width="5.7109375" style="47" customWidth="1"/>
    <col min="15631" max="15631" width="10.42578125" style="47" customWidth="1"/>
    <col min="15632" max="15632" width="10.5703125" style="47" customWidth="1"/>
    <col min="15633" max="15633" width="7.85546875" style="47" customWidth="1"/>
    <col min="15634" max="15634" width="10.85546875" style="47" customWidth="1"/>
    <col min="15635" max="15635" width="2" style="47" customWidth="1"/>
    <col min="15636" max="15636" width="1.5703125" style="47" customWidth="1"/>
    <col min="15637" max="15637" width="4.28515625" style="47" customWidth="1"/>
    <col min="15638" max="15638" width="13.28515625" style="47" customWidth="1"/>
    <col min="15639" max="15639" width="1" style="47" customWidth="1"/>
    <col min="15640" max="15640" width="6.7109375" style="47" customWidth="1"/>
    <col min="15641" max="15872" width="6.85546875" style="47"/>
    <col min="15873" max="15873" width="1.7109375" style="47" customWidth="1"/>
    <col min="15874" max="15874" width="2.42578125" style="47" customWidth="1"/>
    <col min="15875" max="15875" width="1.42578125" style="47" customWidth="1"/>
    <col min="15876" max="15876" width="10.42578125" style="47" customWidth="1"/>
    <col min="15877" max="15877" width="8.42578125" style="47" customWidth="1"/>
    <col min="15878" max="15878" width="11.28515625" style="47" customWidth="1"/>
    <col min="15879" max="15879" width="22" style="47" customWidth="1"/>
    <col min="15880" max="15880" width="1.28515625" style="47" customWidth="1"/>
    <col min="15881" max="15881" width="17.7109375" style="47" customWidth="1"/>
    <col min="15882" max="15882" width="1.42578125" style="47" customWidth="1"/>
    <col min="15883" max="15883" width="8.85546875" style="47" customWidth="1"/>
    <col min="15884" max="15884" width="1.140625" style="47" customWidth="1"/>
    <col min="15885" max="15885" width="1.5703125" style="47" customWidth="1"/>
    <col min="15886" max="15886" width="5.7109375" style="47" customWidth="1"/>
    <col min="15887" max="15887" width="10.42578125" style="47" customWidth="1"/>
    <col min="15888" max="15888" width="10.5703125" style="47" customWidth="1"/>
    <col min="15889" max="15889" width="7.85546875" style="47" customWidth="1"/>
    <col min="15890" max="15890" width="10.85546875" style="47" customWidth="1"/>
    <col min="15891" max="15891" width="2" style="47" customWidth="1"/>
    <col min="15892" max="15892" width="1.5703125" style="47" customWidth="1"/>
    <col min="15893" max="15893" width="4.28515625" style="47" customWidth="1"/>
    <col min="15894" max="15894" width="13.28515625" style="47" customWidth="1"/>
    <col min="15895" max="15895" width="1" style="47" customWidth="1"/>
    <col min="15896" max="15896" width="6.7109375" style="47" customWidth="1"/>
    <col min="15897" max="16128" width="6.85546875" style="47"/>
    <col min="16129" max="16129" width="1.7109375" style="47" customWidth="1"/>
    <col min="16130" max="16130" width="2.42578125" style="47" customWidth="1"/>
    <col min="16131" max="16131" width="1.42578125" style="47" customWidth="1"/>
    <col min="16132" max="16132" width="10.42578125" style="47" customWidth="1"/>
    <col min="16133" max="16133" width="8.42578125" style="47" customWidth="1"/>
    <col min="16134" max="16134" width="11.28515625" style="47" customWidth="1"/>
    <col min="16135" max="16135" width="22" style="47" customWidth="1"/>
    <col min="16136" max="16136" width="1.28515625" style="47" customWidth="1"/>
    <col min="16137" max="16137" width="17.7109375" style="47" customWidth="1"/>
    <col min="16138" max="16138" width="1.42578125" style="47" customWidth="1"/>
    <col min="16139" max="16139" width="8.85546875" style="47" customWidth="1"/>
    <col min="16140" max="16140" width="1.140625" style="47" customWidth="1"/>
    <col min="16141" max="16141" width="1.5703125" style="47" customWidth="1"/>
    <col min="16142" max="16142" width="5.7109375" style="47" customWidth="1"/>
    <col min="16143" max="16143" width="10.42578125" style="47" customWidth="1"/>
    <col min="16144" max="16144" width="10.5703125" style="47" customWidth="1"/>
    <col min="16145" max="16145" width="7.85546875" style="47" customWidth="1"/>
    <col min="16146" max="16146" width="10.85546875" style="47" customWidth="1"/>
    <col min="16147" max="16147" width="2" style="47" customWidth="1"/>
    <col min="16148" max="16148" width="1.5703125" style="47" customWidth="1"/>
    <col min="16149" max="16149" width="4.28515625" style="47" customWidth="1"/>
    <col min="16150" max="16150" width="13.28515625" style="47" customWidth="1"/>
    <col min="16151" max="16151" width="1" style="47" customWidth="1"/>
    <col min="16152" max="16152" width="6.7109375" style="47" customWidth="1"/>
    <col min="16153" max="16384" width="6.85546875" style="47"/>
  </cols>
  <sheetData>
    <row r="1" spans="1:48" ht="21" hidden="1" customHeight="1" x14ac:dyDescent="0.25"/>
    <row r="2" spans="1:48" ht="12.75" hidden="1" customHeight="1" x14ac:dyDescent="0.25"/>
    <row r="3" spans="1:48" ht="27.75" hidden="1" customHeight="1" x14ac:dyDescent="0.25"/>
    <row r="4" spans="1:48" hidden="1" x14ac:dyDescent="0.25">
      <c r="A4" s="47" t="s">
        <v>81</v>
      </c>
      <c r="B4" s="58"/>
      <c r="C4" s="59"/>
      <c r="E4" s="59"/>
      <c r="F4" s="60"/>
      <c r="G4" s="59"/>
      <c r="H4" s="60"/>
      <c r="I4" s="61"/>
      <c r="J4" s="62"/>
      <c r="K4" s="63"/>
      <c r="L4" s="58"/>
      <c r="M4" s="64"/>
      <c r="N4" s="58"/>
      <c r="O4" s="64"/>
      <c r="P4" s="65"/>
      <c r="Q4" s="65"/>
      <c r="S4" s="66"/>
      <c r="T4" s="67"/>
      <c r="U4" s="65"/>
      <c r="W4" s="64"/>
      <c r="X4" s="58"/>
      <c r="AV4" s="47" t="s">
        <v>71</v>
      </c>
    </row>
    <row r="5" spans="1:48" ht="6" hidden="1" customHeight="1" x14ac:dyDescent="0.25"/>
    <row r="6" spans="1:48" s="68" customFormat="1" ht="35.25" customHeight="1" x14ac:dyDescent="0.25">
      <c r="B6" s="69"/>
      <c r="D6" s="70"/>
      <c r="F6" s="70"/>
      <c r="H6" s="70"/>
      <c r="L6" s="69"/>
      <c r="M6" s="69"/>
      <c r="N6" s="69"/>
      <c r="O6" s="69"/>
      <c r="P6" s="71"/>
      <c r="Q6" s="71"/>
      <c r="R6" s="71"/>
      <c r="S6" s="69"/>
      <c r="T6" s="69"/>
      <c r="U6" s="71"/>
      <c r="V6" s="71"/>
      <c r="W6" s="69"/>
      <c r="X6" s="69"/>
      <c r="Y6" s="69"/>
      <c r="Z6" s="69"/>
      <c r="AA6" s="69"/>
    </row>
    <row r="7" spans="1:48" s="72" customFormat="1" ht="18" customHeight="1" x14ac:dyDescent="0.25">
      <c r="B7" s="73" t="s">
        <v>82</v>
      </c>
      <c r="C7" s="74"/>
      <c r="D7" s="75" t="s">
        <v>83</v>
      </c>
      <c r="E7" s="74"/>
      <c r="F7" s="75" t="s">
        <v>84</v>
      </c>
      <c r="G7" s="74"/>
      <c r="H7" s="73" t="s">
        <v>85</v>
      </c>
      <c r="I7" s="76"/>
      <c r="J7" s="77" t="s">
        <v>86</v>
      </c>
      <c r="K7" s="78"/>
      <c r="L7" s="73" t="s">
        <v>87</v>
      </c>
      <c r="M7" s="74"/>
      <c r="N7" s="75" t="s">
        <v>88</v>
      </c>
      <c r="O7" s="74"/>
      <c r="P7" s="79" t="s">
        <v>89</v>
      </c>
      <c r="Q7" s="80" t="s">
        <v>90</v>
      </c>
      <c r="R7" s="80" t="s">
        <v>91</v>
      </c>
      <c r="S7" s="76"/>
      <c r="T7" s="78"/>
      <c r="U7" s="80" t="s">
        <v>92</v>
      </c>
      <c r="V7" s="80" t="s">
        <v>93</v>
      </c>
      <c r="W7" s="74"/>
      <c r="X7" s="75" t="s">
        <v>784</v>
      </c>
      <c r="Y7" s="73" t="s">
        <v>787</v>
      </c>
      <c r="Z7" s="73" t="s">
        <v>788</v>
      </c>
      <c r="AA7" s="81" t="s">
        <v>76</v>
      </c>
    </row>
    <row r="8" spans="1:48" ht="6" hidden="1" customHeight="1" x14ac:dyDescent="0.25"/>
    <row r="9" spans="1:48" ht="27" hidden="1" customHeight="1" x14ac:dyDescent="0.25"/>
    <row r="10" spans="1:48" ht="3.75" hidden="1" customHeight="1" x14ac:dyDescent="0.25"/>
    <row r="11" spans="1:48" x14ac:dyDescent="0.25">
      <c r="B11" s="48" t="s">
        <v>94</v>
      </c>
      <c r="C11" s="59"/>
      <c r="D11" s="49" t="s">
        <v>95</v>
      </c>
      <c r="F11" s="49" t="s">
        <v>96</v>
      </c>
      <c r="G11" s="82"/>
      <c r="H11" s="49" t="s">
        <v>97</v>
      </c>
      <c r="I11" s="83"/>
      <c r="J11" s="51" t="s">
        <v>98</v>
      </c>
      <c r="K11" s="84"/>
      <c r="L11" s="48" t="s">
        <v>99</v>
      </c>
      <c r="N11" s="48" t="s">
        <v>100</v>
      </c>
      <c r="O11" s="64"/>
      <c r="P11" s="54">
        <v>45057</v>
      </c>
      <c r="Q11" s="54">
        <v>45089</v>
      </c>
      <c r="R11" s="54">
        <v>45091</v>
      </c>
      <c r="S11" s="85"/>
      <c r="T11" s="86"/>
      <c r="U11" s="54">
        <v>45076</v>
      </c>
      <c r="V11" s="54">
        <v>45076</v>
      </c>
      <c r="W11" s="87"/>
      <c r="X11" s="88" t="s">
        <v>785</v>
      </c>
      <c r="Y11" s="48" t="s">
        <v>785</v>
      </c>
      <c r="Z11" s="48" t="s">
        <v>858</v>
      </c>
      <c r="AA11" s="57" t="str">
        <f>IFERROR(
IF(AND(X11="Não",Y11="Sim"),"REP",
IF(AND(X11="Sim",Y11="Não"),"Técnico",
IF(AND(X11="Sim",Y11="Sim"),"Ambos",""))),
"")</f>
        <v/>
      </c>
    </row>
    <row r="12" spans="1:48" ht="3.75" customHeight="1" x14ac:dyDescent="0.25">
      <c r="F12" s="119"/>
      <c r="AA12" s="57" t="str">
        <f t="shared" ref="AA12:AA75" si="0">IFERROR(
IF(AND(X12="Não",Y12="Sim"),"REP",
IF(AND(X12="Sim",Y12="Não"),"Técnico",
IF(AND(X12="Sim",Y12="Sim"),"Ambos",""))),
"")</f>
        <v/>
      </c>
    </row>
    <row r="13" spans="1:48" x14ac:dyDescent="0.25">
      <c r="B13" s="48" t="s">
        <v>94</v>
      </c>
      <c r="C13" s="59"/>
      <c r="D13" s="49" t="s">
        <v>95</v>
      </c>
      <c r="F13" s="49" t="s">
        <v>96</v>
      </c>
      <c r="G13" s="82"/>
      <c r="H13" s="49" t="s">
        <v>97</v>
      </c>
      <c r="I13" s="83"/>
      <c r="J13" s="51" t="s">
        <v>98</v>
      </c>
      <c r="K13" s="84"/>
      <c r="L13" s="48" t="s">
        <v>99</v>
      </c>
      <c r="N13" s="48" t="s">
        <v>100</v>
      </c>
      <c r="O13" s="64"/>
      <c r="P13" s="54">
        <v>45057</v>
      </c>
      <c r="Q13" s="54">
        <v>45089</v>
      </c>
      <c r="R13" s="54">
        <v>45091</v>
      </c>
      <c r="S13" s="85"/>
      <c r="T13" s="86"/>
      <c r="U13" s="54">
        <v>45072</v>
      </c>
      <c r="V13" s="54">
        <v>45076</v>
      </c>
      <c r="W13" s="87"/>
      <c r="X13" s="88" t="s">
        <v>785</v>
      </c>
      <c r="Y13" s="48" t="s">
        <v>785</v>
      </c>
      <c r="Z13" s="48" t="s">
        <v>858</v>
      </c>
      <c r="AA13" s="57" t="str">
        <f t="shared" si="0"/>
        <v/>
      </c>
    </row>
    <row r="14" spans="1:48" ht="3.75" customHeight="1" x14ac:dyDescent="0.25">
      <c r="F14" s="119"/>
      <c r="AA14" s="57" t="str">
        <f t="shared" si="0"/>
        <v/>
      </c>
    </row>
    <row r="15" spans="1:48" s="101" customFormat="1" x14ac:dyDescent="0.25">
      <c r="B15" s="102" t="s">
        <v>101</v>
      </c>
      <c r="C15" s="103"/>
      <c r="D15" s="104" t="s">
        <v>102</v>
      </c>
      <c r="F15" s="104" t="s">
        <v>103</v>
      </c>
      <c r="G15" s="105"/>
      <c r="H15" s="104" t="s">
        <v>104</v>
      </c>
      <c r="I15" s="106"/>
      <c r="J15" s="107" t="s">
        <v>105</v>
      </c>
      <c r="K15" s="108"/>
      <c r="L15" s="102" t="s">
        <v>99</v>
      </c>
      <c r="M15" s="109"/>
      <c r="N15" s="102" t="s">
        <v>100</v>
      </c>
      <c r="O15" s="110"/>
      <c r="P15" s="111">
        <v>45044</v>
      </c>
      <c r="Q15" s="111">
        <v>45089</v>
      </c>
      <c r="R15" s="111">
        <v>45091</v>
      </c>
      <c r="S15" s="112"/>
      <c r="T15" s="113"/>
      <c r="U15" s="111">
        <v>45121</v>
      </c>
      <c r="V15" s="111">
        <v>45124</v>
      </c>
      <c r="W15" s="114"/>
      <c r="X15" s="115" t="s">
        <v>786</v>
      </c>
      <c r="Y15" s="102" t="s">
        <v>786</v>
      </c>
      <c r="Z15" s="102" t="s">
        <v>859</v>
      </c>
      <c r="AA15" s="116" t="str">
        <f t="shared" si="0"/>
        <v>Ambos</v>
      </c>
    </row>
    <row r="16" spans="1:48" ht="3.75" customHeight="1" x14ac:dyDescent="0.25">
      <c r="F16" s="119"/>
      <c r="AA16" s="57" t="str">
        <f t="shared" si="0"/>
        <v/>
      </c>
    </row>
    <row r="17" spans="2:27" s="101" customFormat="1" x14ac:dyDescent="0.25">
      <c r="B17" s="102" t="s">
        <v>101</v>
      </c>
      <c r="C17" s="103"/>
      <c r="D17" s="104" t="s">
        <v>102</v>
      </c>
      <c r="F17" s="104" t="s">
        <v>103</v>
      </c>
      <c r="G17" s="105"/>
      <c r="H17" s="104" t="s">
        <v>104</v>
      </c>
      <c r="I17" s="106"/>
      <c r="J17" s="107" t="s">
        <v>105</v>
      </c>
      <c r="K17" s="108"/>
      <c r="L17" s="102" t="s">
        <v>99</v>
      </c>
      <c r="M17" s="109"/>
      <c r="N17" s="102" t="s">
        <v>100</v>
      </c>
      <c r="O17" s="110"/>
      <c r="P17" s="111">
        <v>45044</v>
      </c>
      <c r="Q17" s="111">
        <v>45089</v>
      </c>
      <c r="R17" s="111">
        <v>45091</v>
      </c>
      <c r="S17" s="112"/>
      <c r="T17" s="113"/>
      <c r="U17" s="111">
        <v>45089</v>
      </c>
      <c r="V17" s="111">
        <v>45124</v>
      </c>
      <c r="W17" s="114"/>
      <c r="X17" s="115" t="s">
        <v>785</v>
      </c>
      <c r="Y17" s="102" t="s">
        <v>786</v>
      </c>
      <c r="Z17" s="102" t="s">
        <v>859</v>
      </c>
      <c r="AA17" s="116" t="str">
        <f t="shared" si="0"/>
        <v>REP</v>
      </c>
    </row>
    <row r="18" spans="2:27" ht="3.75" customHeight="1" x14ac:dyDescent="0.25">
      <c r="F18" s="119"/>
      <c r="AA18" s="57" t="str">
        <f t="shared" si="0"/>
        <v/>
      </c>
    </row>
    <row r="19" spans="2:27" x14ac:dyDescent="0.25">
      <c r="B19" s="48" t="s">
        <v>106</v>
      </c>
      <c r="C19" s="59"/>
      <c r="D19" s="49" t="s">
        <v>107</v>
      </c>
      <c r="F19" s="49" t="s">
        <v>108</v>
      </c>
      <c r="G19" s="82"/>
      <c r="H19" s="49" t="s">
        <v>109</v>
      </c>
      <c r="I19" s="83"/>
      <c r="J19" s="51" t="s">
        <v>110</v>
      </c>
      <c r="K19" s="84"/>
      <c r="L19" s="48" t="s">
        <v>99</v>
      </c>
      <c r="N19" s="48" t="s">
        <v>111</v>
      </c>
      <c r="O19" s="64"/>
      <c r="P19" s="54">
        <v>45076</v>
      </c>
      <c r="Q19" s="54">
        <v>45085</v>
      </c>
      <c r="R19" s="54">
        <v>45090</v>
      </c>
      <c r="S19" s="85"/>
      <c r="T19" s="86"/>
      <c r="U19" s="54">
        <v>45092</v>
      </c>
      <c r="V19" s="54">
        <v>45092</v>
      </c>
      <c r="W19" s="87"/>
      <c r="X19" s="88" t="s">
        <v>786</v>
      </c>
      <c r="Y19" s="48" t="s">
        <v>785</v>
      </c>
      <c r="Z19" s="48" t="s">
        <v>860</v>
      </c>
      <c r="AA19" s="57" t="str">
        <f t="shared" si="0"/>
        <v>Técnico</v>
      </c>
    </row>
    <row r="20" spans="2:27" ht="3.75" customHeight="1" x14ac:dyDescent="0.25">
      <c r="F20" s="119"/>
      <c r="AA20" s="57" t="str">
        <f t="shared" si="0"/>
        <v/>
      </c>
    </row>
    <row r="21" spans="2:27" s="101" customFormat="1" x14ac:dyDescent="0.25">
      <c r="B21" s="102" t="s">
        <v>112</v>
      </c>
      <c r="C21" s="103"/>
      <c r="D21" s="104" t="s">
        <v>113</v>
      </c>
      <c r="F21" s="104" t="s">
        <v>114</v>
      </c>
      <c r="G21" s="105"/>
      <c r="H21" s="104" t="s">
        <v>115</v>
      </c>
      <c r="I21" s="106"/>
      <c r="J21" s="107" t="s">
        <v>110</v>
      </c>
      <c r="K21" s="108"/>
      <c r="L21" s="102" t="s">
        <v>99</v>
      </c>
      <c r="M21" s="109"/>
      <c r="N21" s="102" t="s">
        <v>100</v>
      </c>
      <c r="O21" s="110"/>
      <c r="P21" s="111">
        <v>45058</v>
      </c>
      <c r="Q21" s="111">
        <v>45082</v>
      </c>
      <c r="R21" s="111">
        <v>45084</v>
      </c>
      <c r="S21" s="112"/>
      <c r="T21" s="113"/>
      <c r="U21" s="111">
        <v>45096</v>
      </c>
      <c r="V21" s="111">
        <v>45096</v>
      </c>
      <c r="W21" s="114"/>
      <c r="X21" s="115" t="s">
        <v>786</v>
      </c>
      <c r="Y21" s="102" t="s">
        <v>786</v>
      </c>
      <c r="Z21" s="102" t="s">
        <v>859</v>
      </c>
      <c r="AA21" s="116" t="str">
        <f t="shared" si="0"/>
        <v>Ambos</v>
      </c>
    </row>
    <row r="22" spans="2:27" ht="3.75" customHeight="1" x14ac:dyDescent="0.25">
      <c r="F22" s="119"/>
      <c r="AA22" s="57" t="str">
        <f t="shared" si="0"/>
        <v/>
      </c>
    </row>
    <row r="23" spans="2:27" s="101" customFormat="1" x14ac:dyDescent="0.25">
      <c r="B23" s="102" t="s">
        <v>112</v>
      </c>
      <c r="C23" s="103"/>
      <c r="D23" s="104" t="s">
        <v>113</v>
      </c>
      <c r="F23" s="104" t="s">
        <v>114</v>
      </c>
      <c r="G23" s="105"/>
      <c r="H23" s="104" t="s">
        <v>115</v>
      </c>
      <c r="I23" s="106"/>
      <c r="J23" s="107" t="s">
        <v>110</v>
      </c>
      <c r="K23" s="108"/>
      <c r="L23" s="102" t="s">
        <v>99</v>
      </c>
      <c r="M23" s="109"/>
      <c r="N23" s="102" t="s">
        <v>100</v>
      </c>
      <c r="O23" s="110"/>
      <c r="P23" s="111">
        <v>45058</v>
      </c>
      <c r="Q23" s="111">
        <v>45082</v>
      </c>
      <c r="R23" s="111">
        <v>45084</v>
      </c>
      <c r="S23" s="112"/>
      <c r="T23" s="113"/>
      <c r="U23" s="111">
        <v>45083</v>
      </c>
      <c r="V23" s="111">
        <v>45096</v>
      </c>
      <c r="W23" s="114"/>
      <c r="X23" s="115" t="s">
        <v>786</v>
      </c>
      <c r="Y23" s="102" t="s">
        <v>786</v>
      </c>
      <c r="Z23" s="102" t="s">
        <v>859</v>
      </c>
      <c r="AA23" s="116" t="str">
        <f t="shared" si="0"/>
        <v>Ambos</v>
      </c>
    </row>
    <row r="24" spans="2:27" ht="3.75" customHeight="1" x14ac:dyDescent="0.25">
      <c r="F24" s="119"/>
      <c r="AA24" s="57" t="str">
        <f t="shared" si="0"/>
        <v/>
      </c>
    </row>
    <row r="25" spans="2:27" s="101" customFormat="1" x14ac:dyDescent="0.25">
      <c r="B25" s="102" t="s">
        <v>116</v>
      </c>
      <c r="C25" s="103"/>
      <c r="D25" s="104" t="s">
        <v>113</v>
      </c>
      <c r="F25" s="104" t="s">
        <v>117</v>
      </c>
      <c r="G25" s="105"/>
      <c r="H25" s="104" t="s">
        <v>115</v>
      </c>
      <c r="I25" s="106"/>
      <c r="J25" s="107" t="s">
        <v>110</v>
      </c>
      <c r="K25" s="108"/>
      <c r="L25" s="102" t="s">
        <v>99</v>
      </c>
      <c r="M25" s="109"/>
      <c r="N25" s="102" t="s">
        <v>100</v>
      </c>
      <c r="O25" s="110"/>
      <c r="P25" s="111">
        <v>45058</v>
      </c>
      <c r="Q25" s="111">
        <v>45082</v>
      </c>
      <c r="R25" s="111">
        <v>45084</v>
      </c>
      <c r="S25" s="112"/>
      <c r="T25" s="113"/>
      <c r="U25" s="111">
        <v>45096</v>
      </c>
      <c r="V25" s="111">
        <v>45096</v>
      </c>
      <c r="W25" s="114"/>
      <c r="X25" s="115" t="s">
        <v>786</v>
      </c>
      <c r="Y25" s="102" t="s">
        <v>786</v>
      </c>
      <c r="Z25" s="102" t="s">
        <v>859</v>
      </c>
      <c r="AA25" s="116" t="str">
        <f t="shared" si="0"/>
        <v>Ambos</v>
      </c>
    </row>
    <row r="26" spans="2:27" ht="3.75" customHeight="1" x14ac:dyDescent="0.25">
      <c r="F26" s="119"/>
      <c r="AA26" s="57" t="str">
        <f t="shared" si="0"/>
        <v/>
      </c>
    </row>
    <row r="27" spans="2:27" s="101" customFormat="1" x14ac:dyDescent="0.25">
      <c r="B27" s="102" t="s">
        <v>116</v>
      </c>
      <c r="C27" s="103"/>
      <c r="D27" s="104" t="s">
        <v>113</v>
      </c>
      <c r="F27" s="104" t="s">
        <v>117</v>
      </c>
      <c r="G27" s="105"/>
      <c r="H27" s="104" t="s">
        <v>115</v>
      </c>
      <c r="I27" s="106"/>
      <c r="J27" s="107" t="s">
        <v>110</v>
      </c>
      <c r="K27" s="108"/>
      <c r="L27" s="102" t="s">
        <v>99</v>
      </c>
      <c r="M27" s="109"/>
      <c r="N27" s="102" t="s">
        <v>100</v>
      </c>
      <c r="O27" s="110"/>
      <c r="P27" s="111">
        <v>45058</v>
      </c>
      <c r="Q27" s="111">
        <v>45082</v>
      </c>
      <c r="R27" s="111">
        <v>45084</v>
      </c>
      <c r="S27" s="112"/>
      <c r="T27" s="113"/>
      <c r="U27" s="111">
        <v>45083</v>
      </c>
      <c r="V27" s="111">
        <v>45096</v>
      </c>
      <c r="W27" s="114"/>
      <c r="X27" s="115" t="s">
        <v>786</v>
      </c>
      <c r="Y27" s="102" t="s">
        <v>786</v>
      </c>
      <c r="Z27" s="102" t="s">
        <v>859</v>
      </c>
      <c r="AA27" s="116" t="str">
        <f t="shared" si="0"/>
        <v>Ambos</v>
      </c>
    </row>
    <row r="28" spans="2:27" ht="3.75" customHeight="1" x14ac:dyDescent="0.25">
      <c r="F28" s="119"/>
      <c r="AA28" s="57" t="str">
        <f t="shared" si="0"/>
        <v/>
      </c>
    </row>
    <row r="29" spans="2:27" s="101" customFormat="1" x14ac:dyDescent="0.25">
      <c r="B29" s="102" t="s">
        <v>118</v>
      </c>
      <c r="C29" s="103"/>
      <c r="D29" s="104" t="s">
        <v>119</v>
      </c>
      <c r="F29" s="104" t="s">
        <v>120</v>
      </c>
      <c r="G29" s="105"/>
      <c r="H29" s="104" t="s">
        <v>121</v>
      </c>
      <c r="I29" s="106"/>
      <c r="J29" s="107" t="s">
        <v>110</v>
      </c>
      <c r="K29" s="108"/>
      <c r="L29" s="102" t="s">
        <v>99</v>
      </c>
      <c r="M29" s="109"/>
      <c r="N29" s="102" t="s">
        <v>100</v>
      </c>
      <c r="O29" s="110"/>
      <c r="P29" s="111">
        <v>45089</v>
      </c>
      <c r="Q29" s="111">
        <v>45107</v>
      </c>
      <c r="R29" s="111">
        <v>45100</v>
      </c>
      <c r="S29" s="112"/>
      <c r="T29" s="113"/>
      <c r="U29" s="111">
        <v>45097</v>
      </c>
      <c r="V29" s="111">
        <v>45103</v>
      </c>
      <c r="W29" s="114"/>
      <c r="X29" s="115" t="s">
        <v>785</v>
      </c>
      <c r="Y29" s="102" t="s">
        <v>786</v>
      </c>
      <c r="Z29" s="102" t="s">
        <v>860</v>
      </c>
      <c r="AA29" s="116" t="str">
        <f t="shared" si="0"/>
        <v>REP</v>
      </c>
    </row>
    <row r="30" spans="2:27" ht="3.75" customHeight="1" x14ac:dyDescent="0.25">
      <c r="F30" s="119"/>
      <c r="AA30" s="57" t="str">
        <f t="shared" si="0"/>
        <v/>
      </c>
    </row>
    <row r="31" spans="2:27" s="101" customFormat="1" x14ac:dyDescent="0.25">
      <c r="B31" s="102" t="s">
        <v>122</v>
      </c>
      <c r="C31" s="103"/>
      <c r="D31" s="104" t="s">
        <v>119</v>
      </c>
      <c r="F31" s="104" t="s">
        <v>120</v>
      </c>
      <c r="G31" s="105"/>
      <c r="H31" s="104" t="s">
        <v>121</v>
      </c>
      <c r="I31" s="106"/>
      <c r="J31" s="107" t="s">
        <v>110</v>
      </c>
      <c r="K31" s="108"/>
      <c r="L31" s="102" t="s">
        <v>99</v>
      </c>
      <c r="M31" s="109"/>
      <c r="N31" s="102" t="s">
        <v>100</v>
      </c>
      <c r="O31" s="110"/>
      <c r="P31" s="111">
        <v>45089</v>
      </c>
      <c r="Q31" s="111">
        <v>45107</v>
      </c>
      <c r="R31" s="111">
        <v>45100</v>
      </c>
      <c r="S31" s="112"/>
      <c r="T31" s="113"/>
      <c r="U31" s="111">
        <v>45098</v>
      </c>
      <c r="V31" s="111">
        <v>45103</v>
      </c>
      <c r="W31" s="114"/>
      <c r="X31" s="115" t="s">
        <v>785</v>
      </c>
      <c r="Y31" s="102" t="s">
        <v>786</v>
      </c>
      <c r="Z31" s="102" t="s">
        <v>860</v>
      </c>
      <c r="AA31" s="116" t="str">
        <f t="shared" si="0"/>
        <v>REP</v>
      </c>
    </row>
    <row r="32" spans="2:27" ht="3.75" customHeight="1" x14ac:dyDescent="0.25">
      <c r="F32" s="119"/>
      <c r="AA32" s="57" t="str">
        <f t="shared" si="0"/>
        <v/>
      </c>
    </row>
    <row r="33" spans="2:27" x14ac:dyDescent="0.25">
      <c r="B33" s="48" t="s">
        <v>123</v>
      </c>
      <c r="C33" s="59"/>
      <c r="D33" s="49" t="s">
        <v>124</v>
      </c>
      <c r="F33" s="49" t="s">
        <v>125</v>
      </c>
      <c r="G33" s="82"/>
      <c r="H33" s="49" t="s">
        <v>126</v>
      </c>
      <c r="I33" s="83"/>
      <c r="J33" s="51" t="s">
        <v>98</v>
      </c>
      <c r="K33" s="84"/>
      <c r="L33" s="48" t="s">
        <v>99</v>
      </c>
      <c r="N33" s="48" t="s">
        <v>111</v>
      </c>
      <c r="O33" s="64"/>
      <c r="P33" s="54">
        <v>45075</v>
      </c>
      <c r="Q33" s="54">
        <v>45082</v>
      </c>
      <c r="R33" s="54">
        <v>45083</v>
      </c>
      <c r="S33" s="85"/>
      <c r="T33" s="86"/>
      <c r="U33" s="54">
        <v>45078</v>
      </c>
      <c r="V33" s="54">
        <v>45082</v>
      </c>
      <c r="W33" s="87"/>
      <c r="X33" s="88" t="s">
        <v>785</v>
      </c>
      <c r="Y33" s="48" t="s">
        <v>785</v>
      </c>
      <c r="Z33" s="48" t="s">
        <v>860</v>
      </c>
      <c r="AA33" s="57" t="str">
        <f t="shared" si="0"/>
        <v/>
      </c>
    </row>
    <row r="34" spans="2:27" ht="3.75" customHeight="1" x14ac:dyDescent="0.25">
      <c r="F34" s="119"/>
      <c r="AA34" s="57" t="str">
        <f t="shared" si="0"/>
        <v/>
      </c>
    </row>
    <row r="35" spans="2:27" x14ac:dyDescent="0.25">
      <c r="B35" s="48" t="s">
        <v>127</v>
      </c>
      <c r="C35" s="59"/>
      <c r="D35" s="49" t="s">
        <v>124</v>
      </c>
      <c r="F35" s="49" t="s">
        <v>125</v>
      </c>
      <c r="G35" s="82"/>
      <c r="H35" s="49" t="s">
        <v>126</v>
      </c>
      <c r="I35" s="83"/>
      <c r="J35" s="51" t="s">
        <v>98</v>
      </c>
      <c r="K35" s="84"/>
      <c r="L35" s="48" t="s">
        <v>99</v>
      </c>
      <c r="N35" s="48" t="s">
        <v>111</v>
      </c>
      <c r="O35" s="64"/>
      <c r="P35" s="54">
        <v>45075</v>
      </c>
      <c r="Q35" s="54">
        <v>45082</v>
      </c>
      <c r="R35" s="54">
        <v>45083</v>
      </c>
      <c r="S35" s="85"/>
      <c r="T35" s="86"/>
      <c r="U35" s="54">
        <v>45078</v>
      </c>
      <c r="V35" s="54">
        <v>45082</v>
      </c>
      <c r="W35" s="87"/>
      <c r="X35" s="88" t="s">
        <v>785</v>
      </c>
      <c r="Y35" s="48" t="s">
        <v>785</v>
      </c>
      <c r="Z35" s="48" t="s">
        <v>860</v>
      </c>
      <c r="AA35" s="57" t="str">
        <f t="shared" si="0"/>
        <v/>
      </c>
    </row>
    <row r="36" spans="2:27" ht="3.75" customHeight="1" x14ac:dyDescent="0.25">
      <c r="F36" s="119"/>
      <c r="AA36" s="57" t="str">
        <f t="shared" si="0"/>
        <v/>
      </c>
    </row>
    <row r="37" spans="2:27" x14ac:dyDescent="0.25">
      <c r="B37" s="48" t="s">
        <v>128</v>
      </c>
      <c r="C37" s="59"/>
      <c r="D37" s="49" t="s">
        <v>124</v>
      </c>
      <c r="F37" s="49" t="s">
        <v>125</v>
      </c>
      <c r="G37" s="82"/>
      <c r="H37" s="49" t="s">
        <v>126</v>
      </c>
      <c r="I37" s="83"/>
      <c r="J37" s="51" t="s">
        <v>98</v>
      </c>
      <c r="K37" s="84"/>
      <c r="L37" s="48" t="s">
        <v>99</v>
      </c>
      <c r="N37" s="48" t="s">
        <v>111</v>
      </c>
      <c r="O37" s="64"/>
      <c r="P37" s="54">
        <v>45075</v>
      </c>
      <c r="Q37" s="54">
        <v>45082</v>
      </c>
      <c r="R37" s="54">
        <v>45083</v>
      </c>
      <c r="S37" s="85"/>
      <c r="T37" s="86"/>
      <c r="U37" s="54">
        <v>45078</v>
      </c>
      <c r="V37" s="54">
        <v>45082</v>
      </c>
      <c r="W37" s="87"/>
      <c r="X37" s="88" t="s">
        <v>785</v>
      </c>
      <c r="Y37" s="48" t="s">
        <v>785</v>
      </c>
      <c r="Z37" s="48" t="s">
        <v>860</v>
      </c>
      <c r="AA37" s="57" t="str">
        <f t="shared" si="0"/>
        <v/>
      </c>
    </row>
    <row r="38" spans="2:27" ht="3.75" customHeight="1" x14ac:dyDescent="0.25">
      <c r="F38" s="119"/>
      <c r="AA38" s="57" t="str">
        <f>IFERROR(
IF(AND(X38="Não",Y38="Sim"),"REP",
IF(AND(X38="Sim",Y38="Não"),"Técnico",
IF(AND(X38="Sim",Y38="Sim"),"Ambos",""))),
"")</f>
        <v/>
      </c>
    </row>
    <row r="39" spans="2:27" x14ac:dyDescent="0.25">
      <c r="B39" s="48" t="s">
        <v>129</v>
      </c>
      <c r="C39" s="59"/>
      <c r="D39" s="49" t="s">
        <v>124</v>
      </c>
      <c r="F39" s="49" t="s">
        <v>125</v>
      </c>
      <c r="G39" s="82"/>
      <c r="H39" s="49" t="s">
        <v>126</v>
      </c>
      <c r="I39" s="83"/>
      <c r="J39" s="51" t="s">
        <v>98</v>
      </c>
      <c r="K39" s="84"/>
      <c r="L39" s="48" t="s">
        <v>99</v>
      </c>
      <c r="N39" s="48" t="s">
        <v>111</v>
      </c>
      <c r="O39" s="64"/>
      <c r="P39" s="54">
        <v>45075</v>
      </c>
      <c r="Q39" s="54">
        <v>45082</v>
      </c>
      <c r="R39" s="54">
        <v>45083</v>
      </c>
      <c r="S39" s="85"/>
      <c r="T39" s="86"/>
      <c r="U39" s="54">
        <v>45078</v>
      </c>
      <c r="V39" s="54">
        <v>45082</v>
      </c>
      <c r="W39" s="87"/>
      <c r="X39" s="88" t="s">
        <v>785</v>
      </c>
      <c r="Y39" s="48" t="s">
        <v>785</v>
      </c>
      <c r="Z39" s="48" t="s">
        <v>860</v>
      </c>
      <c r="AA39" s="57" t="str">
        <f t="shared" si="0"/>
        <v/>
      </c>
    </row>
    <row r="40" spans="2:27" ht="3.75" customHeight="1" x14ac:dyDescent="0.25">
      <c r="F40" s="119"/>
      <c r="AA40" s="57" t="str">
        <f t="shared" si="0"/>
        <v/>
      </c>
    </row>
    <row r="41" spans="2:27" x14ac:dyDescent="0.25">
      <c r="B41" s="48" t="s">
        <v>130</v>
      </c>
      <c r="C41" s="59"/>
      <c r="D41" s="49" t="s">
        <v>124</v>
      </c>
      <c r="F41" s="49" t="s">
        <v>125</v>
      </c>
      <c r="G41" s="82"/>
      <c r="H41" s="49" t="s">
        <v>126</v>
      </c>
      <c r="I41" s="83"/>
      <c r="J41" s="51" t="s">
        <v>98</v>
      </c>
      <c r="K41" s="84"/>
      <c r="L41" s="48" t="s">
        <v>99</v>
      </c>
      <c r="N41" s="48" t="s">
        <v>111</v>
      </c>
      <c r="O41" s="64"/>
      <c r="P41" s="54">
        <v>45075</v>
      </c>
      <c r="Q41" s="54">
        <v>45082</v>
      </c>
      <c r="R41" s="54">
        <v>45083</v>
      </c>
      <c r="S41" s="85"/>
      <c r="T41" s="86"/>
      <c r="U41" s="54">
        <v>45078</v>
      </c>
      <c r="V41" s="54">
        <v>45082</v>
      </c>
      <c r="W41" s="87"/>
      <c r="X41" s="88" t="s">
        <v>785</v>
      </c>
      <c r="Y41" s="48" t="s">
        <v>785</v>
      </c>
      <c r="Z41" s="48" t="s">
        <v>860</v>
      </c>
      <c r="AA41" s="57" t="str">
        <f t="shared" si="0"/>
        <v/>
      </c>
    </row>
    <row r="42" spans="2:27" ht="3.75" customHeight="1" x14ac:dyDescent="0.25">
      <c r="F42" s="119"/>
      <c r="AA42" s="57" t="str">
        <f t="shared" si="0"/>
        <v/>
      </c>
    </row>
    <row r="43" spans="2:27" x14ac:dyDescent="0.25">
      <c r="B43" s="48" t="s">
        <v>131</v>
      </c>
      <c r="C43" s="59"/>
      <c r="D43" s="49" t="s">
        <v>124</v>
      </c>
      <c r="F43" s="49" t="s">
        <v>125</v>
      </c>
      <c r="G43" s="82"/>
      <c r="H43" s="49" t="s">
        <v>126</v>
      </c>
      <c r="I43" s="83"/>
      <c r="J43" s="51" t="s">
        <v>98</v>
      </c>
      <c r="K43" s="84"/>
      <c r="L43" s="48" t="s">
        <v>99</v>
      </c>
      <c r="N43" s="48" t="s">
        <v>111</v>
      </c>
      <c r="O43" s="64"/>
      <c r="P43" s="54">
        <v>45075</v>
      </c>
      <c r="Q43" s="54">
        <v>45082</v>
      </c>
      <c r="R43" s="54">
        <v>45083</v>
      </c>
      <c r="S43" s="85"/>
      <c r="T43" s="86"/>
      <c r="U43" s="54">
        <v>45078</v>
      </c>
      <c r="V43" s="54">
        <v>45082</v>
      </c>
      <c r="W43" s="87"/>
      <c r="X43" s="88" t="s">
        <v>785</v>
      </c>
      <c r="Y43" s="48" t="s">
        <v>785</v>
      </c>
      <c r="Z43" s="48" t="s">
        <v>860</v>
      </c>
      <c r="AA43" s="57" t="str">
        <f t="shared" si="0"/>
        <v/>
      </c>
    </row>
    <row r="44" spans="2:27" ht="3.75" customHeight="1" x14ac:dyDescent="0.25">
      <c r="F44" s="119"/>
      <c r="AA44" s="57" t="str">
        <f t="shared" si="0"/>
        <v/>
      </c>
    </row>
    <row r="45" spans="2:27" x14ac:dyDescent="0.25">
      <c r="B45" s="48" t="s">
        <v>132</v>
      </c>
      <c r="C45" s="59"/>
      <c r="D45" s="49" t="s">
        <v>124</v>
      </c>
      <c r="F45" s="49" t="s">
        <v>133</v>
      </c>
      <c r="G45" s="82"/>
      <c r="H45" s="49" t="s">
        <v>126</v>
      </c>
      <c r="I45" s="83"/>
      <c r="J45" s="51" t="s">
        <v>98</v>
      </c>
      <c r="K45" s="84"/>
      <c r="L45" s="48" t="s">
        <v>99</v>
      </c>
      <c r="N45" s="48" t="s">
        <v>111</v>
      </c>
      <c r="O45" s="64"/>
      <c r="P45" s="54">
        <v>45075</v>
      </c>
      <c r="Q45" s="54">
        <v>45082</v>
      </c>
      <c r="R45" s="54">
        <v>45083</v>
      </c>
      <c r="S45" s="85"/>
      <c r="T45" s="86"/>
      <c r="U45" s="54">
        <v>45078</v>
      </c>
      <c r="V45" s="54">
        <v>45082</v>
      </c>
      <c r="W45" s="87"/>
      <c r="X45" s="88" t="s">
        <v>785</v>
      </c>
      <c r="Y45" s="48" t="s">
        <v>785</v>
      </c>
      <c r="Z45" s="48" t="s">
        <v>860</v>
      </c>
      <c r="AA45" s="57" t="str">
        <f t="shared" si="0"/>
        <v/>
      </c>
    </row>
    <row r="46" spans="2:27" ht="3.75" customHeight="1" x14ac:dyDescent="0.25">
      <c r="F46" s="119"/>
      <c r="AA46" s="57" t="str">
        <f t="shared" si="0"/>
        <v/>
      </c>
    </row>
    <row r="47" spans="2:27" x14ac:dyDescent="0.25">
      <c r="B47" s="48" t="s">
        <v>134</v>
      </c>
      <c r="C47" s="59"/>
      <c r="D47" s="49" t="s">
        <v>124</v>
      </c>
      <c r="F47" s="49" t="s">
        <v>125</v>
      </c>
      <c r="G47" s="82"/>
      <c r="H47" s="49" t="s">
        <v>126</v>
      </c>
      <c r="I47" s="83"/>
      <c r="J47" s="51" t="s">
        <v>98</v>
      </c>
      <c r="K47" s="84"/>
      <c r="L47" s="48" t="s">
        <v>99</v>
      </c>
      <c r="N47" s="48" t="s">
        <v>111</v>
      </c>
      <c r="O47" s="64"/>
      <c r="P47" s="54">
        <v>45075</v>
      </c>
      <c r="Q47" s="54">
        <v>45082</v>
      </c>
      <c r="R47" s="54">
        <v>45083</v>
      </c>
      <c r="S47" s="85"/>
      <c r="T47" s="86"/>
      <c r="U47" s="54">
        <v>45079</v>
      </c>
      <c r="V47" s="54">
        <v>45083</v>
      </c>
      <c r="W47" s="87"/>
      <c r="X47" s="88" t="s">
        <v>785</v>
      </c>
      <c r="Y47" s="48" t="s">
        <v>785</v>
      </c>
      <c r="Z47" s="48" t="s">
        <v>860</v>
      </c>
      <c r="AA47" s="57" t="str">
        <f t="shared" si="0"/>
        <v/>
      </c>
    </row>
    <row r="48" spans="2:27" ht="3.75" customHeight="1" x14ac:dyDescent="0.25">
      <c r="F48" s="119"/>
      <c r="AA48" s="57" t="str">
        <f t="shared" si="0"/>
        <v/>
      </c>
    </row>
    <row r="49" spans="2:27" x14ac:dyDescent="0.25">
      <c r="B49" s="48" t="s">
        <v>135</v>
      </c>
      <c r="C49" s="59"/>
      <c r="D49" s="49" t="s">
        <v>124</v>
      </c>
      <c r="F49" s="49" t="s">
        <v>125</v>
      </c>
      <c r="G49" s="82"/>
      <c r="H49" s="49" t="s">
        <v>126</v>
      </c>
      <c r="I49" s="83"/>
      <c r="J49" s="51" t="s">
        <v>98</v>
      </c>
      <c r="K49" s="84"/>
      <c r="L49" s="48" t="s">
        <v>99</v>
      </c>
      <c r="N49" s="48" t="s">
        <v>111</v>
      </c>
      <c r="O49" s="64"/>
      <c r="P49" s="54">
        <v>45075</v>
      </c>
      <c r="Q49" s="54">
        <v>45082</v>
      </c>
      <c r="R49" s="54">
        <v>45083</v>
      </c>
      <c r="S49" s="85"/>
      <c r="T49" s="86"/>
      <c r="U49" s="54">
        <v>45079</v>
      </c>
      <c r="V49" s="54">
        <v>45083</v>
      </c>
      <c r="W49" s="87"/>
      <c r="X49" s="88" t="s">
        <v>785</v>
      </c>
      <c r="Y49" s="48" t="s">
        <v>785</v>
      </c>
      <c r="Z49" s="48" t="s">
        <v>860</v>
      </c>
      <c r="AA49" s="57" t="str">
        <f t="shared" si="0"/>
        <v/>
      </c>
    </row>
    <row r="50" spans="2:27" ht="3.75" customHeight="1" x14ac:dyDescent="0.25">
      <c r="F50" s="119"/>
      <c r="AA50" s="57" t="str">
        <f t="shared" si="0"/>
        <v/>
      </c>
    </row>
    <row r="51" spans="2:27" x14ac:dyDescent="0.25">
      <c r="B51" s="48" t="s">
        <v>136</v>
      </c>
      <c r="C51" s="59"/>
      <c r="D51" s="49" t="s">
        <v>124</v>
      </c>
      <c r="F51" s="49" t="s">
        <v>125</v>
      </c>
      <c r="G51" s="82"/>
      <c r="H51" s="49" t="s">
        <v>126</v>
      </c>
      <c r="I51" s="83"/>
      <c r="J51" s="51" t="s">
        <v>98</v>
      </c>
      <c r="K51" s="84"/>
      <c r="L51" s="48" t="s">
        <v>99</v>
      </c>
      <c r="N51" s="48" t="s">
        <v>111</v>
      </c>
      <c r="O51" s="64"/>
      <c r="P51" s="54">
        <v>45075</v>
      </c>
      <c r="Q51" s="54">
        <v>45082</v>
      </c>
      <c r="R51" s="54">
        <v>45083</v>
      </c>
      <c r="S51" s="85"/>
      <c r="T51" s="86"/>
      <c r="U51" s="54">
        <v>45079</v>
      </c>
      <c r="V51" s="54">
        <v>45083</v>
      </c>
      <c r="W51" s="87"/>
      <c r="X51" s="88" t="s">
        <v>785</v>
      </c>
      <c r="Y51" s="48" t="s">
        <v>785</v>
      </c>
      <c r="Z51" s="48" t="s">
        <v>860</v>
      </c>
      <c r="AA51" s="57" t="str">
        <f t="shared" si="0"/>
        <v/>
      </c>
    </row>
    <row r="52" spans="2:27" ht="3.75" customHeight="1" x14ac:dyDescent="0.25">
      <c r="F52" s="119"/>
      <c r="AA52" s="57" t="str">
        <f t="shared" si="0"/>
        <v/>
      </c>
    </row>
    <row r="53" spans="2:27" x14ac:dyDescent="0.25">
      <c r="B53" s="48" t="s">
        <v>137</v>
      </c>
      <c r="C53" s="59"/>
      <c r="D53" s="49" t="s">
        <v>124</v>
      </c>
      <c r="F53" s="49" t="s">
        <v>125</v>
      </c>
      <c r="G53" s="82"/>
      <c r="H53" s="49" t="s">
        <v>126</v>
      </c>
      <c r="I53" s="83"/>
      <c r="J53" s="51" t="s">
        <v>98</v>
      </c>
      <c r="K53" s="84"/>
      <c r="L53" s="48" t="s">
        <v>99</v>
      </c>
      <c r="N53" s="48" t="s">
        <v>111</v>
      </c>
      <c r="O53" s="64"/>
      <c r="P53" s="54">
        <v>45075</v>
      </c>
      <c r="Q53" s="54">
        <v>45082</v>
      </c>
      <c r="R53" s="54">
        <v>45083</v>
      </c>
      <c r="S53" s="85"/>
      <c r="T53" s="86"/>
      <c r="U53" s="54">
        <v>45079</v>
      </c>
      <c r="V53" s="54">
        <v>45083</v>
      </c>
      <c r="W53" s="87"/>
      <c r="X53" s="88" t="s">
        <v>785</v>
      </c>
      <c r="Y53" s="48" t="s">
        <v>785</v>
      </c>
      <c r="Z53" s="48" t="s">
        <v>860</v>
      </c>
      <c r="AA53" s="57" t="str">
        <f t="shared" si="0"/>
        <v/>
      </c>
    </row>
    <row r="54" spans="2:27" ht="3.75" customHeight="1" x14ac:dyDescent="0.25">
      <c r="F54" s="119"/>
      <c r="AA54" s="57" t="str">
        <f t="shared" si="0"/>
        <v/>
      </c>
    </row>
    <row r="55" spans="2:27" x14ac:dyDescent="0.25">
      <c r="B55" s="48" t="s">
        <v>138</v>
      </c>
      <c r="C55" s="59"/>
      <c r="D55" s="49" t="s">
        <v>124</v>
      </c>
      <c r="F55" s="49" t="s">
        <v>125</v>
      </c>
      <c r="G55" s="82"/>
      <c r="H55" s="49" t="s">
        <v>126</v>
      </c>
      <c r="I55" s="83"/>
      <c r="J55" s="51" t="s">
        <v>98</v>
      </c>
      <c r="K55" s="84"/>
      <c r="L55" s="48" t="s">
        <v>99</v>
      </c>
      <c r="N55" s="48" t="s">
        <v>111</v>
      </c>
      <c r="O55" s="64"/>
      <c r="P55" s="54">
        <v>45082</v>
      </c>
      <c r="Q55" s="54">
        <v>45090</v>
      </c>
      <c r="R55" s="54">
        <v>45091</v>
      </c>
      <c r="S55" s="85"/>
      <c r="T55" s="86"/>
      <c r="U55" s="54">
        <v>45090</v>
      </c>
      <c r="V55" s="54">
        <v>45091</v>
      </c>
      <c r="W55" s="87"/>
      <c r="X55" s="88" t="s">
        <v>785</v>
      </c>
      <c r="Y55" s="48" t="s">
        <v>785</v>
      </c>
      <c r="Z55" s="48" t="s">
        <v>860</v>
      </c>
      <c r="AA55" s="57" t="str">
        <f t="shared" si="0"/>
        <v/>
      </c>
    </row>
    <row r="56" spans="2:27" ht="3.75" customHeight="1" x14ac:dyDescent="0.25">
      <c r="F56" s="119"/>
      <c r="AA56" s="57" t="str">
        <f t="shared" si="0"/>
        <v/>
      </c>
    </row>
    <row r="57" spans="2:27" x14ac:dyDescent="0.25">
      <c r="B57" s="48" t="s">
        <v>139</v>
      </c>
      <c r="C57" s="59"/>
      <c r="D57" s="49" t="s">
        <v>124</v>
      </c>
      <c r="F57" s="49" t="s">
        <v>125</v>
      </c>
      <c r="G57" s="82"/>
      <c r="H57" s="49" t="s">
        <v>126</v>
      </c>
      <c r="I57" s="83"/>
      <c r="J57" s="51" t="s">
        <v>98</v>
      </c>
      <c r="K57" s="84"/>
      <c r="L57" s="48" t="s">
        <v>99</v>
      </c>
      <c r="N57" s="48" t="s">
        <v>111</v>
      </c>
      <c r="O57" s="64"/>
      <c r="P57" s="54">
        <v>45082</v>
      </c>
      <c r="Q57" s="54">
        <v>45090</v>
      </c>
      <c r="R57" s="54">
        <v>45091</v>
      </c>
      <c r="S57" s="85"/>
      <c r="T57" s="86"/>
      <c r="U57" s="54">
        <v>45090</v>
      </c>
      <c r="V57" s="54">
        <v>45091</v>
      </c>
      <c r="W57" s="87"/>
      <c r="X57" s="88" t="s">
        <v>785</v>
      </c>
      <c r="Y57" s="48" t="s">
        <v>785</v>
      </c>
      <c r="Z57" s="48" t="s">
        <v>860</v>
      </c>
      <c r="AA57" s="57" t="str">
        <f t="shared" si="0"/>
        <v/>
      </c>
    </row>
    <row r="58" spans="2:27" ht="3.75" customHeight="1" x14ac:dyDescent="0.25">
      <c r="F58" s="119"/>
      <c r="AA58" s="57" t="str">
        <f t="shared" si="0"/>
        <v/>
      </c>
    </row>
    <row r="59" spans="2:27" x14ac:dyDescent="0.25">
      <c r="B59" s="48" t="s">
        <v>140</v>
      </c>
      <c r="C59" s="59"/>
      <c r="D59" s="49" t="s">
        <v>124</v>
      </c>
      <c r="F59" s="49" t="s">
        <v>125</v>
      </c>
      <c r="G59" s="82"/>
      <c r="H59" s="49" t="s">
        <v>126</v>
      </c>
      <c r="I59" s="83"/>
      <c r="J59" s="51" t="s">
        <v>98</v>
      </c>
      <c r="K59" s="84"/>
      <c r="L59" s="48" t="s">
        <v>99</v>
      </c>
      <c r="N59" s="48" t="s">
        <v>111</v>
      </c>
      <c r="O59" s="64"/>
      <c r="P59" s="54">
        <v>45082</v>
      </c>
      <c r="Q59" s="54">
        <v>45090</v>
      </c>
      <c r="R59" s="54">
        <v>45091</v>
      </c>
      <c r="S59" s="85"/>
      <c r="T59" s="86"/>
      <c r="U59" s="54">
        <v>45090</v>
      </c>
      <c r="V59" s="54">
        <v>45091</v>
      </c>
      <c r="W59" s="87"/>
      <c r="X59" s="88" t="s">
        <v>785</v>
      </c>
      <c r="Y59" s="48" t="s">
        <v>785</v>
      </c>
      <c r="Z59" s="48" t="s">
        <v>860</v>
      </c>
      <c r="AA59" s="57" t="str">
        <f t="shared" si="0"/>
        <v/>
      </c>
    </row>
    <row r="60" spans="2:27" ht="3.75" customHeight="1" x14ac:dyDescent="0.25">
      <c r="F60" s="119"/>
      <c r="AA60" s="57" t="str">
        <f t="shared" si="0"/>
        <v/>
      </c>
    </row>
    <row r="61" spans="2:27" x14ac:dyDescent="0.25">
      <c r="B61" s="48" t="s">
        <v>141</v>
      </c>
      <c r="C61" s="59"/>
      <c r="D61" s="49" t="s">
        <v>124</v>
      </c>
      <c r="F61" s="49" t="s">
        <v>125</v>
      </c>
      <c r="G61" s="82"/>
      <c r="H61" s="49" t="s">
        <v>126</v>
      </c>
      <c r="I61" s="83"/>
      <c r="J61" s="51" t="s">
        <v>98</v>
      </c>
      <c r="K61" s="84"/>
      <c r="L61" s="48" t="s">
        <v>99</v>
      </c>
      <c r="N61" s="48" t="s">
        <v>111</v>
      </c>
      <c r="O61" s="64"/>
      <c r="P61" s="54">
        <v>45082</v>
      </c>
      <c r="Q61" s="54">
        <v>45090</v>
      </c>
      <c r="R61" s="54">
        <v>45091</v>
      </c>
      <c r="S61" s="85"/>
      <c r="T61" s="86"/>
      <c r="U61" s="54">
        <v>45085</v>
      </c>
      <c r="V61" s="54">
        <v>45091</v>
      </c>
      <c r="W61" s="87"/>
      <c r="X61" s="88" t="s">
        <v>785</v>
      </c>
      <c r="Y61" s="48" t="s">
        <v>785</v>
      </c>
      <c r="Z61" s="48" t="s">
        <v>860</v>
      </c>
      <c r="AA61" s="57" t="str">
        <f t="shared" si="0"/>
        <v/>
      </c>
    </row>
    <row r="62" spans="2:27" ht="3.75" customHeight="1" x14ac:dyDescent="0.25">
      <c r="F62" s="119"/>
      <c r="AA62" s="57" t="str">
        <f t="shared" si="0"/>
        <v/>
      </c>
    </row>
    <row r="63" spans="2:27" x14ac:dyDescent="0.25">
      <c r="B63" s="48" t="s">
        <v>142</v>
      </c>
      <c r="C63" s="59"/>
      <c r="D63" s="49" t="s">
        <v>124</v>
      </c>
      <c r="F63" s="49" t="s">
        <v>125</v>
      </c>
      <c r="G63" s="82"/>
      <c r="H63" s="49" t="s">
        <v>126</v>
      </c>
      <c r="I63" s="83"/>
      <c r="J63" s="51" t="s">
        <v>98</v>
      </c>
      <c r="K63" s="84"/>
      <c r="L63" s="48" t="s">
        <v>99</v>
      </c>
      <c r="N63" s="48" t="s">
        <v>111</v>
      </c>
      <c r="O63" s="64"/>
      <c r="P63" s="54">
        <v>45082</v>
      </c>
      <c r="Q63" s="54">
        <v>45090</v>
      </c>
      <c r="R63" s="54">
        <v>45091</v>
      </c>
      <c r="S63" s="85"/>
      <c r="T63" s="86"/>
      <c r="U63" s="54">
        <v>45085</v>
      </c>
      <c r="V63" s="54">
        <v>45091</v>
      </c>
      <c r="W63" s="87"/>
      <c r="X63" s="88" t="s">
        <v>785</v>
      </c>
      <c r="Y63" s="48" t="s">
        <v>785</v>
      </c>
      <c r="Z63" s="48" t="s">
        <v>860</v>
      </c>
      <c r="AA63" s="57" t="str">
        <f t="shared" si="0"/>
        <v/>
      </c>
    </row>
    <row r="64" spans="2:27" ht="3.75" customHeight="1" x14ac:dyDescent="0.25">
      <c r="F64" s="119"/>
      <c r="AA64" s="57" t="str">
        <f t="shared" si="0"/>
        <v/>
      </c>
    </row>
    <row r="65" spans="2:27" x14ac:dyDescent="0.25">
      <c r="B65" s="48" t="s">
        <v>143</v>
      </c>
      <c r="C65" s="59"/>
      <c r="D65" s="49" t="s">
        <v>124</v>
      </c>
      <c r="F65" s="49" t="s">
        <v>125</v>
      </c>
      <c r="G65" s="82"/>
      <c r="H65" s="49" t="s">
        <v>126</v>
      </c>
      <c r="I65" s="83"/>
      <c r="J65" s="51" t="s">
        <v>98</v>
      </c>
      <c r="K65" s="84"/>
      <c r="L65" s="48" t="s">
        <v>99</v>
      </c>
      <c r="N65" s="48" t="s">
        <v>111</v>
      </c>
      <c r="O65" s="64"/>
      <c r="P65" s="54">
        <v>45082</v>
      </c>
      <c r="Q65" s="54">
        <v>45090</v>
      </c>
      <c r="R65" s="54">
        <v>45091</v>
      </c>
      <c r="S65" s="85"/>
      <c r="T65" s="86"/>
      <c r="U65" s="54">
        <v>45085</v>
      </c>
      <c r="V65" s="54">
        <v>45091</v>
      </c>
      <c r="W65" s="87"/>
      <c r="X65" s="88" t="s">
        <v>785</v>
      </c>
      <c r="Y65" s="48" t="s">
        <v>785</v>
      </c>
      <c r="Z65" s="48" t="s">
        <v>860</v>
      </c>
      <c r="AA65" s="57" t="str">
        <f t="shared" si="0"/>
        <v/>
      </c>
    </row>
    <row r="66" spans="2:27" ht="3.75" customHeight="1" x14ac:dyDescent="0.25">
      <c r="F66" s="119"/>
      <c r="AA66" s="57" t="str">
        <f t="shared" si="0"/>
        <v/>
      </c>
    </row>
    <row r="67" spans="2:27" x14ac:dyDescent="0.25">
      <c r="B67" s="48" t="s">
        <v>144</v>
      </c>
      <c r="C67" s="59"/>
      <c r="D67" s="49" t="s">
        <v>124</v>
      </c>
      <c r="F67" s="49" t="s">
        <v>125</v>
      </c>
      <c r="G67" s="82"/>
      <c r="H67" s="49" t="s">
        <v>126</v>
      </c>
      <c r="I67" s="83"/>
      <c r="J67" s="51" t="s">
        <v>98</v>
      </c>
      <c r="K67" s="84"/>
      <c r="L67" s="48" t="s">
        <v>99</v>
      </c>
      <c r="N67" s="48" t="s">
        <v>111</v>
      </c>
      <c r="O67" s="64"/>
      <c r="P67" s="54">
        <v>45082</v>
      </c>
      <c r="Q67" s="54">
        <v>45090</v>
      </c>
      <c r="R67" s="54">
        <v>45091</v>
      </c>
      <c r="S67" s="85"/>
      <c r="T67" s="86"/>
      <c r="U67" s="54">
        <v>45085</v>
      </c>
      <c r="V67" s="54">
        <v>45091</v>
      </c>
      <c r="W67" s="87"/>
      <c r="X67" s="88" t="s">
        <v>785</v>
      </c>
      <c r="Y67" s="48" t="s">
        <v>785</v>
      </c>
      <c r="Z67" s="48" t="s">
        <v>860</v>
      </c>
      <c r="AA67" s="57" t="str">
        <f t="shared" si="0"/>
        <v/>
      </c>
    </row>
    <row r="68" spans="2:27" ht="3.75" customHeight="1" x14ac:dyDescent="0.25">
      <c r="F68" s="119"/>
      <c r="AA68" s="57" t="str">
        <f t="shared" si="0"/>
        <v/>
      </c>
    </row>
    <row r="69" spans="2:27" x14ac:dyDescent="0.25">
      <c r="B69" s="48" t="s">
        <v>145</v>
      </c>
      <c r="C69" s="59"/>
      <c r="D69" s="49" t="s">
        <v>124</v>
      </c>
      <c r="F69" s="49" t="s">
        <v>125</v>
      </c>
      <c r="G69" s="82"/>
      <c r="H69" s="49" t="s">
        <v>126</v>
      </c>
      <c r="I69" s="83"/>
      <c r="J69" s="51" t="s">
        <v>98</v>
      </c>
      <c r="K69" s="84"/>
      <c r="L69" s="48" t="s">
        <v>99</v>
      </c>
      <c r="N69" s="48" t="s">
        <v>111</v>
      </c>
      <c r="O69" s="64"/>
      <c r="P69" s="54">
        <v>45082</v>
      </c>
      <c r="Q69" s="54">
        <v>45090</v>
      </c>
      <c r="R69" s="54">
        <v>45091</v>
      </c>
      <c r="S69" s="85"/>
      <c r="T69" s="86"/>
      <c r="U69" s="54">
        <v>45085</v>
      </c>
      <c r="V69" s="54">
        <v>45091</v>
      </c>
      <c r="W69" s="87"/>
      <c r="X69" s="88" t="s">
        <v>785</v>
      </c>
      <c r="Y69" s="48" t="s">
        <v>785</v>
      </c>
      <c r="Z69" s="48" t="s">
        <v>860</v>
      </c>
      <c r="AA69" s="57" t="str">
        <f t="shared" si="0"/>
        <v/>
      </c>
    </row>
    <row r="70" spans="2:27" ht="3.75" customHeight="1" x14ac:dyDescent="0.25">
      <c r="F70" s="119"/>
      <c r="AA70" s="57" t="str">
        <f t="shared" si="0"/>
        <v/>
      </c>
    </row>
    <row r="71" spans="2:27" x14ac:dyDescent="0.25">
      <c r="B71" s="48" t="s">
        <v>146</v>
      </c>
      <c r="C71" s="59"/>
      <c r="D71" s="49" t="s">
        <v>124</v>
      </c>
      <c r="F71" s="49" t="s">
        <v>125</v>
      </c>
      <c r="G71" s="82"/>
      <c r="H71" s="49" t="s">
        <v>126</v>
      </c>
      <c r="I71" s="83"/>
      <c r="J71" s="51" t="s">
        <v>98</v>
      </c>
      <c r="K71" s="84"/>
      <c r="L71" s="48" t="s">
        <v>99</v>
      </c>
      <c r="N71" s="48" t="s">
        <v>111</v>
      </c>
      <c r="O71" s="64"/>
      <c r="P71" s="54">
        <v>45082</v>
      </c>
      <c r="Q71" s="54">
        <v>45090</v>
      </c>
      <c r="R71" s="54">
        <v>45091</v>
      </c>
      <c r="S71" s="85"/>
      <c r="T71" s="86"/>
      <c r="U71" s="54">
        <v>45085</v>
      </c>
      <c r="V71" s="54">
        <v>45091</v>
      </c>
      <c r="W71" s="87"/>
      <c r="X71" s="88" t="s">
        <v>785</v>
      </c>
      <c r="Y71" s="48" t="s">
        <v>785</v>
      </c>
      <c r="Z71" s="48" t="s">
        <v>860</v>
      </c>
      <c r="AA71" s="57" t="str">
        <f t="shared" si="0"/>
        <v/>
      </c>
    </row>
    <row r="72" spans="2:27" x14ac:dyDescent="0.25">
      <c r="B72" s="48" t="s">
        <v>147</v>
      </c>
      <c r="C72" s="59"/>
      <c r="D72" s="49" t="s">
        <v>124</v>
      </c>
      <c r="F72" s="49" t="s">
        <v>125</v>
      </c>
      <c r="G72" s="82"/>
      <c r="H72" s="49" t="s">
        <v>126</v>
      </c>
      <c r="I72" s="83"/>
      <c r="J72" s="51" t="s">
        <v>98</v>
      </c>
      <c r="K72" s="84"/>
      <c r="L72" s="48" t="s">
        <v>99</v>
      </c>
      <c r="N72" s="48" t="s">
        <v>100</v>
      </c>
      <c r="O72" s="64"/>
      <c r="P72" s="54">
        <v>45093</v>
      </c>
      <c r="Q72" s="54">
        <v>45097</v>
      </c>
      <c r="R72" s="54">
        <v>45099</v>
      </c>
      <c r="S72" s="85"/>
      <c r="T72" s="86"/>
      <c r="U72" s="54">
        <v>45098</v>
      </c>
      <c r="V72" s="54">
        <v>45099</v>
      </c>
      <c r="W72" s="87"/>
      <c r="X72" s="88" t="s">
        <v>786</v>
      </c>
      <c r="Y72" s="48" t="s">
        <v>785</v>
      </c>
      <c r="Z72" s="48" t="s">
        <v>860</v>
      </c>
      <c r="AA72" s="57" t="str">
        <f t="shared" si="0"/>
        <v>Técnico</v>
      </c>
    </row>
    <row r="73" spans="2:27" ht="3.75" customHeight="1" x14ac:dyDescent="0.25">
      <c r="F73" s="119"/>
      <c r="AA73" s="57" t="str">
        <f t="shared" si="0"/>
        <v/>
      </c>
    </row>
    <row r="74" spans="2:27" x14ac:dyDescent="0.25">
      <c r="B74" s="48" t="s">
        <v>148</v>
      </c>
      <c r="C74" s="59"/>
      <c r="D74" s="49" t="s">
        <v>124</v>
      </c>
      <c r="F74" s="49" t="s">
        <v>125</v>
      </c>
      <c r="G74" s="82"/>
      <c r="H74" s="49" t="s">
        <v>126</v>
      </c>
      <c r="I74" s="83"/>
      <c r="J74" s="51" t="s">
        <v>98</v>
      </c>
      <c r="K74" s="84"/>
      <c r="L74" s="48" t="s">
        <v>99</v>
      </c>
      <c r="N74" s="48" t="s">
        <v>100</v>
      </c>
      <c r="O74" s="64"/>
      <c r="P74" s="54">
        <v>45097</v>
      </c>
      <c r="Q74" s="54">
        <v>45100</v>
      </c>
      <c r="R74" s="54">
        <v>45104</v>
      </c>
      <c r="S74" s="85"/>
      <c r="T74" s="86"/>
      <c r="U74" s="54">
        <v>45098</v>
      </c>
      <c r="V74" s="54">
        <v>45099</v>
      </c>
      <c r="W74" s="87"/>
      <c r="X74" s="88" t="s">
        <v>785</v>
      </c>
      <c r="Y74" s="48" t="s">
        <v>785</v>
      </c>
      <c r="Z74" s="48" t="s">
        <v>860</v>
      </c>
      <c r="AA74" s="57" t="str">
        <f t="shared" si="0"/>
        <v/>
      </c>
    </row>
    <row r="75" spans="2:27" ht="3.75" customHeight="1" x14ac:dyDescent="0.25">
      <c r="F75" s="119"/>
      <c r="AA75" s="57" t="str">
        <f t="shared" si="0"/>
        <v/>
      </c>
    </row>
    <row r="76" spans="2:27" x14ac:dyDescent="0.25">
      <c r="B76" s="48" t="s">
        <v>149</v>
      </c>
      <c r="C76" s="59"/>
      <c r="D76" s="49" t="s">
        <v>124</v>
      </c>
      <c r="F76" s="49" t="s">
        <v>125</v>
      </c>
      <c r="G76" s="82"/>
      <c r="H76" s="49" t="s">
        <v>126</v>
      </c>
      <c r="I76" s="83"/>
      <c r="J76" s="51" t="s">
        <v>98</v>
      </c>
      <c r="K76" s="84"/>
      <c r="L76" s="48" t="s">
        <v>99</v>
      </c>
      <c r="N76" s="48" t="s">
        <v>100</v>
      </c>
      <c r="O76" s="64"/>
      <c r="P76" s="54">
        <v>45097</v>
      </c>
      <c r="Q76" s="54">
        <v>45100</v>
      </c>
      <c r="R76" s="54">
        <v>45104</v>
      </c>
      <c r="S76" s="85"/>
      <c r="T76" s="86"/>
      <c r="U76" s="54">
        <v>45098</v>
      </c>
      <c r="V76" s="54">
        <v>45099</v>
      </c>
      <c r="W76" s="87"/>
      <c r="X76" s="88" t="s">
        <v>785</v>
      </c>
      <c r="Y76" s="48" t="s">
        <v>785</v>
      </c>
      <c r="Z76" s="48" t="s">
        <v>860</v>
      </c>
      <c r="AA76" s="57" t="str">
        <f t="shared" ref="AA76:AA139" si="1">IFERROR(
IF(AND(X76="Não",Y76="Sim"),"REP",
IF(AND(X76="Sim",Y76="Não"),"Técnico",
IF(AND(X76="Sim",Y76="Sim"),"Ambos",""))),
"")</f>
        <v/>
      </c>
    </row>
    <row r="77" spans="2:27" ht="3.75" customHeight="1" x14ac:dyDescent="0.25">
      <c r="F77" s="119"/>
      <c r="AA77" s="57" t="str">
        <f t="shared" si="1"/>
        <v/>
      </c>
    </row>
    <row r="78" spans="2:27" s="101" customFormat="1" x14ac:dyDescent="0.25">
      <c r="B78" s="102" t="s">
        <v>150</v>
      </c>
      <c r="C78" s="103"/>
      <c r="D78" s="104" t="s">
        <v>151</v>
      </c>
      <c r="F78" s="104" t="s">
        <v>152</v>
      </c>
      <c r="G78" s="105"/>
      <c r="H78" s="104" t="s">
        <v>153</v>
      </c>
      <c r="I78" s="106"/>
      <c r="J78" s="107" t="s">
        <v>105</v>
      </c>
      <c r="K78" s="108"/>
      <c r="L78" s="102" t="s">
        <v>99</v>
      </c>
      <c r="M78" s="109"/>
      <c r="N78" s="102" t="s">
        <v>100</v>
      </c>
      <c r="O78" s="110"/>
      <c r="P78" s="111">
        <v>45021</v>
      </c>
      <c r="Q78" s="111">
        <v>45079</v>
      </c>
      <c r="R78" s="111">
        <v>45083</v>
      </c>
      <c r="S78" s="112"/>
      <c r="T78" s="113"/>
      <c r="U78" s="111">
        <v>45082</v>
      </c>
      <c r="V78" s="111">
        <v>45093</v>
      </c>
      <c r="W78" s="114"/>
      <c r="X78" s="115" t="s">
        <v>786</v>
      </c>
      <c r="Y78" s="102" t="s">
        <v>786</v>
      </c>
      <c r="Z78" s="102" t="s">
        <v>859</v>
      </c>
      <c r="AA78" s="116" t="str">
        <f t="shared" si="1"/>
        <v>Ambos</v>
      </c>
    </row>
    <row r="79" spans="2:27" ht="3.75" customHeight="1" x14ac:dyDescent="0.25">
      <c r="F79" s="119"/>
      <c r="AA79" s="57" t="str">
        <f t="shared" si="1"/>
        <v/>
      </c>
    </row>
    <row r="80" spans="2:27" s="101" customFormat="1" x14ac:dyDescent="0.25">
      <c r="B80" s="102" t="s">
        <v>150</v>
      </c>
      <c r="C80" s="103"/>
      <c r="D80" s="104" t="s">
        <v>151</v>
      </c>
      <c r="F80" s="104" t="s">
        <v>152</v>
      </c>
      <c r="G80" s="105"/>
      <c r="H80" s="104" t="s">
        <v>153</v>
      </c>
      <c r="I80" s="106"/>
      <c r="J80" s="107" t="s">
        <v>105</v>
      </c>
      <c r="K80" s="108"/>
      <c r="L80" s="102" t="s">
        <v>99</v>
      </c>
      <c r="M80" s="109"/>
      <c r="N80" s="102" t="s">
        <v>100</v>
      </c>
      <c r="O80" s="110"/>
      <c r="P80" s="111">
        <v>45021</v>
      </c>
      <c r="Q80" s="111">
        <v>45079</v>
      </c>
      <c r="R80" s="111">
        <v>45083</v>
      </c>
      <c r="S80" s="112"/>
      <c r="T80" s="113"/>
      <c r="U80" s="111">
        <v>45089</v>
      </c>
      <c r="V80" s="111">
        <v>45093</v>
      </c>
      <c r="W80" s="114"/>
      <c r="X80" s="115" t="s">
        <v>786</v>
      </c>
      <c r="Y80" s="102" t="s">
        <v>786</v>
      </c>
      <c r="Z80" s="102" t="s">
        <v>859</v>
      </c>
      <c r="AA80" s="116" t="str">
        <f t="shared" si="1"/>
        <v>Ambos</v>
      </c>
    </row>
    <row r="81" spans="2:27" ht="3.75" customHeight="1" x14ac:dyDescent="0.25">
      <c r="F81" s="119"/>
      <c r="AA81" s="57" t="str">
        <f t="shared" si="1"/>
        <v/>
      </c>
    </row>
    <row r="82" spans="2:27" x14ac:dyDescent="0.25">
      <c r="B82" s="48" t="s">
        <v>154</v>
      </c>
      <c r="C82" s="59"/>
      <c r="D82" s="49" t="s">
        <v>155</v>
      </c>
      <c r="F82" s="49" t="s">
        <v>156</v>
      </c>
      <c r="G82" s="82"/>
      <c r="H82" s="49" t="s">
        <v>157</v>
      </c>
      <c r="I82" s="83"/>
      <c r="J82" s="51" t="s">
        <v>110</v>
      </c>
      <c r="K82" s="84"/>
      <c r="L82" s="48" t="s">
        <v>99</v>
      </c>
      <c r="N82" s="48" t="s">
        <v>110</v>
      </c>
      <c r="O82" s="64"/>
      <c r="P82" s="54">
        <v>45002</v>
      </c>
      <c r="Q82" s="54">
        <v>45098</v>
      </c>
      <c r="R82" s="54">
        <v>45100</v>
      </c>
      <c r="S82" s="85"/>
      <c r="T82" s="86"/>
      <c r="U82" s="54">
        <v>45089</v>
      </c>
      <c r="V82" s="54">
        <v>45100</v>
      </c>
      <c r="W82" s="87"/>
      <c r="X82" s="88" t="s">
        <v>785</v>
      </c>
      <c r="Y82" s="48" t="s">
        <v>785</v>
      </c>
      <c r="Z82" s="48" t="s">
        <v>860</v>
      </c>
      <c r="AA82" s="57" t="str">
        <f t="shared" si="1"/>
        <v/>
      </c>
    </row>
    <row r="83" spans="2:27" ht="3.75" customHeight="1" x14ac:dyDescent="0.25">
      <c r="F83" s="119"/>
      <c r="AA83" s="57" t="str">
        <f t="shared" si="1"/>
        <v/>
      </c>
    </row>
    <row r="84" spans="2:27" x14ac:dyDescent="0.25">
      <c r="B84" s="48" t="s">
        <v>158</v>
      </c>
      <c r="C84" s="59"/>
      <c r="D84" s="49" t="s">
        <v>159</v>
      </c>
      <c r="F84" s="49" t="s">
        <v>160</v>
      </c>
      <c r="G84" s="82"/>
      <c r="H84" s="49" t="s">
        <v>161</v>
      </c>
      <c r="I84" s="83"/>
      <c r="J84" s="51" t="s">
        <v>110</v>
      </c>
      <c r="K84" s="84"/>
      <c r="L84" s="48" t="s">
        <v>99</v>
      </c>
      <c r="N84" s="48" t="s">
        <v>100</v>
      </c>
      <c r="O84" s="64"/>
      <c r="P84" s="54">
        <v>44978</v>
      </c>
      <c r="Q84" s="54">
        <v>45096</v>
      </c>
      <c r="R84" s="54">
        <v>45098</v>
      </c>
      <c r="S84" s="85"/>
      <c r="T84" s="86"/>
      <c r="U84" s="54">
        <v>45091</v>
      </c>
      <c r="V84" s="54">
        <v>45096</v>
      </c>
      <c r="W84" s="87"/>
      <c r="X84" s="88" t="s">
        <v>785</v>
      </c>
      <c r="Y84" s="48" t="s">
        <v>785</v>
      </c>
      <c r="Z84" s="48" t="s">
        <v>860</v>
      </c>
      <c r="AA84" s="57" t="str">
        <f t="shared" si="1"/>
        <v/>
      </c>
    </row>
    <row r="85" spans="2:27" ht="3.75" customHeight="1" x14ac:dyDescent="0.25">
      <c r="F85" s="119"/>
      <c r="AA85" s="57" t="str">
        <f t="shared" si="1"/>
        <v/>
      </c>
    </row>
    <row r="86" spans="2:27" s="101" customFormat="1" x14ac:dyDescent="0.25">
      <c r="B86" s="102" t="s">
        <v>162</v>
      </c>
      <c r="C86" s="103"/>
      <c r="D86" s="104" t="s">
        <v>163</v>
      </c>
      <c r="F86" s="104" t="s">
        <v>164</v>
      </c>
      <c r="G86" s="105"/>
      <c r="H86" s="104" t="s">
        <v>165</v>
      </c>
      <c r="I86" s="106"/>
      <c r="J86" s="107" t="s">
        <v>111</v>
      </c>
      <c r="K86" s="108"/>
      <c r="L86" s="102" t="s">
        <v>99</v>
      </c>
      <c r="M86" s="109"/>
      <c r="N86" s="102" t="s">
        <v>166</v>
      </c>
      <c r="O86" s="110"/>
      <c r="P86" s="111">
        <v>45075</v>
      </c>
      <c r="Q86" s="111">
        <v>45091</v>
      </c>
      <c r="R86" s="111">
        <v>45093</v>
      </c>
      <c r="S86" s="112"/>
      <c r="T86" s="113"/>
      <c r="U86" s="111">
        <v>45097</v>
      </c>
      <c r="V86" s="111">
        <v>45097</v>
      </c>
      <c r="W86" s="114"/>
      <c r="X86" s="115" t="s">
        <v>786</v>
      </c>
      <c r="Y86" s="102" t="s">
        <v>786</v>
      </c>
      <c r="Z86" s="102" t="s">
        <v>859</v>
      </c>
      <c r="AA86" s="116" t="str">
        <f t="shared" si="1"/>
        <v>Ambos</v>
      </c>
    </row>
    <row r="87" spans="2:27" ht="3.75" customHeight="1" x14ac:dyDescent="0.25">
      <c r="F87" s="119"/>
      <c r="AA87" s="57" t="str">
        <f t="shared" si="1"/>
        <v/>
      </c>
    </row>
    <row r="88" spans="2:27" s="101" customFormat="1" x14ac:dyDescent="0.25">
      <c r="B88" s="102" t="s">
        <v>162</v>
      </c>
      <c r="C88" s="103"/>
      <c r="D88" s="104" t="s">
        <v>167</v>
      </c>
      <c r="F88" s="104" t="s">
        <v>164</v>
      </c>
      <c r="G88" s="105"/>
      <c r="H88" s="104" t="s">
        <v>165</v>
      </c>
      <c r="I88" s="106"/>
      <c r="J88" s="107" t="s">
        <v>111</v>
      </c>
      <c r="K88" s="108"/>
      <c r="L88" s="102" t="s">
        <v>99</v>
      </c>
      <c r="M88" s="109"/>
      <c r="N88" s="102" t="s">
        <v>166</v>
      </c>
      <c r="O88" s="110"/>
      <c r="P88" s="111">
        <v>45075</v>
      </c>
      <c r="Q88" s="111">
        <v>45091</v>
      </c>
      <c r="R88" s="111">
        <v>45093</v>
      </c>
      <c r="S88" s="112"/>
      <c r="T88" s="113"/>
      <c r="U88" s="111">
        <v>45097</v>
      </c>
      <c r="V88" s="111">
        <v>45097</v>
      </c>
      <c r="W88" s="114"/>
      <c r="X88" s="115" t="s">
        <v>786</v>
      </c>
      <c r="Y88" s="102" t="s">
        <v>786</v>
      </c>
      <c r="Z88" s="102" t="s">
        <v>859</v>
      </c>
      <c r="AA88" s="116" t="str">
        <f t="shared" si="1"/>
        <v>Ambos</v>
      </c>
    </row>
    <row r="89" spans="2:27" ht="3.75" customHeight="1" x14ac:dyDescent="0.25">
      <c r="F89" s="119"/>
      <c r="AA89" s="57" t="str">
        <f t="shared" si="1"/>
        <v/>
      </c>
    </row>
    <row r="90" spans="2:27" x14ac:dyDescent="0.25">
      <c r="B90" s="48" t="s">
        <v>168</v>
      </c>
      <c r="C90" s="59"/>
      <c r="D90" s="49" t="s">
        <v>169</v>
      </c>
      <c r="F90" s="49" t="s">
        <v>170</v>
      </c>
      <c r="G90" s="82"/>
      <c r="H90" s="49" t="s">
        <v>171</v>
      </c>
      <c r="I90" s="83"/>
      <c r="J90" s="51" t="s">
        <v>110</v>
      </c>
      <c r="K90" s="84"/>
      <c r="L90" s="48" t="s">
        <v>99</v>
      </c>
      <c r="N90" s="48" t="s">
        <v>100</v>
      </c>
      <c r="O90" s="64"/>
      <c r="P90" s="54">
        <v>45090</v>
      </c>
      <c r="Q90" s="54">
        <v>45103</v>
      </c>
      <c r="R90" s="54">
        <v>45105</v>
      </c>
      <c r="S90" s="85"/>
      <c r="T90" s="86"/>
      <c r="U90" s="54">
        <v>45100</v>
      </c>
      <c r="V90" s="54">
        <v>45105</v>
      </c>
      <c r="W90" s="87"/>
      <c r="X90" s="88" t="s">
        <v>785</v>
      </c>
      <c r="Y90" s="48" t="s">
        <v>785</v>
      </c>
      <c r="Z90" s="48" t="s">
        <v>859</v>
      </c>
      <c r="AA90" s="57" t="str">
        <f t="shared" si="1"/>
        <v/>
      </c>
    </row>
    <row r="91" spans="2:27" ht="3.75" customHeight="1" x14ac:dyDescent="0.25">
      <c r="F91" s="119"/>
      <c r="AA91" s="57" t="str">
        <f t="shared" si="1"/>
        <v/>
      </c>
    </row>
    <row r="92" spans="2:27" x14ac:dyDescent="0.25">
      <c r="B92" s="48" t="s">
        <v>172</v>
      </c>
      <c r="C92" s="59"/>
      <c r="D92" s="49" t="s">
        <v>173</v>
      </c>
      <c r="F92" s="49" t="s">
        <v>174</v>
      </c>
      <c r="G92" s="82"/>
      <c r="H92" s="49" t="s">
        <v>175</v>
      </c>
      <c r="I92" s="83"/>
      <c r="J92" s="51" t="s">
        <v>98</v>
      </c>
      <c r="K92" s="84"/>
      <c r="L92" s="48" t="s">
        <v>99</v>
      </c>
      <c r="N92" s="48" t="s">
        <v>100</v>
      </c>
      <c r="O92" s="64"/>
      <c r="P92" s="54">
        <v>45044</v>
      </c>
      <c r="Q92" s="54">
        <v>45077</v>
      </c>
      <c r="R92" s="54">
        <v>45079</v>
      </c>
      <c r="S92" s="85"/>
      <c r="T92" s="86"/>
      <c r="U92" s="54">
        <v>45069</v>
      </c>
      <c r="V92" s="54">
        <v>45078</v>
      </c>
      <c r="W92" s="87"/>
      <c r="X92" s="88" t="s">
        <v>785</v>
      </c>
      <c r="Y92" s="48" t="s">
        <v>785</v>
      </c>
      <c r="Z92" s="48" t="s">
        <v>860</v>
      </c>
      <c r="AA92" s="57" t="str">
        <f t="shared" si="1"/>
        <v/>
      </c>
    </row>
    <row r="93" spans="2:27" ht="3.75" customHeight="1" x14ac:dyDescent="0.25">
      <c r="F93" s="119"/>
      <c r="AA93" s="57" t="str">
        <f t="shared" si="1"/>
        <v/>
      </c>
    </row>
    <row r="94" spans="2:27" s="101" customFormat="1" x14ac:dyDescent="0.25">
      <c r="B94" s="102" t="s">
        <v>176</v>
      </c>
      <c r="C94" s="103"/>
      <c r="D94" s="104" t="s">
        <v>173</v>
      </c>
      <c r="F94" s="104" t="s">
        <v>177</v>
      </c>
      <c r="G94" s="105"/>
      <c r="H94" s="104" t="s">
        <v>178</v>
      </c>
      <c r="I94" s="106"/>
      <c r="J94" s="107" t="s">
        <v>98</v>
      </c>
      <c r="K94" s="108"/>
      <c r="L94" s="102" t="s">
        <v>99</v>
      </c>
      <c r="M94" s="109"/>
      <c r="N94" s="102" t="s">
        <v>100</v>
      </c>
      <c r="O94" s="110"/>
      <c r="P94" s="111">
        <v>45044</v>
      </c>
      <c r="Q94" s="111">
        <v>45077</v>
      </c>
      <c r="R94" s="111">
        <v>45079</v>
      </c>
      <c r="S94" s="112"/>
      <c r="T94" s="113"/>
      <c r="U94" s="111">
        <v>45082</v>
      </c>
      <c r="V94" s="111">
        <v>45090</v>
      </c>
      <c r="W94" s="114"/>
      <c r="X94" s="115" t="s">
        <v>786</v>
      </c>
      <c r="Y94" s="102" t="s">
        <v>786</v>
      </c>
      <c r="Z94" s="102" t="s">
        <v>860</v>
      </c>
      <c r="AA94" s="116" t="str">
        <f t="shared" si="1"/>
        <v>Ambos</v>
      </c>
    </row>
    <row r="95" spans="2:27" ht="3.75" customHeight="1" x14ac:dyDescent="0.25">
      <c r="F95" s="119"/>
      <c r="AA95" s="57" t="str">
        <f t="shared" si="1"/>
        <v/>
      </c>
    </row>
    <row r="96" spans="2:27" s="101" customFormat="1" x14ac:dyDescent="0.25">
      <c r="B96" s="102" t="s">
        <v>179</v>
      </c>
      <c r="C96" s="103"/>
      <c r="D96" s="104" t="s">
        <v>173</v>
      </c>
      <c r="F96" s="104" t="s">
        <v>177</v>
      </c>
      <c r="G96" s="105"/>
      <c r="H96" s="104" t="s">
        <v>180</v>
      </c>
      <c r="I96" s="106"/>
      <c r="J96" s="107" t="s">
        <v>98</v>
      </c>
      <c r="K96" s="108"/>
      <c r="L96" s="102" t="s">
        <v>99</v>
      </c>
      <c r="M96" s="109"/>
      <c r="N96" s="102" t="s">
        <v>100</v>
      </c>
      <c r="O96" s="110"/>
      <c r="P96" s="111">
        <v>45044</v>
      </c>
      <c r="Q96" s="111">
        <v>45077</v>
      </c>
      <c r="R96" s="111">
        <v>45079</v>
      </c>
      <c r="S96" s="112"/>
      <c r="T96" s="113"/>
      <c r="U96" s="111">
        <v>45082</v>
      </c>
      <c r="V96" s="111">
        <v>45085</v>
      </c>
      <c r="W96" s="114"/>
      <c r="X96" s="115" t="s">
        <v>786</v>
      </c>
      <c r="Y96" s="102" t="s">
        <v>786</v>
      </c>
      <c r="Z96" s="102" t="s">
        <v>860</v>
      </c>
      <c r="AA96" s="116" t="str">
        <f t="shared" si="1"/>
        <v>Ambos</v>
      </c>
    </row>
    <row r="97" spans="2:27" ht="3.75" customHeight="1" x14ac:dyDescent="0.25">
      <c r="F97" s="119"/>
      <c r="AA97" s="57" t="str">
        <f t="shared" si="1"/>
        <v/>
      </c>
    </row>
    <row r="98" spans="2:27" s="101" customFormat="1" x14ac:dyDescent="0.25">
      <c r="B98" s="102" t="s">
        <v>181</v>
      </c>
      <c r="C98" s="103"/>
      <c r="D98" s="104" t="s">
        <v>173</v>
      </c>
      <c r="F98" s="104" t="s">
        <v>174</v>
      </c>
      <c r="G98" s="105"/>
      <c r="H98" s="104" t="s">
        <v>182</v>
      </c>
      <c r="I98" s="106"/>
      <c r="J98" s="107" t="s">
        <v>98</v>
      </c>
      <c r="K98" s="108"/>
      <c r="L98" s="102" t="s">
        <v>99</v>
      </c>
      <c r="M98" s="109"/>
      <c r="N98" s="102" t="s">
        <v>100</v>
      </c>
      <c r="O98" s="110"/>
      <c r="P98" s="111">
        <v>45044</v>
      </c>
      <c r="Q98" s="111">
        <v>45077</v>
      </c>
      <c r="R98" s="111">
        <v>45079</v>
      </c>
      <c r="S98" s="112"/>
      <c r="T98" s="113"/>
      <c r="U98" s="111">
        <v>45085</v>
      </c>
      <c r="V98" s="111">
        <v>45085</v>
      </c>
      <c r="W98" s="114"/>
      <c r="X98" s="115" t="s">
        <v>786</v>
      </c>
      <c r="Y98" s="102" t="s">
        <v>786</v>
      </c>
      <c r="Z98" s="102" t="s">
        <v>860</v>
      </c>
      <c r="AA98" s="116" t="str">
        <f t="shared" si="1"/>
        <v>Ambos</v>
      </c>
    </row>
    <row r="99" spans="2:27" ht="3.75" customHeight="1" x14ac:dyDescent="0.25">
      <c r="F99" s="119"/>
      <c r="AA99" s="57" t="str">
        <f t="shared" si="1"/>
        <v/>
      </c>
    </row>
    <row r="100" spans="2:27" s="101" customFormat="1" x14ac:dyDescent="0.25">
      <c r="B100" s="102" t="s">
        <v>183</v>
      </c>
      <c r="C100" s="103"/>
      <c r="D100" s="104" t="s">
        <v>184</v>
      </c>
      <c r="F100" s="104" t="s">
        <v>185</v>
      </c>
      <c r="G100" s="105"/>
      <c r="H100" s="104" t="s">
        <v>186</v>
      </c>
      <c r="I100" s="106"/>
      <c r="J100" s="107" t="s">
        <v>105</v>
      </c>
      <c r="K100" s="108"/>
      <c r="L100" s="102" t="s">
        <v>99</v>
      </c>
      <c r="M100" s="109"/>
      <c r="N100" s="102" t="s">
        <v>100</v>
      </c>
      <c r="O100" s="110"/>
      <c r="P100" s="111">
        <v>44985</v>
      </c>
      <c r="Q100" s="111">
        <v>45096</v>
      </c>
      <c r="R100" s="111">
        <v>45098</v>
      </c>
      <c r="S100" s="112"/>
      <c r="T100" s="113"/>
      <c r="U100" s="111">
        <v>45111</v>
      </c>
      <c r="V100" s="111">
        <v>45113</v>
      </c>
      <c r="W100" s="114"/>
      <c r="X100" s="115" t="s">
        <v>786</v>
      </c>
      <c r="Y100" s="102" t="s">
        <v>786</v>
      </c>
      <c r="Z100" s="102" t="s">
        <v>860</v>
      </c>
      <c r="AA100" s="116" t="str">
        <f t="shared" si="1"/>
        <v>Ambos</v>
      </c>
    </row>
    <row r="101" spans="2:27" ht="3.75" customHeight="1" x14ac:dyDescent="0.25">
      <c r="F101" s="119"/>
      <c r="AA101" s="57" t="str">
        <f t="shared" si="1"/>
        <v/>
      </c>
    </row>
    <row r="102" spans="2:27" x14ac:dyDescent="0.25">
      <c r="B102" s="48" t="s">
        <v>187</v>
      </c>
      <c r="C102" s="59"/>
      <c r="D102" s="49" t="s">
        <v>188</v>
      </c>
      <c r="F102" s="49" t="s">
        <v>189</v>
      </c>
      <c r="G102" s="82"/>
      <c r="H102" s="49" t="s">
        <v>190</v>
      </c>
      <c r="I102" s="83"/>
      <c r="J102" s="51" t="s">
        <v>105</v>
      </c>
      <c r="K102" s="84"/>
      <c r="L102" s="48" t="s">
        <v>99</v>
      </c>
      <c r="N102" s="48" t="s">
        <v>100</v>
      </c>
      <c r="O102" s="64"/>
      <c r="P102" s="54">
        <v>44991</v>
      </c>
      <c r="Q102" s="54">
        <v>45089</v>
      </c>
      <c r="R102" s="54">
        <v>45091</v>
      </c>
      <c r="S102" s="85"/>
      <c r="T102" s="86"/>
      <c r="U102" s="54">
        <v>45068</v>
      </c>
      <c r="V102" s="54">
        <v>45092</v>
      </c>
      <c r="W102" s="87"/>
      <c r="X102" s="88" t="s">
        <v>785</v>
      </c>
      <c r="Y102" s="48" t="s">
        <v>785</v>
      </c>
      <c r="Z102" s="48" t="s">
        <v>860</v>
      </c>
      <c r="AA102" s="57" t="str">
        <f t="shared" si="1"/>
        <v/>
      </c>
    </row>
    <row r="103" spans="2:27" ht="3.75" customHeight="1" x14ac:dyDescent="0.25">
      <c r="F103" s="119"/>
      <c r="AA103" s="57" t="str">
        <f t="shared" si="1"/>
        <v/>
      </c>
    </row>
    <row r="104" spans="2:27" x14ac:dyDescent="0.25">
      <c r="B104" s="48" t="s">
        <v>187</v>
      </c>
      <c r="C104" s="59"/>
      <c r="D104" s="49" t="s">
        <v>188</v>
      </c>
      <c r="F104" s="49" t="s">
        <v>189</v>
      </c>
      <c r="G104" s="82"/>
      <c r="H104" s="49" t="s">
        <v>190</v>
      </c>
      <c r="I104" s="83"/>
      <c r="J104" s="51" t="s">
        <v>105</v>
      </c>
      <c r="K104" s="84"/>
      <c r="L104" s="48" t="s">
        <v>99</v>
      </c>
      <c r="N104" s="48" t="s">
        <v>100</v>
      </c>
      <c r="O104" s="64"/>
      <c r="P104" s="54">
        <v>44991</v>
      </c>
      <c r="Q104" s="54">
        <v>45089</v>
      </c>
      <c r="R104" s="54">
        <v>45091</v>
      </c>
      <c r="S104" s="85"/>
      <c r="T104" s="86"/>
      <c r="U104" s="54">
        <v>45090</v>
      </c>
      <c r="V104" s="54">
        <v>45092</v>
      </c>
      <c r="W104" s="87"/>
      <c r="X104" s="88" t="s">
        <v>786</v>
      </c>
      <c r="Y104" s="48" t="s">
        <v>785</v>
      </c>
      <c r="Z104" s="48" t="s">
        <v>860</v>
      </c>
      <c r="AA104" s="57" t="str">
        <f t="shared" si="1"/>
        <v>Técnico</v>
      </c>
    </row>
    <row r="105" spans="2:27" ht="3.75" customHeight="1" x14ac:dyDescent="0.25">
      <c r="F105" s="119"/>
      <c r="AA105" s="57" t="str">
        <f t="shared" si="1"/>
        <v/>
      </c>
    </row>
    <row r="106" spans="2:27" s="101" customFormat="1" x14ac:dyDescent="0.25">
      <c r="B106" s="102" t="s">
        <v>191</v>
      </c>
      <c r="C106" s="103"/>
      <c r="D106" s="104" t="s">
        <v>192</v>
      </c>
      <c r="F106" s="104" t="s">
        <v>193</v>
      </c>
      <c r="G106" s="105"/>
      <c r="H106" s="104" t="s">
        <v>194</v>
      </c>
      <c r="I106" s="106"/>
      <c r="J106" s="107" t="s">
        <v>166</v>
      </c>
      <c r="K106" s="108"/>
      <c r="L106" s="102" t="s">
        <v>99</v>
      </c>
      <c r="M106" s="109"/>
      <c r="N106" s="102" t="s">
        <v>100</v>
      </c>
      <c r="O106" s="110"/>
      <c r="P106" s="111">
        <v>45064</v>
      </c>
      <c r="Q106" s="111">
        <v>45092</v>
      </c>
      <c r="R106" s="111">
        <v>45096</v>
      </c>
      <c r="S106" s="112"/>
      <c r="T106" s="113"/>
      <c r="U106" s="111">
        <v>45098</v>
      </c>
      <c r="V106" s="111">
        <v>45100</v>
      </c>
      <c r="W106" s="114"/>
      <c r="X106" s="115" t="s">
        <v>786</v>
      </c>
      <c r="Y106" s="102" t="s">
        <v>786</v>
      </c>
      <c r="Z106" s="102" t="s">
        <v>859</v>
      </c>
      <c r="AA106" s="116" t="str">
        <f t="shared" si="1"/>
        <v>Ambos</v>
      </c>
    </row>
    <row r="107" spans="2:27" ht="3.75" customHeight="1" x14ac:dyDescent="0.25">
      <c r="F107" s="119"/>
      <c r="AA107" s="57" t="str">
        <f t="shared" si="1"/>
        <v/>
      </c>
    </row>
    <row r="108" spans="2:27" s="101" customFormat="1" x14ac:dyDescent="0.25">
      <c r="B108" s="102" t="s">
        <v>191</v>
      </c>
      <c r="C108" s="103"/>
      <c r="D108" s="104" t="s">
        <v>192</v>
      </c>
      <c r="F108" s="104" t="s">
        <v>193</v>
      </c>
      <c r="G108" s="105"/>
      <c r="H108" s="104" t="s">
        <v>194</v>
      </c>
      <c r="I108" s="106"/>
      <c r="J108" s="107" t="s">
        <v>166</v>
      </c>
      <c r="K108" s="108"/>
      <c r="L108" s="102" t="s">
        <v>99</v>
      </c>
      <c r="M108" s="109"/>
      <c r="N108" s="102" t="s">
        <v>100</v>
      </c>
      <c r="O108" s="110"/>
      <c r="P108" s="111">
        <v>45064</v>
      </c>
      <c r="Q108" s="111">
        <v>45092</v>
      </c>
      <c r="R108" s="111">
        <v>45096</v>
      </c>
      <c r="S108" s="112"/>
      <c r="T108" s="113"/>
      <c r="U108" s="111">
        <v>45097</v>
      </c>
      <c r="V108" s="111">
        <v>45100</v>
      </c>
      <c r="W108" s="114"/>
      <c r="X108" s="115" t="s">
        <v>786</v>
      </c>
      <c r="Y108" s="102" t="s">
        <v>786</v>
      </c>
      <c r="Z108" s="102" t="s">
        <v>859</v>
      </c>
      <c r="AA108" s="116" t="str">
        <f t="shared" si="1"/>
        <v>Ambos</v>
      </c>
    </row>
    <row r="109" spans="2:27" ht="3.75" customHeight="1" x14ac:dyDescent="0.25">
      <c r="F109" s="119"/>
      <c r="AA109" s="57" t="str">
        <f t="shared" si="1"/>
        <v/>
      </c>
    </row>
    <row r="110" spans="2:27" s="101" customFormat="1" x14ac:dyDescent="0.25">
      <c r="B110" s="102" t="s">
        <v>195</v>
      </c>
      <c r="C110" s="103"/>
      <c r="D110" s="104" t="s">
        <v>196</v>
      </c>
      <c r="F110" s="104" t="s">
        <v>197</v>
      </c>
      <c r="G110" s="105"/>
      <c r="H110" s="104" t="s">
        <v>198</v>
      </c>
      <c r="I110" s="106"/>
      <c r="J110" s="107" t="s">
        <v>98</v>
      </c>
      <c r="K110" s="108"/>
      <c r="L110" s="102" t="s">
        <v>99</v>
      </c>
      <c r="M110" s="109"/>
      <c r="N110" s="102" t="s">
        <v>110</v>
      </c>
      <c r="O110" s="110"/>
      <c r="P110" s="111">
        <v>45061</v>
      </c>
      <c r="Q110" s="111">
        <v>45089</v>
      </c>
      <c r="R110" s="111">
        <v>45091</v>
      </c>
      <c r="S110" s="112"/>
      <c r="T110" s="113"/>
      <c r="U110" s="111">
        <v>45094</v>
      </c>
      <c r="V110" s="111">
        <v>45097</v>
      </c>
      <c r="W110" s="114"/>
      <c r="X110" s="115" t="s">
        <v>786</v>
      </c>
      <c r="Y110" s="102" t="s">
        <v>786</v>
      </c>
      <c r="Z110" s="102" t="s">
        <v>860</v>
      </c>
      <c r="AA110" s="116" t="str">
        <f t="shared" si="1"/>
        <v>Ambos</v>
      </c>
    </row>
    <row r="111" spans="2:27" ht="3.75" customHeight="1" x14ac:dyDescent="0.25">
      <c r="F111" s="119"/>
      <c r="AA111" s="57" t="str">
        <f t="shared" si="1"/>
        <v/>
      </c>
    </row>
    <row r="112" spans="2:27" x14ac:dyDescent="0.25">
      <c r="B112" s="48" t="s">
        <v>199</v>
      </c>
      <c r="C112" s="59"/>
      <c r="D112" s="49" t="s">
        <v>200</v>
      </c>
      <c r="F112" s="49" t="s">
        <v>201</v>
      </c>
      <c r="G112" s="82"/>
      <c r="H112" s="49" t="s">
        <v>202</v>
      </c>
      <c r="I112" s="83"/>
      <c r="J112" s="51" t="s">
        <v>166</v>
      </c>
      <c r="K112" s="84"/>
      <c r="L112" s="48" t="s">
        <v>99</v>
      </c>
      <c r="N112" s="48" t="s">
        <v>100</v>
      </c>
      <c r="O112" s="64"/>
      <c r="P112" s="54">
        <v>45071</v>
      </c>
      <c r="Q112" s="54">
        <v>45096</v>
      </c>
      <c r="R112" s="54">
        <v>45098</v>
      </c>
      <c r="S112" s="85"/>
      <c r="T112" s="86"/>
      <c r="U112" s="54">
        <v>45099</v>
      </c>
      <c r="V112" s="54">
        <v>45100</v>
      </c>
      <c r="W112" s="87"/>
      <c r="X112" s="88" t="s">
        <v>786</v>
      </c>
      <c r="Y112" s="48" t="s">
        <v>785</v>
      </c>
      <c r="Z112" s="48" t="s">
        <v>859</v>
      </c>
      <c r="AA112" s="57" t="str">
        <f t="shared" si="1"/>
        <v>Técnico</v>
      </c>
    </row>
    <row r="113" spans="2:27" ht="3.75" customHeight="1" x14ac:dyDescent="0.25">
      <c r="F113" s="119"/>
      <c r="AA113" s="57" t="str">
        <f t="shared" si="1"/>
        <v/>
      </c>
    </row>
    <row r="114" spans="2:27" x14ac:dyDescent="0.25">
      <c r="B114" s="48" t="s">
        <v>199</v>
      </c>
      <c r="C114" s="59"/>
      <c r="D114" s="49" t="s">
        <v>200</v>
      </c>
      <c r="F114" s="49" t="s">
        <v>201</v>
      </c>
      <c r="G114" s="82"/>
      <c r="H114" s="49" t="s">
        <v>202</v>
      </c>
      <c r="I114" s="83"/>
      <c r="J114" s="51" t="s">
        <v>166</v>
      </c>
      <c r="K114" s="84"/>
      <c r="L114" s="48" t="s">
        <v>99</v>
      </c>
      <c r="N114" s="48" t="s">
        <v>100</v>
      </c>
      <c r="O114" s="64"/>
      <c r="P114" s="54">
        <v>45071</v>
      </c>
      <c r="Q114" s="54">
        <v>45096</v>
      </c>
      <c r="R114" s="54">
        <v>45098</v>
      </c>
      <c r="S114" s="85"/>
      <c r="T114" s="86"/>
      <c r="U114" s="54">
        <v>45098</v>
      </c>
      <c r="V114" s="54">
        <v>45100</v>
      </c>
      <c r="W114" s="87"/>
      <c r="X114" s="88" t="s">
        <v>786</v>
      </c>
      <c r="Y114" s="48" t="s">
        <v>785</v>
      </c>
      <c r="Z114" s="48" t="s">
        <v>859</v>
      </c>
      <c r="AA114" s="57" t="str">
        <f t="shared" si="1"/>
        <v>Técnico</v>
      </c>
    </row>
    <row r="115" spans="2:27" ht="3.75" customHeight="1" x14ac:dyDescent="0.25">
      <c r="F115" s="119"/>
      <c r="AA115" s="57" t="str">
        <f t="shared" si="1"/>
        <v/>
      </c>
    </row>
    <row r="116" spans="2:27" x14ac:dyDescent="0.25">
      <c r="B116" s="48" t="s">
        <v>203</v>
      </c>
      <c r="C116" s="59"/>
      <c r="D116" s="49" t="s">
        <v>204</v>
      </c>
      <c r="F116" s="49" t="s">
        <v>205</v>
      </c>
      <c r="G116" s="82"/>
      <c r="H116" s="49" t="s">
        <v>126</v>
      </c>
      <c r="I116" s="83"/>
      <c r="J116" s="51" t="s">
        <v>166</v>
      </c>
      <c r="K116" s="84"/>
      <c r="L116" s="48" t="s">
        <v>99</v>
      </c>
      <c r="N116" s="48" t="s">
        <v>100</v>
      </c>
      <c r="O116" s="64"/>
      <c r="P116" s="54">
        <v>45035</v>
      </c>
      <c r="Q116" s="54">
        <v>45077</v>
      </c>
      <c r="R116" s="54">
        <v>45079</v>
      </c>
      <c r="S116" s="85"/>
      <c r="T116" s="86"/>
      <c r="U116" s="54">
        <v>45071</v>
      </c>
      <c r="V116" s="54">
        <v>45075</v>
      </c>
      <c r="W116" s="87"/>
      <c r="X116" s="88" t="s">
        <v>785</v>
      </c>
      <c r="Y116" s="48" t="s">
        <v>785</v>
      </c>
      <c r="Z116" s="48" t="s">
        <v>860</v>
      </c>
      <c r="AA116" s="57" t="str">
        <f t="shared" si="1"/>
        <v/>
      </c>
    </row>
    <row r="117" spans="2:27" ht="3.75" customHeight="1" x14ac:dyDescent="0.25">
      <c r="F117" s="119"/>
      <c r="AA117" s="57" t="str">
        <f t="shared" si="1"/>
        <v/>
      </c>
    </row>
    <row r="118" spans="2:27" x14ac:dyDescent="0.25">
      <c r="B118" s="48" t="s">
        <v>206</v>
      </c>
      <c r="C118" s="59"/>
      <c r="D118" s="49" t="s">
        <v>207</v>
      </c>
      <c r="F118" s="49" t="s">
        <v>208</v>
      </c>
      <c r="G118" s="82"/>
      <c r="H118" s="49" t="s">
        <v>121</v>
      </c>
      <c r="I118" s="83"/>
      <c r="J118" s="51" t="s">
        <v>98</v>
      </c>
      <c r="K118" s="84"/>
      <c r="L118" s="48" t="s">
        <v>99</v>
      </c>
      <c r="N118" s="48" t="s">
        <v>100</v>
      </c>
      <c r="O118" s="64"/>
      <c r="P118" s="54">
        <v>45063</v>
      </c>
      <c r="Q118" s="54">
        <v>45105</v>
      </c>
      <c r="R118" s="54">
        <v>45107</v>
      </c>
      <c r="S118" s="85"/>
      <c r="T118" s="86"/>
      <c r="U118" s="54">
        <v>45099</v>
      </c>
      <c r="V118" s="54">
        <v>45103</v>
      </c>
      <c r="W118" s="87"/>
      <c r="X118" s="88" t="s">
        <v>785</v>
      </c>
      <c r="Y118" s="48" t="s">
        <v>785</v>
      </c>
      <c r="Z118" s="48" t="s">
        <v>861</v>
      </c>
      <c r="AA118" s="57" t="str">
        <f t="shared" si="1"/>
        <v/>
      </c>
    </row>
    <row r="119" spans="2:27" ht="3.75" customHeight="1" x14ac:dyDescent="0.25">
      <c r="F119" s="119"/>
      <c r="AA119" s="57" t="str">
        <f t="shared" si="1"/>
        <v/>
      </c>
    </row>
    <row r="120" spans="2:27" x14ac:dyDescent="0.25">
      <c r="B120" s="48" t="s">
        <v>209</v>
      </c>
      <c r="C120" s="59"/>
      <c r="D120" s="49" t="s">
        <v>207</v>
      </c>
      <c r="F120" s="49" t="s">
        <v>210</v>
      </c>
      <c r="G120" s="82"/>
      <c r="H120" s="49" t="s">
        <v>121</v>
      </c>
      <c r="I120" s="83"/>
      <c r="J120" s="51" t="s">
        <v>98</v>
      </c>
      <c r="K120" s="84"/>
      <c r="L120" s="48" t="s">
        <v>99</v>
      </c>
      <c r="N120" s="48" t="s">
        <v>100</v>
      </c>
      <c r="O120" s="64"/>
      <c r="P120" s="54">
        <v>45063</v>
      </c>
      <c r="Q120" s="54">
        <v>45105</v>
      </c>
      <c r="R120" s="54">
        <v>45107</v>
      </c>
      <c r="S120" s="85"/>
      <c r="T120" s="86"/>
      <c r="U120" s="54">
        <v>45103</v>
      </c>
      <c r="V120" s="54">
        <v>45104</v>
      </c>
      <c r="W120" s="87"/>
      <c r="X120" s="88" t="s">
        <v>785</v>
      </c>
      <c r="Y120" s="48" t="s">
        <v>785</v>
      </c>
      <c r="Z120" s="48" t="s">
        <v>861</v>
      </c>
      <c r="AA120" s="57" t="str">
        <f t="shared" si="1"/>
        <v/>
      </c>
    </row>
    <row r="121" spans="2:27" ht="3.75" customHeight="1" x14ac:dyDescent="0.25">
      <c r="F121" s="119"/>
      <c r="AA121" s="57" t="str">
        <f t="shared" si="1"/>
        <v/>
      </c>
    </row>
    <row r="122" spans="2:27" x14ac:dyDescent="0.25">
      <c r="B122" s="48" t="s">
        <v>211</v>
      </c>
      <c r="C122" s="59"/>
      <c r="D122" s="49" t="s">
        <v>207</v>
      </c>
      <c r="F122" s="49" t="s">
        <v>212</v>
      </c>
      <c r="G122" s="82"/>
      <c r="H122" s="49" t="s">
        <v>213</v>
      </c>
      <c r="I122" s="83"/>
      <c r="J122" s="51" t="s">
        <v>98</v>
      </c>
      <c r="K122" s="84"/>
      <c r="L122" s="48" t="s">
        <v>99</v>
      </c>
      <c r="N122" s="48" t="s">
        <v>100</v>
      </c>
      <c r="O122" s="64"/>
      <c r="P122" s="54">
        <v>45015</v>
      </c>
      <c r="Q122" s="54">
        <v>45076</v>
      </c>
      <c r="R122" s="54">
        <v>45078</v>
      </c>
      <c r="S122" s="85"/>
      <c r="T122" s="86"/>
      <c r="U122" s="54">
        <v>45069</v>
      </c>
      <c r="V122" s="54">
        <v>45070</v>
      </c>
      <c r="W122" s="87"/>
      <c r="X122" s="88" t="s">
        <v>785</v>
      </c>
      <c r="Y122" s="48" t="s">
        <v>785</v>
      </c>
      <c r="Z122" s="48" t="s">
        <v>863</v>
      </c>
      <c r="AA122" s="57" t="str">
        <f t="shared" si="1"/>
        <v/>
      </c>
    </row>
    <row r="123" spans="2:27" ht="3.75" customHeight="1" x14ac:dyDescent="0.25">
      <c r="F123" s="119"/>
      <c r="AA123" s="57" t="str">
        <f t="shared" si="1"/>
        <v/>
      </c>
    </row>
    <row r="124" spans="2:27" x14ac:dyDescent="0.25">
      <c r="B124" s="48" t="s">
        <v>214</v>
      </c>
      <c r="C124" s="59"/>
      <c r="D124" s="49" t="s">
        <v>207</v>
      </c>
      <c r="F124" s="49" t="s">
        <v>215</v>
      </c>
      <c r="G124" s="82"/>
      <c r="H124" s="49" t="s">
        <v>213</v>
      </c>
      <c r="I124" s="83"/>
      <c r="J124" s="51" t="s">
        <v>98</v>
      </c>
      <c r="K124" s="84"/>
      <c r="L124" s="48" t="s">
        <v>99</v>
      </c>
      <c r="N124" s="48" t="s">
        <v>100</v>
      </c>
      <c r="O124" s="64"/>
      <c r="P124" s="54">
        <v>45015</v>
      </c>
      <c r="Q124" s="54">
        <v>45076</v>
      </c>
      <c r="R124" s="54">
        <v>45078</v>
      </c>
      <c r="S124" s="85"/>
      <c r="T124" s="86"/>
      <c r="U124" s="54">
        <v>45069</v>
      </c>
      <c r="V124" s="54">
        <v>45070</v>
      </c>
      <c r="W124" s="87"/>
      <c r="X124" s="88" t="s">
        <v>785</v>
      </c>
      <c r="Y124" s="48" t="s">
        <v>785</v>
      </c>
      <c r="Z124" s="48" t="s">
        <v>863</v>
      </c>
      <c r="AA124" s="57" t="str">
        <f t="shared" si="1"/>
        <v/>
      </c>
    </row>
    <row r="125" spans="2:27" ht="3.75" customHeight="1" x14ac:dyDescent="0.25">
      <c r="F125" s="119"/>
      <c r="AA125" s="57" t="str">
        <f t="shared" si="1"/>
        <v/>
      </c>
    </row>
    <row r="126" spans="2:27" x14ac:dyDescent="0.25">
      <c r="B126" s="48" t="s">
        <v>216</v>
      </c>
      <c r="C126" s="59"/>
      <c r="D126" s="49" t="s">
        <v>207</v>
      </c>
      <c r="F126" s="49" t="s">
        <v>217</v>
      </c>
      <c r="G126" s="82"/>
      <c r="H126" s="49" t="s">
        <v>213</v>
      </c>
      <c r="I126" s="83"/>
      <c r="J126" s="51" t="s">
        <v>98</v>
      </c>
      <c r="K126" s="84"/>
      <c r="L126" s="48" t="s">
        <v>99</v>
      </c>
      <c r="N126" s="48" t="s">
        <v>100</v>
      </c>
      <c r="O126" s="64"/>
      <c r="P126" s="54">
        <v>45015</v>
      </c>
      <c r="Q126" s="54">
        <v>45076</v>
      </c>
      <c r="R126" s="54">
        <v>45078</v>
      </c>
      <c r="S126" s="85"/>
      <c r="T126" s="86"/>
      <c r="U126" s="54">
        <v>45069</v>
      </c>
      <c r="V126" s="54">
        <v>45071</v>
      </c>
      <c r="W126" s="87"/>
      <c r="X126" s="88" t="s">
        <v>785</v>
      </c>
      <c r="Y126" s="48" t="s">
        <v>785</v>
      </c>
      <c r="Z126" s="48" t="s">
        <v>861</v>
      </c>
      <c r="AA126" s="57" t="str">
        <f t="shared" si="1"/>
        <v/>
      </c>
    </row>
    <row r="127" spans="2:27" ht="3.75" customHeight="1" x14ac:dyDescent="0.25">
      <c r="F127" s="119"/>
      <c r="AA127" s="57" t="str">
        <f t="shared" si="1"/>
        <v/>
      </c>
    </row>
    <row r="128" spans="2:27" x14ac:dyDescent="0.25">
      <c r="B128" s="48" t="s">
        <v>218</v>
      </c>
      <c r="C128" s="59"/>
      <c r="D128" s="49" t="s">
        <v>207</v>
      </c>
      <c r="F128" s="49" t="s">
        <v>219</v>
      </c>
      <c r="G128" s="82"/>
      <c r="H128" s="49" t="s">
        <v>213</v>
      </c>
      <c r="I128" s="83"/>
      <c r="J128" s="51" t="s">
        <v>98</v>
      </c>
      <c r="K128" s="84"/>
      <c r="L128" s="48" t="s">
        <v>99</v>
      </c>
      <c r="N128" s="48" t="s">
        <v>100</v>
      </c>
      <c r="O128" s="64"/>
      <c r="P128" s="54">
        <v>45015</v>
      </c>
      <c r="Q128" s="54">
        <v>45076</v>
      </c>
      <c r="R128" s="54">
        <v>45078</v>
      </c>
      <c r="S128" s="85"/>
      <c r="T128" s="86"/>
      <c r="U128" s="54">
        <v>45063</v>
      </c>
      <c r="V128" s="54">
        <v>45070</v>
      </c>
      <c r="W128" s="87"/>
      <c r="X128" s="88" t="s">
        <v>785</v>
      </c>
      <c r="Y128" s="48" t="s">
        <v>785</v>
      </c>
      <c r="Z128" s="48" t="s">
        <v>863</v>
      </c>
      <c r="AA128" s="57" t="str">
        <f t="shared" si="1"/>
        <v/>
      </c>
    </row>
    <row r="129" spans="2:27" ht="3.75" customHeight="1" x14ac:dyDescent="0.25">
      <c r="F129" s="119"/>
      <c r="AA129" s="57" t="str">
        <f t="shared" si="1"/>
        <v/>
      </c>
    </row>
    <row r="130" spans="2:27" x14ac:dyDescent="0.25">
      <c r="B130" s="48" t="s">
        <v>220</v>
      </c>
      <c r="C130" s="59"/>
      <c r="D130" s="49" t="s">
        <v>221</v>
      </c>
      <c r="F130" s="49" t="s">
        <v>222</v>
      </c>
      <c r="G130" s="82"/>
      <c r="H130" s="49" t="s">
        <v>121</v>
      </c>
      <c r="I130" s="83"/>
      <c r="J130" s="51" t="s">
        <v>166</v>
      </c>
      <c r="K130" s="84"/>
      <c r="L130" s="48" t="s">
        <v>99</v>
      </c>
      <c r="N130" s="48" t="s">
        <v>100</v>
      </c>
      <c r="O130" s="64"/>
      <c r="P130" s="54">
        <v>45044</v>
      </c>
      <c r="Q130" s="54">
        <v>45092</v>
      </c>
      <c r="R130" s="54">
        <v>45096</v>
      </c>
      <c r="S130" s="85"/>
      <c r="T130" s="86"/>
      <c r="U130" s="54">
        <v>45089</v>
      </c>
      <c r="V130" s="54">
        <v>45092</v>
      </c>
      <c r="W130" s="87"/>
      <c r="X130" s="88" t="s">
        <v>785</v>
      </c>
      <c r="Y130" s="48" t="s">
        <v>785</v>
      </c>
      <c r="Z130" s="48" t="s">
        <v>861</v>
      </c>
      <c r="AA130" s="57" t="str">
        <f t="shared" si="1"/>
        <v/>
      </c>
    </row>
    <row r="131" spans="2:27" ht="3.75" customHeight="1" x14ac:dyDescent="0.25">
      <c r="F131" s="119"/>
      <c r="AA131" s="57" t="str">
        <f t="shared" si="1"/>
        <v/>
      </c>
    </row>
    <row r="132" spans="2:27" x14ac:dyDescent="0.25">
      <c r="B132" s="48" t="s">
        <v>223</v>
      </c>
      <c r="C132" s="59"/>
      <c r="D132" s="49" t="s">
        <v>221</v>
      </c>
      <c r="F132" s="49" t="s">
        <v>224</v>
      </c>
      <c r="G132" s="82"/>
      <c r="H132" s="49" t="s">
        <v>121</v>
      </c>
      <c r="I132" s="83"/>
      <c r="J132" s="51" t="s">
        <v>166</v>
      </c>
      <c r="K132" s="84"/>
      <c r="L132" s="48" t="s">
        <v>99</v>
      </c>
      <c r="N132" s="48" t="s">
        <v>100</v>
      </c>
      <c r="O132" s="64"/>
      <c r="P132" s="54">
        <v>45044</v>
      </c>
      <c r="Q132" s="54">
        <v>45092</v>
      </c>
      <c r="R132" s="54">
        <v>45096</v>
      </c>
      <c r="S132" s="85"/>
      <c r="T132" s="86"/>
      <c r="U132" s="54">
        <v>45085</v>
      </c>
      <c r="V132" s="54">
        <v>45089</v>
      </c>
      <c r="W132" s="87"/>
      <c r="X132" s="88" t="s">
        <v>785</v>
      </c>
      <c r="Y132" s="48" t="s">
        <v>785</v>
      </c>
      <c r="Z132" s="48" t="s">
        <v>861</v>
      </c>
      <c r="AA132" s="57" t="str">
        <f t="shared" si="1"/>
        <v/>
      </c>
    </row>
    <row r="133" spans="2:27" ht="3.75" customHeight="1" x14ac:dyDescent="0.25">
      <c r="F133" s="119"/>
      <c r="AA133" s="57" t="str">
        <f t="shared" si="1"/>
        <v/>
      </c>
    </row>
    <row r="134" spans="2:27" x14ac:dyDescent="0.25">
      <c r="B134" s="48" t="s">
        <v>225</v>
      </c>
      <c r="C134" s="59"/>
      <c r="D134" s="49" t="s">
        <v>221</v>
      </c>
      <c r="F134" s="49" t="s">
        <v>222</v>
      </c>
      <c r="G134" s="82"/>
      <c r="H134" s="49" t="s">
        <v>121</v>
      </c>
      <c r="I134" s="83"/>
      <c r="J134" s="51" t="s">
        <v>166</v>
      </c>
      <c r="K134" s="84"/>
      <c r="L134" s="48" t="s">
        <v>99</v>
      </c>
      <c r="N134" s="48" t="s">
        <v>100</v>
      </c>
      <c r="O134" s="64"/>
      <c r="P134" s="54">
        <v>45044</v>
      </c>
      <c r="Q134" s="54">
        <v>45092</v>
      </c>
      <c r="R134" s="54">
        <v>45096</v>
      </c>
      <c r="S134" s="85"/>
      <c r="T134" s="86"/>
      <c r="U134" s="54">
        <v>45089</v>
      </c>
      <c r="V134" s="54">
        <v>45092</v>
      </c>
      <c r="W134" s="87"/>
      <c r="X134" s="88" t="s">
        <v>785</v>
      </c>
      <c r="Y134" s="48" t="s">
        <v>785</v>
      </c>
      <c r="Z134" s="48" t="s">
        <v>861</v>
      </c>
      <c r="AA134" s="57" t="str">
        <f t="shared" si="1"/>
        <v/>
      </c>
    </row>
    <row r="135" spans="2:27" ht="3.75" customHeight="1" x14ac:dyDescent="0.25">
      <c r="F135" s="119"/>
      <c r="AA135" s="57" t="str">
        <f t="shared" si="1"/>
        <v/>
      </c>
    </row>
    <row r="136" spans="2:27" x14ac:dyDescent="0.25">
      <c r="B136" s="48" t="s">
        <v>226</v>
      </c>
      <c r="C136" s="59"/>
      <c r="D136" s="49" t="s">
        <v>221</v>
      </c>
      <c r="F136" s="49" t="s">
        <v>227</v>
      </c>
      <c r="G136" s="82"/>
      <c r="H136" s="49" t="s">
        <v>121</v>
      </c>
      <c r="I136" s="83"/>
      <c r="J136" s="51" t="s">
        <v>166</v>
      </c>
      <c r="K136" s="84"/>
      <c r="L136" s="48" t="s">
        <v>99</v>
      </c>
      <c r="N136" s="48" t="s">
        <v>100</v>
      </c>
      <c r="O136" s="64"/>
      <c r="P136" s="54">
        <v>45044</v>
      </c>
      <c r="Q136" s="54">
        <v>45092</v>
      </c>
      <c r="R136" s="54">
        <v>45096</v>
      </c>
      <c r="S136" s="85"/>
      <c r="T136" s="86"/>
      <c r="U136" s="54">
        <v>45084</v>
      </c>
      <c r="V136" s="54">
        <v>45085</v>
      </c>
      <c r="W136" s="87"/>
      <c r="X136" s="88" t="s">
        <v>785</v>
      </c>
      <c r="Y136" s="48" t="s">
        <v>785</v>
      </c>
      <c r="Z136" s="48" t="s">
        <v>861</v>
      </c>
      <c r="AA136" s="57" t="str">
        <f t="shared" si="1"/>
        <v/>
      </c>
    </row>
    <row r="137" spans="2:27" ht="3.75" customHeight="1" x14ac:dyDescent="0.25">
      <c r="F137" s="119"/>
      <c r="AA137" s="57" t="str">
        <f t="shared" si="1"/>
        <v/>
      </c>
    </row>
    <row r="138" spans="2:27" s="101" customFormat="1" x14ac:dyDescent="0.25">
      <c r="B138" s="102" t="s">
        <v>228</v>
      </c>
      <c r="C138" s="103"/>
      <c r="D138" s="104" t="s">
        <v>155</v>
      </c>
      <c r="F138" s="104" t="s">
        <v>229</v>
      </c>
      <c r="G138" s="105"/>
      <c r="H138" s="104"/>
      <c r="I138" s="117"/>
      <c r="J138" s="107" t="s">
        <v>110</v>
      </c>
      <c r="K138" s="108"/>
      <c r="L138" s="102" t="s">
        <v>99</v>
      </c>
      <c r="M138" s="109"/>
      <c r="N138" s="102" t="s">
        <v>110</v>
      </c>
      <c r="O138" s="110"/>
      <c r="P138" s="111">
        <v>45014</v>
      </c>
      <c r="Q138" s="111">
        <v>45077</v>
      </c>
      <c r="R138" s="111">
        <v>45079</v>
      </c>
      <c r="S138" s="112"/>
      <c r="T138" s="113"/>
      <c r="U138" s="111">
        <v>45091</v>
      </c>
      <c r="V138" s="111">
        <v>45097</v>
      </c>
      <c r="W138" s="114"/>
      <c r="X138" s="115" t="s">
        <v>786</v>
      </c>
      <c r="Y138" s="102" t="s">
        <v>786</v>
      </c>
      <c r="Z138" s="102" t="s">
        <v>860</v>
      </c>
      <c r="AA138" s="116" t="str">
        <f t="shared" si="1"/>
        <v>Ambos</v>
      </c>
    </row>
    <row r="139" spans="2:27" ht="3.75" customHeight="1" x14ac:dyDescent="0.25">
      <c r="F139" s="119"/>
      <c r="AA139" s="57" t="str">
        <f t="shared" si="1"/>
        <v/>
      </c>
    </row>
    <row r="140" spans="2:27" s="101" customFormat="1" x14ac:dyDescent="0.25">
      <c r="B140" s="102" t="s">
        <v>228</v>
      </c>
      <c r="C140" s="103"/>
      <c r="D140" s="104" t="s">
        <v>155</v>
      </c>
      <c r="F140" s="104" t="s">
        <v>229</v>
      </c>
      <c r="G140" s="105"/>
      <c r="H140" s="104" t="s">
        <v>230</v>
      </c>
      <c r="I140" s="106"/>
      <c r="J140" s="107" t="s">
        <v>110</v>
      </c>
      <c r="K140" s="108"/>
      <c r="L140" s="102" t="s">
        <v>99</v>
      </c>
      <c r="M140" s="109"/>
      <c r="N140" s="102" t="s">
        <v>110</v>
      </c>
      <c r="O140" s="110"/>
      <c r="P140" s="111">
        <v>45014</v>
      </c>
      <c r="Q140" s="111">
        <v>45077</v>
      </c>
      <c r="R140" s="111">
        <v>45079</v>
      </c>
      <c r="S140" s="112"/>
      <c r="T140" s="113"/>
      <c r="U140" s="111">
        <v>45097</v>
      </c>
      <c r="V140" s="111">
        <v>45097</v>
      </c>
      <c r="W140" s="114"/>
      <c r="X140" s="115" t="s">
        <v>786</v>
      </c>
      <c r="Y140" s="102" t="s">
        <v>786</v>
      </c>
      <c r="Z140" s="102" t="s">
        <v>860</v>
      </c>
      <c r="AA140" s="116" t="str">
        <f t="shared" ref="AA140:AA203" si="2">IFERROR(
IF(AND(X140="Não",Y140="Sim"),"REP",
IF(AND(X140="Sim",Y140="Não"),"Técnico",
IF(AND(X140="Sim",Y140="Sim"),"Ambos",""))),
"")</f>
        <v>Ambos</v>
      </c>
    </row>
    <row r="141" spans="2:27" ht="3.75" customHeight="1" x14ac:dyDescent="0.25">
      <c r="F141" s="119"/>
      <c r="AA141" s="57" t="str">
        <f t="shared" si="2"/>
        <v/>
      </c>
    </row>
    <row r="142" spans="2:27" s="101" customFormat="1" x14ac:dyDescent="0.25">
      <c r="B142" s="102" t="s">
        <v>231</v>
      </c>
      <c r="C142" s="103"/>
      <c r="D142" s="104" t="s">
        <v>232</v>
      </c>
      <c r="F142" s="104" t="s">
        <v>233</v>
      </c>
      <c r="G142" s="105"/>
      <c r="H142" s="104" t="s">
        <v>234</v>
      </c>
      <c r="I142" s="106"/>
      <c r="J142" s="107" t="s">
        <v>100</v>
      </c>
      <c r="K142" s="108"/>
      <c r="L142" s="102" t="s">
        <v>99</v>
      </c>
      <c r="M142" s="109"/>
      <c r="N142" s="102" t="s">
        <v>100</v>
      </c>
      <c r="O142" s="110"/>
      <c r="P142" s="111">
        <v>45075</v>
      </c>
      <c r="Q142" s="111">
        <v>45098</v>
      </c>
      <c r="R142" s="111">
        <v>45100</v>
      </c>
      <c r="S142" s="112"/>
      <c r="T142" s="113"/>
      <c r="U142" s="111">
        <v>45111</v>
      </c>
      <c r="V142" s="111">
        <v>45114</v>
      </c>
      <c r="W142" s="114"/>
      <c r="X142" s="115" t="s">
        <v>786</v>
      </c>
      <c r="Y142" s="102" t="s">
        <v>786</v>
      </c>
      <c r="Z142" s="102" t="s">
        <v>863</v>
      </c>
      <c r="AA142" s="116" t="str">
        <f t="shared" si="2"/>
        <v>Ambos</v>
      </c>
    </row>
    <row r="143" spans="2:27" ht="3.75" customHeight="1" x14ac:dyDescent="0.25">
      <c r="F143" s="119"/>
      <c r="AA143" s="57" t="str">
        <f t="shared" si="2"/>
        <v/>
      </c>
    </row>
    <row r="144" spans="2:27" x14ac:dyDescent="0.25">
      <c r="B144" s="48" t="s">
        <v>235</v>
      </c>
      <c r="C144" s="59"/>
      <c r="D144" s="49" t="s">
        <v>236</v>
      </c>
      <c r="F144" s="49" t="s">
        <v>237</v>
      </c>
      <c r="G144" s="89"/>
      <c r="H144" s="49" t="s">
        <v>238</v>
      </c>
      <c r="I144" s="83"/>
      <c r="J144" s="51" t="s">
        <v>98</v>
      </c>
      <c r="K144" s="84"/>
      <c r="L144" s="48" t="s">
        <v>99</v>
      </c>
      <c r="N144" s="48" t="s">
        <v>239</v>
      </c>
      <c r="O144" s="64"/>
      <c r="P144" s="54">
        <v>45077</v>
      </c>
      <c r="Q144" s="54">
        <v>45086</v>
      </c>
      <c r="R144" s="54">
        <v>45090</v>
      </c>
      <c r="S144" s="85"/>
      <c r="T144" s="86"/>
      <c r="U144" s="54">
        <v>45085</v>
      </c>
      <c r="V144" s="54">
        <v>45091</v>
      </c>
      <c r="W144" s="87"/>
      <c r="X144" s="88" t="s">
        <v>785</v>
      </c>
      <c r="Y144" s="48" t="s">
        <v>785</v>
      </c>
      <c r="Z144" s="48" t="s">
        <v>862</v>
      </c>
      <c r="AA144" s="57" t="str">
        <f t="shared" si="2"/>
        <v/>
      </c>
    </row>
    <row r="145" spans="2:27" x14ac:dyDescent="0.25">
      <c r="B145" s="48" t="s">
        <v>240</v>
      </c>
      <c r="C145" s="59"/>
      <c r="D145" s="49" t="s">
        <v>241</v>
      </c>
      <c r="F145" s="49" t="s">
        <v>242</v>
      </c>
      <c r="G145" s="82"/>
      <c r="H145" s="49" t="s">
        <v>243</v>
      </c>
      <c r="I145" s="83"/>
      <c r="J145" s="51" t="s">
        <v>105</v>
      </c>
      <c r="K145" s="84"/>
      <c r="L145" s="48" t="s">
        <v>99</v>
      </c>
      <c r="N145" s="48" t="s">
        <v>239</v>
      </c>
      <c r="O145" s="64"/>
      <c r="P145" s="54">
        <v>45083</v>
      </c>
      <c r="Q145" s="54">
        <v>45104</v>
      </c>
      <c r="R145" s="54">
        <v>45106</v>
      </c>
      <c r="S145" s="85"/>
      <c r="T145" s="86"/>
      <c r="U145" s="54">
        <v>45104</v>
      </c>
      <c r="V145" s="54">
        <v>45104</v>
      </c>
      <c r="W145" s="87"/>
      <c r="X145" s="88" t="s">
        <v>785</v>
      </c>
      <c r="Y145" s="48" t="s">
        <v>785</v>
      </c>
      <c r="Z145" s="48" t="s">
        <v>859</v>
      </c>
      <c r="AA145" s="57" t="str">
        <f t="shared" si="2"/>
        <v/>
      </c>
    </row>
    <row r="146" spans="2:27" ht="3.75" customHeight="1" x14ac:dyDescent="0.25">
      <c r="F146" s="119"/>
      <c r="AA146" s="57" t="str">
        <f t="shared" si="2"/>
        <v/>
      </c>
    </row>
    <row r="147" spans="2:27" x14ac:dyDescent="0.25">
      <c r="B147" s="48" t="s">
        <v>240</v>
      </c>
      <c r="C147" s="59"/>
      <c r="D147" s="49" t="s">
        <v>241</v>
      </c>
      <c r="F147" s="49" t="s">
        <v>242</v>
      </c>
      <c r="G147" s="82"/>
      <c r="H147" s="49" t="s">
        <v>244</v>
      </c>
      <c r="I147" s="83"/>
      <c r="J147" s="51" t="s">
        <v>105</v>
      </c>
      <c r="K147" s="84"/>
      <c r="L147" s="48" t="s">
        <v>99</v>
      </c>
      <c r="N147" s="48" t="s">
        <v>239</v>
      </c>
      <c r="O147" s="64"/>
      <c r="P147" s="54">
        <v>45083</v>
      </c>
      <c r="Q147" s="54">
        <v>45104</v>
      </c>
      <c r="R147" s="54">
        <v>45106</v>
      </c>
      <c r="S147" s="85"/>
      <c r="T147" s="86"/>
      <c r="U147" s="54">
        <v>45103</v>
      </c>
      <c r="V147" s="54">
        <v>45104</v>
      </c>
      <c r="W147" s="87"/>
      <c r="X147" s="88" t="s">
        <v>785</v>
      </c>
      <c r="Y147" s="48" t="s">
        <v>785</v>
      </c>
      <c r="Z147" s="48" t="s">
        <v>859</v>
      </c>
      <c r="AA147" s="57" t="str">
        <f t="shared" si="2"/>
        <v/>
      </c>
    </row>
    <row r="148" spans="2:27" ht="3.75" customHeight="1" x14ac:dyDescent="0.25">
      <c r="F148" s="119"/>
      <c r="AA148" s="57" t="str">
        <f t="shared" si="2"/>
        <v/>
      </c>
    </row>
    <row r="149" spans="2:27" s="101" customFormat="1" x14ac:dyDescent="0.25">
      <c r="B149" s="102" t="s">
        <v>245</v>
      </c>
      <c r="C149" s="103"/>
      <c r="D149" s="104" t="s">
        <v>246</v>
      </c>
      <c r="F149" s="104" t="s">
        <v>247</v>
      </c>
      <c r="G149" s="105"/>
      <c r="H149" s="104" t="s">
        <v>248</v>
      </c>
      <c r="I149" s="106"/>
      <c r="J149" s="107" t="s">
        <v>98</v>
      </c>
      <c r="K149" s="108"/>
      <c r="L149" s="102" t="s">
        <v>99</v>
      </c>
      <c r="M149" s="109"/>
      <c r="N149" s="102" t="s">
        <v>100</v>
      </c>
      <c r="O149" s="110"/>
      <c r="P149" s="111">
        <v>45098</v>
      </c>
      <c r="Q149" s="111">
        <v>45103</v>
      </c>
      <c r="R149" s="111">
        <v>45105</v>
      </c>
      <c r="S149" s="112"/>
      <c r="T149" s="113"/>
      <c r="U149" s="111">
        <v>45106</v>
      </c>
      <c r="V149" s="111">
        <v>45111</v>
      </c>
      <c r="W149" s="114"/>
      <c r="X149" s="115" t="s">
        <v>786</v>
      </c>
      <c r="Y149" s="102" t="s">
        <v>786</v>
      </c>
      <c r="Z149" s="102" t="s">
        <v>862</v>
      </c>
      <c r="AA149" s="116" t="str">
        <f t="shared" si="2"/>
        <v>Ambos</v>
      </c>
    </row>
    <row r="150" spans="2:27" ht="3.75" customHeight="1" x14ac:dyDescent="0.25">
      <c r="F150" s="119"/>
      <c r="AA150" s="57" t="str">
        <f t="shared" si="2"/>
        <v/>
      </c>
    </row>
    <row r="151" spans="2:27" s="101" customFormat="1" x14ac:dyDescent="0.25">
      <c r="B151" s="102" t="s">
        <v>249</v>
      </c>
      <c r="C151" s="103"/>
      <c r="D151" s="104" t="s">
        <v>250</v>
      </c>
      <c r="F151" s="104" t="s">
        <v>193</v>
      </c>
      <c r="G151" s="105"/>
      <c r="H151" s="104" t="s">
        <v>251</v>
      </c>
      <c r="I151" s="106"/>
      <c r="J151" s="107" t="s">
        <v>105</v>
      </c>
      <c r="K151" s="108"/>
      <c r="L151" s="102" t="s">
        <v>99</v>
      </c>
      <c r="M151" s="109"/>
      <c r="N151" s="102" t="s">
        <v>100</v>
      </c>
      <c r="O151" s="110"/>
      <c r="P151" s="111">
        <v>45058</v>
      </c>
      <c r="Q151" s="111">
        <v>45089</v>
      </c>
      <c r="R151" s="111">
        <v>45091</v>
      </c>
      <c r="S151" s="112"/>
      <c r="T151" s="113"/>
      <c r="U151" s="111">
        <v>45106</v>
      </c>
      <c r="V151" s="111">
        <v>45107</v>
      </c>
      <c r="W151" s="114"/>
      <c r="X151" s="115" t="s">
        <v>786</v>
      </c>
      <c r="Y151" s="102" t="s">
        <v>786</v>
      </c>
      <c r="Z151" s="102" t="s">
        <v>859</v>
      </c>
      <c r="AA151" s="116" t="str">
        <f t="shared" si="2"/>
        <v>Ambos</v>
      </c>
    </row>
    <row r="152" spans="2:27" ht="3.75" customHeight="1" x14ac:dyDescent="0.25">
      <c r="F152" s="119"/>
      <c r="AA152" s="57" t="str">
        <f t="shared" si="2"/>
        <v/>
      </c>
    </row>
    <row r="153" spans="2:27" s="101" customFormat="1" x14ac:dyDescent="0.25">
      <c r="B153" s="102" t="s">
        <v>249</v>
      </c>
      <c r="C153" s="103"/>
      <c r="D153" s="104" t="s">
        <v>250</v>
      </c>
      <c r="F153" s="104" t="s">
        <v>193</v>
      </c>
      <c r="G153" s="105"/>
      <c r="H153" s="104" t="s">
        <v>252</v>
      </c>
      <c r="I153" s="106"/>
      <c r="J153" s="107" t="s">
        <v>105</v>
      </c>
      <c r="K153" s="108"/>
      <c r="L153" s="102" t="s">
        <v>99</v>
      </c>
      <c r="M153" s="109"/>
      <c r="N153" s="102" t="s">
        <v>100</v>
      </c>
      <c r="O153" s="110"/>
      <c r="P153" s="111">
        <v>45058</v>
      </c>
      <c r="Q153" s="111">
        <v>45089</v>
      </c>
      <c r="R153" s="111">
        <v>45091</v>
      </c>
      <c r="S153" s="112"/>
      <c r="T153" s="113"/>
      <c r="U153" s="111">
        <v>45091</v>
      </c>
      <c r="V153" s="111">
        <v>45107</v>
      </c>
      <c r="W153" s="114"/>
      <c r="X153" s="115" t="s">
        <v>786</v>
      </c>
      <c r="Y153" s="102" t="s">
        <v>786</v>
      </c>
      <c r="Z153" s="102" t="s">
        <v>859</v>
      </c>
      <c r="AA153" s="116" t="str">
        <f t="shared" si="2"/>
        <v>Ambos</v>
      </c>
    </row>
    <row r="154" spans="2:27" ht="3.75" customHeight="1" x14ac:dyDescent="0.25">
      <c r="F154" s="119"/>
      <c r="AA154" s="57" t="str">
        <f t="shared" si="2"/>
        <v/>
      </c>
    </row>
    <row r="155" spans="2:27" x14ac:dyDescent="0.25">
      <c r="B155" s="48" t="s">
        <v>253</v>
      </c>
      <c r="C155" s="59"/>
      <c r="D155" s="49" t="s">
        <v>254</v>
      </c>
      <c r="F155" s="49" t="s">
        <v>255</v>
      </c>
      <c r="G155" s="82"/>
      <c r="H155" s="49" t="s">
        <v>194</v>
      </c>
      <c r="I155" s="83"/>
      <c r="J155" s="51" t="s">
        <v>166</v>
      </c>
      <c r="K155" s="84"/>
      <c r="L155" s="48" t="s">
        <v>99</v>
      </c>
      <c r="N155" s="48" t="s">
        <v>100</v>
      </c>
      <c r="O155" s="64"/>
      <c r="P155" s="54">
        <v>45063</v>
      </c>
      <c r="Q155" s="54">
        <v>45103</v>
      </c>
      <c r="R155" s="54">
        <v>45105</v>
      </c>
      <c r="S155" s="85"/>
      <c r="T155" s="86"/>
      <c r="U155" s="54">
        <v>45100</v>
      </c>
      <c r="V155" s="54">
        <v>45104</v>
      </c>
      <c r="W155" s="87"/>
      <c r="X155" s="88" t="s">
        <v>785</v>
      </c>
      <c r="Y155" s="48" t="s">
        <v>785</v>
      </c>
      <c r="Z155" s="48" t="s">
        <v>859</v>
      </c>
      <c r="AA155" s="57" t="str">
        <f t="shared" si="2"/>
        <v/>
      </c>
    </row>
    <row r="156" spans="2:27" ht="3.75" customHeight="1" x14ac:dyDescent="0.25">
      <c r="F156" s="119"/>
      <c r="AA156" s="57" t="str">
        <f t="shared" si="2"/>
        <v/>
      </c>
    </row>
    <row r="157" spans="2:27" x14ac:dyDescent="0.25">
      <c r="B157" s="48" t="s">
        <v>256</v>
      </c>
      <c r="C157" s="59"/>
      <c r="D157" s="49" t="s">
        <v>257</v>
      </c>
      <c r="F157" s="49" t="s">
        <v>258</v>
      </c>
      <c r="G157" s="82"/>
      <c r="H157" s="49" t="s">
        <v>259</v>
      </c>
      <c r="I157" s="83"/>
      <c r="J157" s="51" t="s">
        <v>166</v>
      </c>
      <c r="K157" s="84"/>
      <c r="L157" s="48" t="s">
        <v>99</v>
      </c>
      <c r="N157" s="48" t="s">
        <v>100</v>
      </c>
      <c r="O157" s="64"/>
      <c r="P157" s="54">
        <v>45057</v>
      </c>
      <c r="Q157" s="54">
        <v>45082</v>
      </c>
      <c r="R157" s="54">
        <v>45084</v>
      </c>
      <c r="S157" s="85"/>
      <c r="T157" s="86"/>
      <c r="U157" s="54">
        <v>45079</v>
      </c>
      <c r="V157" s="54">
        <v>45085</v>
      </c>
      <c r="W157" s="87"/>
      <c r="X157" s="88" t="s">
        <v>785</v>
      </c>
      <c r="Y157" s="48" t="s">
        <v>785</v>
      </c>
      <c r="Z157" s="48" t="s">
        <v>863</v>
      </c>
      <c r="AA157" s="57" t="str">
        <f t="shared" si="2"/>
        <v/>
      </c>
    </row>
    <row r="158" spans="2:27" ht="3.75" customHeight="1" x14ac:dyDescent="0.25">
      <c r="F158" s="119"/>
      <c r="AA158" s="57" t="str">
        <f t="shared" si="2"/>
        <v/>
      </c>
    </row>
    <row r="159" spans="2:27" x14ac:dyDescent="0.25">
      <c r="B159" s="48" t="s">
        <v>256</v>
      </c>
      <c r="C159" s="59"/>
      <c r="D159" s="49" t="s">
        <v>257</v>
      </c>
      <c r="F159" s="49" t="s">
        <v>258</v>
      </c>
      <c r="G159" s="82"/>
      <c r="H159" s="49" t="s">
        <v>259</v>
      </c>
      <c r="I159" s="83"/>
      <c r="J159" s="51" t="s">
        <v>166</v>
      </c>
      <c r="K159" s="84"/>
      <c r="L159" s="48" t="s">
        <v>99</v>
      </c>
      <c r="N159" s="48" t="s">
        <v>100</v>
      </c>
      <c r="O159" s="64"/>
      <c r="P159" s="54">
        <v>45057</v>
      </c>
      <c r="Q159" s="54">
        <v>45082</v>
      </c>
      <c r="R159" s="54">
        <v>45084</v>
      </c>
      <c r="S159" s="85"/>
      <c r="T159" s="86"/>
      <c r="U159" s="54">
        <v>45084</v>
      </c>
      <c r="V159" s="54">
        <v>45085</v>
      </c>
      <c r="W159" s="87"/>
      <c r="X159" s="88" t="s">
        <v>786</v>
      </c>
      <c r="Y159" s="48" t="s">
        <v>785</v>
      </c>
      <c r="Z159" s="48" t="s">
        <v>863</v>
      </c>
      <c r="AA159" s="57" t="str">
        <f t="shared" si="2"/>
        <v>Técnico</v>
      </c>
    </row>
    <row r="160" spans="2:27" ht="3.75" customHeight="1" x14ac:dyDescent="0.25">
      <c r="F160" s="119"/>
      <c r="AA160" s="57" t="str">
        <f t="shared" si="2"/>
        <v/>
      </c>
    </row>
    <row r="161" spans="2:27" s="101" customFormat="1" x14ac:dyDescent="0.25">
      <c r="B161" s="102" t="s">
        <v>260</v>
      </c>
      <c r="C161" s="103"/>
      <c r="D161" s="104" t="s">
        <v>261</v>
      </c>
      <c r="F161" s="104" t="s">
        <v>262</v>
      </c>
      <c r="G161" s="105"/>
      <c r="H161" s="104" t="s">
        <v>121</v>
      </c>
      <c r="I161" s="106"/>
      <c r="J161" s="107" t="s">
        <v>111</v>
      </c>
      <c r="K161" s="108"/>
      <c r="L161" s="102" t="s">
        <v>99</v>
      </c>
      <c r="M161" s="109"/>
      <c r="N161" s="102" t="s">
        <v>100</v>
      </c>
      <c r="O161" s="110"/>
      <c r="P161" s="111">
        <v>45021</v>
      </c>
      <c r="Q161" s="111">
        <v>45077</v>
      </c>
      <c r="R161" s="111">
        <v>45079</v>
      </c>
      <c r="S161" s="112"/>
      <c r="T161" s="113"/>
      <c r="U161" s="111">
        <v>45077</v>
      </c>
      <c r="V161" s="111">
        <v>45096</v>
      </c>
      <c r="W161" s="114"/>
      <c r="X161" s="115" t="s">
        <v>785</v>
      </c>
      <c r="Y161" s="102" t="s">
        <v>786</v>
      </c>
      <c r="Z161" s="102" t="s">
        <v>861</v>
      </c>
      <c r="AA161" s="116" t="str">
        <f t="shared" si="2"/>
        <v>REP</v>
      </c>
    </row>
    <row r="162" spans="2:27" ht="3.75" customHeight="1" x14ac:dyDescent="0.25">
      <c r="F162" s="119"/>
      <c r="AA162" s="57" t="str">
        <f t="shared" si="2"/>
        <v/>
      </c>
    </row>
    <row r="163" spans="2:27" s="101" customFormat="1" x14ac:dyDescent="0.25">
      <c r="B163" s="102" t="s">
        <v>263</v>
      </c>
      <c r="C163" s="103"/>
      <c r="D163" s="104" t="s">
        <v>261</v>
      </c>
      <c r="F163" s="104" t="s">
        <v>262</v>
      </c>
      <c r="G163" s="105"/>
      <c r="H163" s="104" t="s">
        <v>121</v>
      </c>
      <c r="I163" s="106"/>
      <c r="J163" s="107" t="s">
        <v>111</v>
      </c>
      <c r="K163" s="108"/>
      <c r="L163" s="102" t="s">
        <v>99</v>
      </c>
      <c r="M163" s="109"/>
      <c r="N163" s="102" t="s">
        <v>100</v>
      </c>
      <c r="O163" s="110"/>
      <c r="P163" s="111">
        <v>45021</v>
      </c>
      <c r="Q163" s="111">
        <v>45077</v>
      </c>
      <c r="R163" s="111">
        <v>45079</v>
      </c>
      <c r="S163" s="112"/>
      <c r="T163" s="113"/>
      <c r="U163" s="111">
        <v>45077</v>
      </c>
      <c r="V163" s="111">
        <v>45096</v>
      </c>
      <c r="W163" s="114"/>
      <c r="X163" s="115" t="s">
        <v>785</v>
      </c>
      <c r="Y163" s="102" t="s">
        <v>786</v>
      </c>
      <c r="Z163" s="102" t="s">
        <v>861</v>
      </c>
      <c r="AA163" s="116" t="str">
        <f t="shared" si="2"/>
        <v>REP</v>
      </c>
    </row>
    <row r="164" spans="2:27" ht="3.75" customHeight="1" x14ac:dyDescent="0.25">
      <c r="F164" s="119"/>
      <c r="AA164" s="57" t="str">
        <f t="shared" si="2"/>
        <v/>
      </c>
    </row>
    <row r="165" spans="2:27" s="101" customFormat="1" x14ac:dyDescent="0.25">
      <c r="B165" s="102" t="s">
        <v>264</v>
      </c>
      <c r="C165" s="103"/>
      <c r="D165" s="104" t="s">
        <v>265</v>
      </c>
      <c r="F165" s="104" t="s">
        <v>266</v>
      </c>
      <c r="G165" s="105"/>
      <c r="H165" s="104" t="s">
        <v>267</v>
      </c>
      <c r="I165" s="106"/>
      <c r="J165" s="107" t="s">
        <v>110</v>
      </c>
      <c r="K165" s="108"/>
      <c r="L165" s="102" t="s">
        <v>99</v>
      </c>
      <c r="M165" s="109"/>
      <c r="N165" s="102" t="s">
        <v>100</v>
      </c>
      <c r="O165" s="110"/>
      <c r="P165" s="111">
        <v>45071</v>
      </c>
      <c r="Q165" s="111">
        <v>45104</v>
      </c>
      <c r="R165" s="111">
        <v>45106</v>
      </c>
      <c r="S165" s="112"/>
      <c r="T165" s="113"/>
      <c r="U165" s="111">
        <v>45115</v>
      </c>
      <c r="V165" s="111">
        <v>45117</v>
      </c>
      <c r="W165" s="114"/>
      <c r="X165" s="115" t="s">
        <v>786</v>
      </c>
      <c r="Y165" s="102" t="s">
        <v>786</v>
      </c>
      <c r="Z165" s="102" t="s">
        <v>860</v>
      </c>
      <c r="AA165" s="116" t="str">
        <f t="shared" si="2"/>
        <v>Ambos</v>
      </c>
    </row>
    <row r="166" spans="2:27" ht="3.75" customHeight="1" x14ac:dyDescent="0.25">
      <c r="F166" s="119"/>
      <c r="AA166" s="57" t="str">
        <f t="shared" si="2"/>
        <v/>
      </c>
    </row>
    <row r="167" spans="2:27" s="101" customFormat="1" x14ac:dyDescent="0.25">
      <c r="B167" s="102" t="s">
        <v>268</v>
      </c>
      <c r="C167" s="103"/>
      <c r="D167" s="104" t="s">
        <v>269</v>
      </c>
      <c r="F167" s="104" t="s">
        <v>270</v>
      </c>
      <c r="G167" s="105"/>
      <c r="H167" s="104" t="s">
        <v>271</v>
      </c>
      <c r="I167" s="106"/>
      <c r="J167" s="107" t="s">
        <v>110</v>
      </c>
      <c r="K167" s="108"/>
      <c r="L167" s="102" t="s">
        <v>99</v>
      </c>
      <c r="M167" s="109"/>
      <c r="N167" s="102" t="s">
        <v>166</v>
      </c>
      <c r="O167" s="110"/>
      <c r="P167" s="111">
        <v>45077</v>
      </c>
      <c r="Q167" s="111">
        <v>45090</v>
      </c>
      <c r="R167" s="111">
        <v>45092</v>
      </c>
      <c r="S167" s="112"/>
      <c r="T167" s="113"/>
      <c r="U167" s="111">
        <v>45098</v>
      </c>
      <c r="V167" s="111">
        <v>45100</v>
      </c>
      <c r="W167" s="114"/>
      <c r="X167" s="115" t="s">
        <v>786</v>
      </c>
      <c r="Y167" s="102" t="s">
        <v>786</v>
      </c>
      <c r="Z167" s="102" t="s">
        <v>860</v>
      </c>
      <c r="AA167" s="116" t="str">
        <f t="shared" si="2"/>
        <v>Ambos</v>
      </c>
    </row>
    <row r="168" spans="2:27" ht="3.75" customHeight="1" x14ac:dyDescent="0.25">
      <c r="F168" s="119"/>
      <c r="AA168" s="57" t="str">
        <f t="shared" si="2"/>
        <v/>
      </c>
    </row>
    <row r="169" spans="2:27" x14ac:dyDescent="0.25">
      <c r="B169" s="48" t="s">
        <v>272</v>
      </c>
      <c r="C169" s="59"/>
      <c r="D169" s="49" t="s">
        <v>273</v>
      </c>
      <c r="F169" s="49" t="s">
        <v>274</v>
      </c>
      <c r="G169" s="82"/>
      <c r="H169" s="49" t="s">
        <v>275</v>
      </c>
      <c r="I169" s="83"/>
      <c r="J169" s="51" t="s">
        <v>239</v>
      </c>
      <c r="K169" s="84"/>
      <c r="L169" s="48" t="s">
        <v>99</v>
      </c>
      <c r="N169" s="48" t="s">
        <v>239</v>
      </c>
      <c r="O169" s="64"/>
      <c r="P169" s="54">
        <v>45065</v>
      </c>
      <c r="Q169" s="54">
        <v>45089</v>
      </c>
      <c r="R169" s="54">
        <v>45091</v>
      </c>
      <c r="S169" s="85"/>
      <c r="T169" s="86"/>
      <c r="U169" s="54">
        <v>45084</v>
      </c>
      <c r="V169" s="54">
        <v>45092</v>
      </c>
      <c r="W169" s="87"/>
      <c r="X169" s="88" t="s">
        <v>785</v>
      </c>
      <c r="Y169" s="48" t="s">
        <v>785</v>
      </c>
      <c r="Z169" s="48" t="s">
        <v>860</v>
      </c>
      <c r="AA169" s="57" t="str">
        <f t="shared" si="2"/>
        <v/>
      </c>
    </row>
    <row r="170" spans="2:27" ht="3.75" customHeight="1" x14ac:dyDescent="0.25">
      <c r="F170" s="119"/>
      <c r="AA170" s="57" t="str">
        <f t="shared" si="2"/>
        <v/>
      </c>
    </row>
    <row r="171" spans="2:27" x14ac:dyDescent="0.25">
      <c r="B171" s="48" t="s">
        <v>276</v>
      </c>
      <c r="C171" s="59"/>
      <c r="D171" s="49" t="s">
        <v>273</v>
      </c>
      <c r="F171" s="49" t="s">
        <v>277</v>
      </c>
      <c r="G171" s="89"/>
      <c r="H171" s="49" t="s">
        <v>278</v>
      </c>
      <c r="I171" s="83"/>
      <c r="J171" s="51" t="s">
        <v>239</v>
      </c>
      <c r="K171" s="84"/>
      <c r="L171" s="48" t="s">
        <v>99</v>
      </c>
      <c r="N171" s="48" t="s">
        <v>239</v>
      </c>
      <c r="O171" s="64"/>
      <c r="P171" s="54">
        <v>45096</v>
      </c>
      <c r="Q171" s="54">
        <v>45089</v>
      </c>
      <c r="R171" s="54">
        <v>45091</v>
      </c>
      <c r="S171" s="85"/>
      <c r="T171" s="86"/>
      <c r="U171" s="54">
        <v>45068</v>
      </c>
      <c r="V171" s="54">
        <v>45084</v>
      </c>
      <c r="W171" s="87"/>
      <c r="X171" s="88" t="s">
        <v>785</v>
      </c>
      <c r="Y171" s="48" t="s">
        <v>785</v>
      </c>
      <c r="Z171" s="48" t="s">
        <v>860</v>
      </c>
      <c r="AA171" s="57" t="str">
        <f t="shared" si="2"/>
        <v/>
      </c>
    </row>
    <row r="172" spans="2:27" ht="3.75" customHeight="1" x14ac:dyDescent="0.25">
      <c r="F172" s="119"/>
      <c r="AA172" s="57" t="str">
        <f t="shared" si="2"/>
        <v/>
      </c>
    </row>
    <row r="173" spans="2:27" x14ac:dyDescent="0.25">
      <c r="B173" s="48" t="s">
        <v>279</v>
      </c>
      <c r="C173" s="59"/>
      <c r="D173" s="49" t="s">
        <v>280</v>
      </c>
      <c r="F173" s="49" t="s">
        <v>281</v>
      </c>
      <c r="G173" s="82"/>
      <c r="H173" s="49" t="s">
        <v>121</v>
      </c>
      <c r="I173" s="83"/>
      <c r="J173" s="51" t="s">
        <v>166</v>
      </c>
      <c r="K173" s="84"/>
      <c r="L173" s="48" t="s">
        <v>99</v>
      </c>
      <c r="N173" s="48" t="s">
        <v>100</v>
      </c>
      <c r="O173" s="64"/>
      <c r="P173" s="54">
        <v>45058</v>
      </c>
      <c r="Q173" s="54">
        <v>45083</v>
      </c>
      <c r="R173" s="54">
        <v>45085</v>
      </c>
      <c r="S173" s="85"/>
      <c r="T173" s="86"/>
      <c r="U173" s="54">
        <v>45078</v>
      </c>
      <c r="V173" s="54">
        <v>45079</v>
      </c>
      <c r="W173" s="87"/>
      <c r="X173" s="88" t="s">
        <v>785</v>
      </c>
      <c r="Y173" s="48" t="s">
        <v>785</v>
      </c>
      <c r="Z173" s="48" t="s">
        <v>860</v>
      </c>
      <c r="AA173" s="57" t="str">
        <f t="shared" si="2"/>
        <v/>
      </c>
    </row>
    <row r="174" spans="2:27" ht="3.75" customHeight="1" x14ac:dyDescent="0.25">
      <c r="F174" s="119"/>
      <c r="AA174" s="57" t="str">
        <f t="shared" si="2"/>
        <v/>
      </c>
    </row>
    <row r="175" spans="2:27" s="101" customFormat="1" x14ac:dyDescent="0.25">
      <c r="B175" s="102" t="s">
        <v>282</v>
      </c>
      <c r="C175" s="103"/>
      <c r="D175" s="104" t="s">
        <v>283</v>
      </c>
      <c r="F175" s="104" t="s">
        <v>284</v>
      </c>
      <c r="G175" s="105"/>
      <c r="H175" s="104" t="s">
        <v>157</v>
      </c>
      <c r="I175" s="106"/>
      <c r="J175" s="107" t="s">
        <v>110</v>
      </c>
      <c r="K175" s="108"/>
      <c r="L175" s="102" t="s">
        <v>99</v>
      </c>
      <c r="M175" s="109"/>
      <c r="N175" s="102" t="s">
        <v>100</v>
      </c>
      <c r="O175" s="110"/>
      <c r="P175" s="111">
        <v>45075</v>
      </c>
      <c r="Q175" s="111">
        <v>45089</v>
      </c>
      <c r="R175" s="111">
        <v>45091</v>
      </c>
      <c r="S175" s="112"/>
      <c r="T175" s="113"/>
      <c r="U175" s="111">
        <v>45093</v>
      </c>
      <c r="V175" s="111">
        <v>45096</v>
      </c>
      <c r="W175" s="114"/>
      <c r="X175" s="115" t="s">
        <v>786</v>
      </c>
      <c r="Y175" s="102" t="s">
        <v>786</v>
      </c>
      <c r="Z175" s="102" t="s">
        <v>860</v>
      </c>
      <c r="AA175" s="116" t="str">
        <f t="shared" si="2"/>
        <v>Ambos</v>
      </c>
    </row>
    <row r="176" spans="2:27" ht="3.75" customHeight="1" x14ac:dyDescent="0.25">
      <c r="F176" s="119"/>
      <c r="AA176" s="57" t="str">
        <f t="shared" si="2"/>
        <v/>
      </c>
    </row>
    <row r="177" spans="2:27" s="101" customFormat="1" x14ac:dyDescent="0.25">
      <c r="B177" s="102" t="s">
        <v>285</v>
      </c>
      <c r="C177" s="103"/>
      <c r="D177" s="104" t="s">
        <v>286</v>
      </c>
      <c r="F177" s="104" t="s">
        <v>287</v>
      </c>
      <c r="G177" s="118"/>
      <c r="H177" s="104" t="s">
        <v>288</v>
      </c>
      <c r="I177" s="106"/>
      <c r="J177" s="107" t="s">
        <v>110</v>
      </c>
      <c r="K177" s="108"/>
      <c r="L177" s="102" t="s">
        <v>99</v>
      </c>
      <c r="M177" s="109"/>
      <c r="N177" s="102" t="s">
        <v>100</v>
      </c>
      <c r="O177" s="110"/>
      <c r="P177" s="111">
        <v>45044</v>
      </c>
      <c r="Q177" s="111">
        <v>45082</v>
      </c>
      <c r="R177" s="111">
        <v>45084</v>
      </c>
      <c r="S177" s="112"/>
      <c r="T177" s="113"/>
      <c r="U177" s="111">
        <v>45104</v>
      </c>
      <c r="V177" s="111">
        <v>45105</v>
      </c>
      <c r="W177" s="114"/>
      <c r="X177" s="115" t="s">
        <v>786</v>
      </c>
      <c r="Y177" s="102" t="s">
        <v>786</v>
      </c>
      <c r="Z177" s="102" t="s">
        <v>860</v>
      </c>
      <c r="AA177" s="116" t="str">
        <f t="shared" si="2"/>
        <v>Ambos</v>
      </c>
    </row>
    <row r="178" spans="2:27" ht="3.75" customHeight="1" x14ac:dyDescent="0.25">
      <c r="F178" s="119"/>
      <c r="AA178" s="57" t="str">
        <f t="shared" si="2"/>
        <v/>
      </c>
    </row>
    <row r="179" spans="2:27" s="101" customFormat="1" x14ac:dyDescent="0.25">
      <c r="B179" s="102" t="s">
        <v>289</v>
      </c>
      <c r="C179" s="103"/>
      <c r="D179" s="104" t="s">
        <v>286</v>
      </c>
      <c r="F179" s="104" t="s">
        <v>290</v>
      </c>
      <c r="G179" s="105"/>
      <c r="H179" s="104" t="s">
        <v>291</v>
      </c>
      <c r="I179" s="106"/>
      <c r="J179" s="107" t="s">
        <v>110</v>
      </c>
      <c r="K179" s="108"/>
      <c r="L179" s="102" t="s">
        <v>99</v>
      </c>
      <c r="M179" s="109"/>
      <c r="N179" s="102" t="s">
        <v>100</v>
      </c>
      <c r="O179" s="110"/>
      <c r="P179" s="111">
        <v>45044</v>
      </c>
      <c r="Q179" s="111">
        <v>45082</v>
      </c>
      <c r="R179" s="111">
        <v>45084</v>
      </c>
      <c r="S179" s="112"/>
      <c r="T179" s="113"/>
      <c r="U179" s="111">
        <v>45092</v>
      </c>
      <c r="V179" s="111">
        <v>45096</v>
      </c>
      <c r="W179" s="114"/>
      <c r="X179" s="115" t="s">
        <v>786</v>
      </c>
      <c r="Y179" s="102" t="s">
        <v>786</v>
      </c>
      <c r="Z179" s="102" t="s">
        <v>860</v>
      </c>
      <c r="AA179" s="116" t="str">
        <f t="shared" si="2"/>
        <v>Ambos</v>
      </c>
    </row>
    <row r="180" spans="2:27" ht="3.75" customHeight="1" x14ac:dyDescent="0.25">
      <c r="F180" s="119"/>
      <c r="AA180" s="57" t="str">
        <f t="shared" si="2"/>
        <v/>
      </c>
    </row>
    <row r="181" spans="2:27" s="101" customFormat="1" x14ac:dyDescent="0.25">
      <c r="B181" s="102" t="s">
        <v>292</v>
      </c>
      <c r="C181" s="103"/>
      <c r="D181" s="104" t="s">
        <v>286</v>
      </c>
      <c r="F181" s="104" t="s">
        <v>293</v>
      </c>
      <c r="G181" s="118"/>
      <c r="H181" s="104" t="s">
        <v>291</v>
      </c>
      <c r="I181" s="106"/>
      <c r="J181" s="107" t="s">
        <v>110</v>
      </c>
      <c r="K181" s="108"/>
      <c r="L181" s="102" t="s">
        <v>99</v>
      </c>
      <c r="M181" s="109"/>
      <c r="N181" s="102" t="s">
        <v>100</v>
      </c>
      <c r="O181" s="110"/>
      <c r="P181" s="111">
        <v>45044</v>
      </c>
      <c r="Q181" s="111">
        <v>45082</v>
      </c>
      <c r="R181" s="111">
        <v>45084</v>
      </c>
      <c r="S181" s="112"/>
      <c r="T181" s="113"/>
      <c r="U181" s="111">
        <v>45091</v>
      </c>
      <c r="V181" s="111">
        <v>45096</v>
      </c>
      <c r="W181" s="114"/>
      <c r="X181" s="115" t="s">
        <v>786</v>
      </c>
      <c r="Y181" s="102" t="s">
        <v>786</v>
      </c>
      <c r="Z181" s="102" t="s">
        <v>860</v>
      </c>
      <c r="AA181" s="116" t="str">
        <f t="shared" si="2"/>
        <v>Ambos</v>
      </c>
    </row>
    <row r="182" spans="2:27" ht="3.75" customHeight="1" x14ac:dyDescent="0.25">
      <c r="F182" s="119"/>
      <c r="AA182" s="57" t="str">
        <f t="shared" si="2"/>
        <v/>
      </c>
    </row>
    <row r="183" spans="2:27" s="101" customFormat="1" x14ac:dyDescent="0.25">
      <c r="B183" s="102" t="s">
        <v>294</v>
      </c>
      <c r="C183" s="103"/>
      <c r="D183" s="104" t="s">
        <v>286</v>
      </c>
      <c r="F183" s="104" t="s">
        <v>290</v>
      </c>
      <c r="G183" s="105"/>
      <c r="H183" s="104" t="s">
        <v>291</v>
      </c>
      <c r="I183" s="106"/>
      <c r="J183" s="107" t="s">
        <v>110</v>
      </c>
      <c r="K183" s="108"/>
      <c r="L183" s="102" t="s">
        <v>99</v>
      </c>
      <c r="M183" s="109"/>
      <c r="N183" s="102" t="s">
        <v>100</v>
      </c>
      <c r="O183" s="110"/>
      <c r="P183" s="111">
        <v>45044</v>
      </c>
      <c r="Q183" s="111">
        <v>45082</v>
      </c>
      <c r="R183" s="111">
        <v>45084</v>
      </c>
      <c r="S183" s="112"/>
      <c r="T183" s="113"/>
      <c r="U183" s="111">
        <v>45091</v>
      </c>
      <c r="V183" s="111">
        <v>45096</v>
      </c>
      <c r="W183" s="114"/>
      <c r="X183" s="115" t="s">
        <v>786</v>
      </c>
      <c r="Y183" s="102" t="s">
        <v>786</v>
      </c>
      <c r="Z183" s="102" t="s">
        <v>860</v>
      </c>
      <c r="AA183" s="116" t="str">
        <f t="shared" si="2"/>
        <v>Ambos</v>
      </c>
    </row>
    <row r="184" spans="2:27" ht="3.75" customHeight="1" x14ac:dyDescent="0.25">
      <c r="F184" s="119"/>
      <c r="AA184" s="57" t="str">
        <f t="shared" si="2"/>
        <v/>
      </c>
    </row>
    <row r="185" spans="2:27" x14ac:dyDescent="0.25">
      <c r="B185" s="48" t="s">
        <v>295</v>
      </c>
      <c r="C185" s="59"/>
      <c r="D185" s="49" t="s">
        <v>296</v>
      </c>
      <c r="F185" s="49" t="s">
        <v>297</v>
      </c>
      <c r="G185" s="82"/>
      <c r="H185" s="49" t="s">
        <v>298</v>
      </c>
      <c r="I185" s="83"/>
      <c r="J185" s="51" t="s">
        <v>166</v>
      </c>
      <c r="K185" s="84"/>
      <c r="L185" s="48" t="s">
        <v>99</v>
      </c>
      <c r="N185" s="48" t="s">
        <v>166</v>
      </c>
      <c r="O185" s="64"/>
      <c r="P185" s="54">
        <v>45015</v>
      </c>
      <c r="Q185" s="54">
        <v>45096</v>
      </c>
      <c r="R185" s="54">
        <v>45098</v>
      </c>
      <c r="S185" s="85"/>
      <c r="T185" s="86"/>
      <c r="U185" s="54">
        <v>45092</v>
      </c>
      <c r="V185" s="54">
        <v>45098</v>
      </c>
      <c r="W185" s="87"/>
      <c r="X185" s="88" t="s">
        <v>785</v>
      </c>
      <c r="Y185" s="48" t="s">
        <v>785</v>
      </c>
      <c r="Z185" s="48" t="s">
        <v>860</v>
      </c>
      <c r="AA185" s="57" t="str">
        <f t="shared" si="2"/>
        <v/>
      </c>
    </row>
    <row r="186" spans="2:27" ht="3.75" customHeight="1" x14ac:dyDescent="0.25">
      <c r="F186" s="119"/>
      <c r="AA186" s="57" t="str">
        <f t="shared" si="2"/>
        <v/>
      </c>
    </row>
    <row r="187" spans="2:27" x14ac:dyDescent="0.25">
      <c r="B187" s="48" t="s">
        <v>299</v>
      </c>
      <c r="C187" s="59"/>
      <c r="D187" s="49" t="s">
        <v>300</v>
      </c>
      <c r="F187" s="49" t="s">
        <v>301</v>
      </c>
      <c r="G187" s="82"/>
      <c r="H187" s="49" t="s">
        <v>194</v>
      </c>
      <c r="I187" s="83"/>
      <c r="J187" s="51" t="s">
        <v>166</v>
      </c>
      <c r="K187" s="84"/>
      <c r="L187" s="48" t="s">
        <v>99</v>
      </c>
      <c r="N187" s="48" t="s">
        <v>239</v>
      </c>
      <c r="O187" s="64"/>
      <c r="P187" s="54">
        <v>45068</v>
      </c>
      <c r="Q187" s="54">
        <v>45089</v>
      </c>
      <c r="R187" s="54">
        <v>45091</v>
      </c>
      <c r="S187" s="85"/>
      <c r="T187" s="86"/>
      <c r="U187" s="54">
        <v>45084</v>
      </c>
      <c r="V187" s="54">
        <v>45090</v>
      </c>
      <c r="W187" s="87"/>
      <c r="X187" s="88" t="s">
        <v>785</v>
      </c>
      <c r="Y187" s="48" t="s">
        <v>785</v>
      </c>
      <c r="Z187" s="48" t="s">
        <v>859</v>
      </c>
      <c r="AA187" s="57" t="str">
        <f t="shared" si="2"/>
        <v/>
      </c>
    </row>
    <row r="188" spans="2:27" ht="3.75" customHeight="1" x14ac:dyDescent="0.25">
      <c r="F188" s="119"/>
      <c r="AA188" s="57" t="str">
        <f t="shared" si="2"/>
        <v/>
      </c>
    </row>
    <row r="189" spans="2:27" x14ac:dyDescent="0.25">
      <c r="B189" s="48" t="s">
        <v>302</v>
      </c>
      <c r="C189" s="59"/>
      <c r="D189" s="49" t="s">
        <v>303</v>
      </c>
      <c r="F189" s="49" t="s">
        <v>304</v>
      </c>
      <c r="G189" s="82"/>
      <c r="H189" s="49" t="s">
        <v>121</v>
      </c>
      <c r="I189" s="83"/>
      <c r="J189" s="51" t="s">
        <v>166</v>
      </c>
      <c r="K189" s="84"/>
      <c r="L189" s="48" t="s">
        <v>99</v>
      </c>
      <c r="N189" s="48" t="s">
        <v>100</v>
      </c>
      <c r="O189" s="64"/>
      <c r="P189" s="54">
        <v>45091</v>
      </c>
      <c r="Q189" s="54">
        <v>45105</v>
      </c>
      <c r="R189" s="54">
        <v>45107</v>
      </c>
      <c r="S189" s="85"/>
      <c r="T189" s="86"/>
      <c r="U189" s="54">
        <v>45100</v>
      </c>
      <c r="V189" s="54">
        <v>45100</v>
      </c>
      <c r="W189" s="87"/>
      <c r="X189" s="88" t="s">
        <v>785</v>
      </c>
      <c r="Y189" s="48" t="s">
        <v>785</v>
      </c>
      <c r="Z189" s="48" t="s">
        <v>861</v>
      </c>
      <c r="AA189" s="57" t="str">
        <f t="shared" si="2"/>
        <v/>
      </c>
    </row>
    <row r="190" spans="2:27" ht="3.75" customHeight="1" x14ac:dyDescent="0.25">
      <c r="F190" s="119"/>
      <c r="AA190" s="57" t="str">
        <f t="shared" si="2"/>
        <v/>
      </c>
    </row>
    <row r="191" spans="2:27" s="101" customFormat="1" x14ac:dyDescent="0.25">
      <c r="B191" s="102" t="s">
        <v>305</v>
      </c>
      <c r="C191" s="103"/>
      <c r="D191" s="104" t="s">
        <v>306</v>
      </c>
      <c r="F191" s="104" t="s">
        <v>307</v>
      </c>
      <c r="G191" s="105"/>
      <c r="H191" s="104" t="s">
        <v>308</v>
      </c>
      <c r="I191" s="106"/>
      <c r="J191" s="107" t="s">
        <v>166</v>
      </c>
      <c r="K191" s="108"/>
      <c r="L191" s="102" t="s">
        <v>99</v>
      </c>
      <c r="M191" s="109"/>
      <c r="N191" s="102" t="s">
        <v>100</v>
      </c>
      <c r="O191" s="110"/>
      <c r="P191" s="111">
        <v>45068</v>
      </c>
      <c r="Q191" s="111">
        <v>45089</v>
      </c>
      <c r="R191" s="111">
        <v>45091</v>
      </c>
      <c r="S191" s="112"/>
      <c r="T191" s="113"/>
      <c r="U191" s="111">
        <v>45091</v>
      </c>
      <c r="V191" s="111">
        <v>45096</v>
      </c>
      <c r="W191" s="114"/>
      <c r="X191" s="115" t="s">
        <v>786</v>
      </c>
      <c r="Y191" s="102" t="s">
        <v>786</v>
      </c>
      <c r="Z191" s="102" t="s">
        <v>859</v>
      </c>
      <c r="AA191" s="116" t="str">
        <f t="shared" si="2"/>
        <v>Ambos</v>
      </c>
    </row>
    <row r="192" spans="2:27" ht="3.75" customHeight="1" x14ac:dyDescent="0.25">
      <c r="F192" s="119"/>
      <c r="AA192" s="57" t="str">
        <f t="shared" si="2"/>
        <v/>
      </c>
    </row>
    <row r="193" spans="2:27" s="101" customFormat="1" x14ac:dyDescent="0.25">
      <c r="B193" s="102" t="s">
        <v>309</v>
      </c>
      <c r="C193" s="103"/>
      <c r="D193" s="104" t="s">
        <v>306</v>
      </c>
      <c r="F193" s="104" t="s">
        <v>310</v>
      </c>
      <c r="G193" s="105"/>
      <c r="H193" s="104" t="s">
        <v>308</v>
      </c>
      <c r="I193" s="106"/>
      <c r="J193" s="107" t="s">
        <v>166</v>
      </c>
      <c r="K193" s="108"/>
      <c r="L193" s="102" t="s">
        <v>99</v>
      </c>
      <c r="M193" s="109"/>
      <c r="N193" s="102" t="s">
        <v>100</v>
      </c>
      <c r="O193" s="110"/>
      <c r="P193" s="111">
        <v>45068</v>
      </c>
      <c r="Q193" s="111">
        <v>45089</v>
      </c>
      <c r="R193" s="111">
        <v>45091</v>
      </c>
      <c r="S193" s="112"/>
      <c r="T193" s="113"/>
      <c r="U193" s="111">
        <v>45091</v>
      </c>
      <c r="V193" s="111">
        <v>45096</v>
      </c>
      <c r="W193" s="114"/>
      <c r="X193" s="115" t="s">
        <v>786</v>
      </c>
      <c r="Y193" s="102" t="s">
        <v>786</v>
      </c>
      <c r="Z193" s="102" t="s">
        <v>859</v>
      </c>
      <c r="AA193" s="116" t="str">
        <f t="shared" si="2"/>
        <v>Ambos</v>
      </c>
    </row>
    <row r="194" spans="2:27" ht="3.75" customHeight="1" x14ac:dyDescent="0.25">
      <c r="F194" s="119"/>
      <c r="AA194" s="57" t="str">
        <f t="shared" si="2"/>
        <v/>
      </c>
    </row>
    <row r="195" spans="2:27" x14ac:dyDescent="0.25">
      <c r="B195" s="48" t="s">
        <v>311</v>
      </c>
      <c r="C195" s="59"/>
      <c r="D195" s="49" t="s">
        <v>312</v>
      </c>
      <c r="F195" s="49" t="s">
        <v>313</v>
      </c>
      <c r="G195" s="82"/>
      <c r="H195" s="49" t="s">
        <v>121</v>
      </c>
      <c r="I195" s="83"/>
      <c r="J195" s="51" t="s">
        <v>111</v>
      </c>
      <c r="K195" s="84"/>
      <c r="L195" s="48" t="s">
        <v>99</v>
      </c>
      <c r="N195" s="48" t="s">
        <v>100</v>
      </c>
      <c r="O195" s="64"/>
      <c r="P195" s="54">
        <v>45035</v>
      </c>
      <c r="Q195" s="54">
        <v>45082</v>
      </c>
      <c r="R195" s="54">
        <v>45084</v>
      </c>
      <c r="S195" s="85"/>
      <c r="T195" s="86"/>
      <c r="U195" s="54">
        <v>45079</v>
      </c>
      <c r="V195" s="54">
        <v>45083</v>
      </c>
      <c r="W195" s="87"/>
      <c r="X195" s="88" t="s">
        <v>785</v>
      </c>
      <c r="Y195" s="48" t="s">
        <v>785</v>
      </c>
      <c r="Z195" s="48" t="s">
        <v>860</v>
      </c>
      <c r="AA195" s="57" t="str">
        <f t="shared" si="2"/>
        <v/>
      </c>
    </row>
    <row r="196" spans="2:27" ht="3.75" customHeight="1" x14ac:dyDescent="0.25">
      <c r="F196" s="119"/>
      <c r="AA196" s="57" t="str">
        <f t="shared" si="2"/>
        <v/>
      </c>
    </row>
    <row r="197" spans="2:27" x14ac:dyDescent="0.25">
      <c r="B197" s="48" t="s">
        <v>314</v>
      </c>
      <c r="C197" s="59"/>
      <c r="D197" s="49" t="s">
        <v>312</v>
      </c>
      <c r="F197" s="49" t="s">
        <v>315</v>
      </c>
      <c r="G197" s="82"/>
      <c r="H197" s="49" t="s">
        <v>121</v>
      </c>
      <c r="I197" s="83"/>
      <c r="J197" s="51" t="s">
        <v>111</v>
      </c>
      <c r="K197" s="84"/>
      <c r="L197" s="48" t="s">
        <v>99</v>
      </c>
      <c r="N197" s="48" t="s">
        <v>100</v>
      </c>
      <c r="O197" s="64"/>
      <c r="P197" s="54">
        <v>45035</v>
      </c>
      <c r="Q197" s="54">
        <v>45082</v>
      </c>
      <c r="R197" s="54">
        <v>45084</v>
      </c>
      <c r="S197" s="85"/>
      <c r="T197" s="86"/>
      <c r="U197" s="54">
        <v>45082</v>
      </c>
      <c r="V197" s="54">
        <v>45083</v>
      </c>
      <c r="W197" s="87"/>
      <c r="X197" s="88" t="s">
        <v>785</v>
      </c>
      <c r="Y197" s="48" t="s">
        <v>785</v>
      </c>
      <c r="Z197" s="48" t="s">
        <v>860</v>
      </c>
      <c r="AA197" s="57" t="str">
        <f t="shared" si="2"/>
        <v/>
      </c>
    </row>
    <row r="198" spans="2:27" ht="3.75" customHeight="1" x14ac:dyDescent="0.25">
      <c r="F198" s="119"/>
      <c r="AA198" s="57" t="str">
        <f t="shared" si="2"/>
        <v/>
      </c>
    </row>
    <row r="199" spans="2:27" x14ac:dyDescent="0.25">
      <c r="B199" s="48" t="s">
        <v>316</v>
      </c>
      <c r="C199" s="59"/>
      <c r="D199" s="49" t="s">
        <v>317</v>
      </c>
      <c r="F199" s="49" t="s">
        <v>318</v>
      </c>
      <c r="G199" s="82"/>
      <c r="H199" s="49" t="s">
        <v>319</v>
      </c>
      <c r="I199" s="83"/>
      <c r="J199" s="51" t="s">
        <v>166</v>
      </c>
      <c r="K199" s="84"/>
      <c r="L199" s="48" t="s">
        <v>99</v>
      </c>
      <c r="N199" s="48" t="s">
        <v>100</v>
      </c>
      <c r="O199" s="64"/>
      <c r="P199" s="54">
        <v>45058</v>
      </c>
      <c r="Q199" s="54">
        <v>45103</v>
      </c>
      <c r="R199" s="54">
        <v>45105</v>
      </c>
      <c r="S199" s="85"/>
      <c r="T199" s="86"/>
      <c r="U199" s="54">
        <v>45104</v>
      </c>
      <c r="V199" s="54">
        <v>45104</v>
      </c>
      <c r="W199" s="87"/>
      <c r="X199" s="88" t="s">
        <v>786</v>
      </c>
      <c r="Y199" s="48" t="s">
        <v>785</v>
      </c>
      <c r="Z199" s="48" t="s">
        <v>860</v>
      </c>
      <c r="AA199" s="57" t="str">
        <f t="shared" si="2"/>
        <v>Técnico</v>
      </c>
    </row>
    <row r="200" spans="2:27" ht="3.75" customHeight="1" x14ac:dyDescent="0.25">
      <c r="F200" s="119"/>
      <c r="AA200" s="57" t="str">
        <f t="shared" si="2"/>
        <v/>
      </c>
    </row>
    <row r="201" spans="2:27" x14ac:dyDescent="0.25">
      <c r="B201" s="48" t="s">
        <v>320</v>
      </c>
      <c r="C201" s="59"/>
      <c r="D201" s="49" t="s">
        <v>317</v>
      </c>
      <c r="F201" s="49" t="s">
        <v>318</v>
      </c>
      <c r="G201" s="82"/>
      <c r="H201" s="49" t="s">
        <v>121</v>
      </c>
      <c r="I201" s="83"/>
      <c r="J201" s="51" t="s">
        <v>166</v>
      </c>
      <c r="K201" s="84"/>
      <c r="L201" s="48" t="s">
        <v>99</v>
      </c>
      <c r="N201" s="48" t="s">
        <v>100</v>
      </c>
      <c r="O201" s="64"/>
      <c r="P201" s="54">
        <v>45065</v>
      </c>
      <c r="Q201" s="54">
        <v>45103</v>
      </c>
      <c r="R201" s="54">
        <v>45105</v>
      </c>
      <c r="S201" s="85"/>
      <c r="T201" s="86"/>
      <c r="U201" s="54">
        <v>45093</v>
      </c>
      <c r="V201" s="54">
        <v>45104</v>
      </c>
      <c r="W201" s="87"/>
      <c r="X201" s="88" t="s">
        <v>785</v>
      </c>
      <c r="Y201" s="48" t="s">
        <v>785</v>
      </c>
      <c r="Z201" s="48" t="s">
        <v>860</v>
      </c>
      <c r="AA201" s="57" t="str">
        <f t="shared" si="2"/>
        <v/>
      </c>
    </row>
    <row r="202" spans="2:27" ht="3.75" customHeight="1" x14ac:dyDescent="0.25">
      <c r="F202" s="119"/>
      <c r="AA202" s="57" t="str">
        <f t="shared" si="2"/>
        <v/>
      </c>
    </row>
    <row r="203" spans="2:27" x14ac:dyDescent="0.25">
      <c r="B203" s="48" t="s">
        <v>321</v>
      </c>
      <c r="C203" s="59"/>
      <c r="D203" s="49" t="s">
        <v>322</v>
      </c>
      <c r="F203" s="49" t="s">
        <v>323</v>
      </c>
      <c r="G203" s="82"/>
      <c r="H203" s="49" t="s">
        <v>324</v>
      </c>
      <c r="I203" s="83"/>
      <c r="J203" s="51" t="s">
        <v>166</v>
      </c>
      <c r="K203" s="84"/>
      <c r="L203" s="48" t="s">
        <v>99</v>
      </c>
      <c r="N203" s="48" t="s">
        <v>239</v>
      </c>
      <c r="O203" s="64"/>
      <c r="P203" s="54">
        <v>45071</v>
      </c>
      <c r="Q203" s="54">
        <v>45100</v>
      </c>
      <c r="R203" s="54">
        <v>45104</v>
      </c>
      <c r="S203" s="85"/>
      <c r="T203" s="86"/>
      <c r="U203" s="54">
        <v>45103</v>
      </c>
      <c r="V203" s="54">
        <v>45104</v>
      </c>
      <c r="W203" s="87"/>
      <c r="X203" s="88" t="s">
        <v>786</v>
      </c>
      <c r="Y203" s="48" t="s">
        <v>785</v>
      </c>
      <c r="Z203" s="48" t="s">
        <v>860</v>
      </c>
      <c r="AA203" s="57" t="str">
        <f t="shared" si="2"/>
        <v>Técnico</v>
      </c>
    </row>
    <row r="204" spans="2:27" ht="3.75" customHeight="1" x14ac:dyDescent="0.25">
      <c r="F204" s="119"/>
      <c r="AA204" s="57" t="str">
        <f t="shared" ref="AA204:AA267" si="3">IFERROR(
IF(AND(X204="Não",Y204="Sim"),"REP",
IF(AND(X204="Sim",Y204="Não"),"Técnico",
IF(AND(X204="Sim",Y204="Sim"),"Ambos",""))),
"")</f>
        <v/>
      </c>
    </row>
    <row r="205" spans="2:27" x14ac:dyDescent="0.25">
      <c r="B205" s="48" t="s">
        <v>325</v>
      </c>
      <c r="C205" s="59"/>
      <c r="D205" s="49" t="s">
        <v>283</v>
      </c>
      <c r="F205" s="49" t="s">
        <v>326</v>
      </c>
      <c r="G205" s="82"/>
      <c r="H205" s="49" t="s">
        <v>327</v>
      </c>
      <c r="I205" s="83"/>
      <c r="J205" s="51" t="s">
        <v>110</v>
      </c>
      <c r="K205" s="84"/>
      <c r="L205" s="48" t="s">
        <v>99</v>
      </c>
      <c r="N205" s="48" t="s">
        <v>239</v>
      </c>
      <c r="O205" s="64"/>
      <c r="P205" s="54">
        <v>45079</v>
      </c>
      <c r="Q205" s="54">
        <v>45089</v>
      </c>
      <c r="R205" s="54">
        <v>45091</v>
      </c>
      <c r="S205" s="85"/>
      <c r="T205" s="86"/>
      <c r="U205" s="54">
        <v>45084</v>
      </c>
      <c r="V205" s="54">
        <v>45093</v>
      </c>
      <c r="W205" s="87"/>
      <c r="X205" s="88" t="s">
        <v>785</v>
      </c>
      <c r="Y205" s="48" t="s">
        <v>785</v>
      </c>
      <c r="Z205" s="48" t="s">
        <v>860</v>
      </c>
      <c r="AA205" s="57" t="str">
        <f t="shared" si="3"/>
        <v/>
      </c>
    </row>
    <row r="206" spans="2:27" ht="3.75" customHeight="1" x14ac:dyDescent="0.25">
      <c r="F206" s="119"/>
      <c r="AA206" s="57" t="str">
        <f t="shared" si="3"/>
        <v/>
      </c>
    </row>
    <row r="207" spans="2:27" s="101" customFormat="1" x14ac:dyDescent="0.25">
      <c r="B207" s="102" t="s">
        <v>328</v>
      </c>
      <c r="C207" s="103"/>
      <c r="D207" s="104" t="s">
        <v>329</v>
      </c>
      <c r="F207" s="104" t="s">
        <v>330</v>
      </c>
      <c r="G207" s="105"/>
      <c r="H207" s="104" t="s">
        <v>331</v>
      </c>
      <c r="I207" s="106"/>
      <c r="J207" s="107" t="s">
        <v>166</v>
      </c>
      <c r="K207" s="108"/>
      <c r="L207" s="102" t="s">
        <v>99</v>
      </c>
      <c r="M207" s="109"/>
      <c r="N207" s="102" t="s">
        <v>100</v>
      </c>
      <c r="O207" s="110"/>
      <c r="P207" s="111">
        <v>45068</v>
      </c>
      <c r="Q207" s="111">
        <v>45082</v>
      </c>
      <c r="R207" s="111">
        <v>45084</v>
      </c>
      <c r="S207" s="112"/>
      <c r="T207" s="113"/>
      <c r="U207" s="111">
        <v>45104</v>
      </c>
      <c r="V207" s="111">
        <v>45105</v>
      </c>
      <c r="W207" s="114"/>
      <c r="X207" s="115" t="s">
        <v>786</v>
      </c>
      <c r="Y207" s="102" t="s">
        <v>786</v>
      </c>
      <c r="Z207" s="102" t="s">
        <v>859</v>
      </c>
      <c r="AA207" s="116" t="str">
        <f t="shared" si="3"/>
        <v>Ambos</v>
      </c>
    </row>
    <row r="208" spans="2:27" ht="3.75" customHeight="1" x14ac:dyDescent="0.25">
      <c r="F208" s="119"/>
      <c r="AA208" s="57" t="str">
        <f t="shared" si="3"/>
        <v/>
      </c>
    </row>
    <row r="209" spans="2:27" s="101" customFormat="1" x14ac:dyDescent="0.25">
      <c r="B209" s="102" t="s">
        <v>332</v>
      </c>
      <c r="C209" s="103"/>
      <c r="D209" s="104" t="s">
        <v>333</v>
      </c>
      <c r="F209" s="104" t="s">
        <v>193</v>
      </c>
      <c r="G209" s="105"/>
      <c r="H209" s="104" t="s">
        <v>334</v>
      </c>
      <c r="I209" s="106"/>
      <c r="J209" s="107" t="s">
        <v>105</v>
      </c>
      <c r="K209" s="108"/>
      <c r="L209" s="102" t="s">
        <v>99</v>
      </c>
      <c r="M209" s="109"/>
      <c r="N209" s="102" t="s">
        <v>100</v>
      </c>
      <c r="O209" s="110"/>
      <c r="P209" s="111">
        <v>45044</v>
      </c>
      <c r="Q209" s="111">
        <v>45076</v>
      </c>
      <c r="R209" s="111">
        <v>45078</v>
      </c>
      <c r="S209" s="112"/>
      <c r="T209" s="113"/>
      <c r="U209" s="111">
        <v>45097</v>
      </c>
      <c r="V209" s="111">
        <v>45098</v>
      </c>
      <c r="W209" s="114"/>
      <c r="X209" s="115" t="s">
        <v>786</v>
      </c>
      <c r="Y209" s="102" t="s">
        <v>786</v>
      </c>
      <c r="Z209" s="102" t="s">
        <v>859</v>
      </c>
      <c r="AA209" s="116" t="str">
        <f t="shared" si="3"/>
        <v>Ambos</v>
      </c>
    </row>
    <row r="210" spans="2:27" ht="3.75" customHeight="1" x14ac:dyDescent="0.25">
      <c r="F210" s="119"/>
      <c r="AA210" s="57" t="str">
        <f t="shared" si="3"/>
        <v/>
      </c>
    </row>
    <row r="211" spans="2:27" s="101" customFormat="1" x14ac:dyDescent="0.25">
      <c r="B211" s="102" t="s">
        <v>332</v>
      </c>
      <c r="C211" s="103"/>
      <c r="D211" s="104" t="s">
        <v>333</v>
      </c>
      <c r="F211" s="104" t="s">
        <v>193</v>
      </c>
      <c r="G211" s="105"/>
      <c r="H211" s="104" t="s">
        <v>334</v>
      </c>
      <c r="I211" s="106"/>
      <c r="J211" s="107" t="s">
        <v>105</v>
      </c>
      <c r="K211" s="108"/>
      <c r="L211" s="102" t="s">
        <v>99</v>
      </c>
      <c r="M211" s="109"/>
      <c r="N211" s="102" t="s">
        <v>100</v>
      </c>
      <c r="O211" s="110"/>
      <c r="P211" s="111">
        <v>45044</v>
      </c>
      <c r="Q211" s="111">
        <v>45076</v>
      </c>
      <c r="R211" s="111">
        <v>45078</v>
      </c>
      <c r="S211" s="112"/>
      <c r="T211" s="113"/>
      <c r="U211" s="111">
        <v>45082</v>
      </c>
      <c r="V211" s="111">
        <v>45098</v>
      </c>
      <c r="W211" s="114"/>
      <c r="X211" s="115" t="s">
        <v>786</v>
      </c>
      <c r="Y211" s="102" t="s">
        <v>786</v>
      </c>
      <c r="Z211" s="102" t="s">
        <v>859</v>
      </c>
      <c r="AA211" s="116" t="str">
        <f t="shared" si="3"/>
        <v>Ambos</v>
      </c>
    </row>
    <row r="212" spans="2:27" ht="3.75" customHeight="1" x14ac:dyDescent="0.25">
      <c r="F212" s="119"/>
      <c r="AA212" s="57" t="str">
        <f t="shared" si="3"/>
        <v/>
      </c>
    </row>
    <row r="213" spans="2:27" s="101" customFormat="1" x14ac:dyDescent="0.25">
      <c r="B213" s="102" t="s">
        <v>335</v>
      </c>
      <c r="C213" s="103"/>
      <c r="D213" s="104" t="s">
        <v>333</v>
      </c>
      <c r="F213" s="104" t="s">
        <v>336</v>
      </c>
      <c r="G213" s="105"/>
      <c r="H213" s="104" t="s">
        <v>337</v>
      </c>
      <c r="I213" s="106"/>
      <c r="J213" s="107" t="s">
        <v>105</v>
      </c>
      <c r="K213" s="108"/>
      <c r="L213" s="102" t="s">
        <v>99</v>
      </c>
      <c r="M213" s="109"/>
      <c r="N213" s="102" t="s">
        <v>100</v>
      </c>
      <c r="O213" s="110"/>
      <c r="P213" s="111">
        <v>45044</v>
      </c>
      <c r="Q213" s="111">
        <v>45076</v>
      </c>
      <c r="R213" s="111">
        <v>45078</v>
      </c>
      <c r="S213" s="112"/>
      <c r="T213" s="113"/>
      <c r="U213" s="111">
        <v>45072</v>
      </c>
      <c r="V213" s="111">
        <v>45098</v>
      </c>
      <c r="W213" s="114"/>
      <c r="X213" s="115" t="s">
        <v>785</v>
      </c>
      <c r="Y213" s="102" t="s">
        <v>786</v>
      </c>
      <c r="Z213" s="102" t="s">
        <v>859</v>
      </c>
      <c r="AA213" s="116" t="str">
        <f t="shared" si="3"/>
        <v>REP</v>
      </c>
    </row>
    <row r="214" spans="2:27" ht="3.75" customHeight="1" x14ac:dyDescent="0.25">
      <c r="F214" s="119"/>
      <c r="AA214" s="57" t="str">
        <f t="shared" si="3"/>
        <v/>
      </c>
    </row>
    <row r="215" spans="2:27" s="101" customFormat="1" x14ac:dyDescent="0.25">
      <c r="B215" s="102" t="s">
        <v>338</v>
      </c>
      <c r="C215" s="103"/>
      <c r="D215" s="104" t="s">
        <v>333</v>
      </c>
      <c r="F215" s="104" t="s">
        <v>193</v>
      </c>
      <c r="G215" s="105"/>
      <c r="H215" s="104" t="s">
        <v>153</v>
      </c>
      <c r="I215" s="106"/>
      <c r="J215" s="107" t="s">
        <v>105</v>
      </c>
      <c r="K215" s="108"/>
      <c r="L215" s="102" t="s">
        <v>99</v>
      </c>
      <c r="M215" s="109"/>
      <c r="N215" s="102" t="s">
        <v>100</v>
      </c>
      <c r="O215" s="110"/>
      <c r="P215" s="111">
        <v>45043</v>
      </c>
      <c r="Q215" s="111">
        <v>45076</v>
      </c>
      <c r="R215" s="111">
        <v>45078</v>
      </c>
      <c r="S215" s="112"/>
      <c r="T215" s="113"/>
      <c r="U215" s="111">
        <v>45096</v>
      </c>
      <c r="V215" s="111">
        <v>45100</v>
      </c>
      <c r="W215" s="114"/>
      <c r="X215" s="115" t="s">
        <v>786</v>
      </c>
      <c r="Y215" s="102" t="s">
        <v>786</v>
      </c>
      <c r="Z215" s="102" t="s">
        <v>859</v>
      </c>
      <c r="AA215" s="116" t="str">
        <f t="shared" si="3"/>
        <v>Ambos</v>
      </c>
    </row>
    <row r="216" spans="2:27" ht="3.75" customHeight="1" x14ac:dyDescent="0.25">
      <c r="F216" s="119"/>
      <c r="AA216" s="57" t="str">
        <f t="shared" si="3"/>
        <v/>
      </c>
    </row>
    <row r="217" spans="2:27" s="101" customFormat="1" x14ac:dyDescent="0.25">
      <c r="B217" s="102" t="s">
        <v>338</v>
      </c>
      <c r="C217" s="103"/>
      <c r="D217" s="104" t="s">
        <v>333</v>
      </c>
      <c r="F217" s="104" t="s">
        <v>193</v>
      </c>
      <c r="G217" s="105"/>
      <c r="H217" s="104" t="s">
        <v>153</v>
      </c>
      <c r="I217" s="106"/>
      <c r="J217" s="107" t="s">
        <v>105</v>
      </c>
      <c r="K217" s="108"/>
      <c r="L217" s="102" t="s">
        <v>99</v>
      </c>
      <c r="M217" s="109"/>
      <c r="N217" s="102" t="s">
        <v>100</v>
      </c>
      <c r="O217" s="110"/>
      <c r="P217" s="111">
        <v>45043</v>
      </c>
      <c r="Q217" s="111">
        <v>45076</v>
      </c>
      <c r="R217" s="111">
        <v>45078</v>
      </c>
      <c r="S217" s="112"/>
      <c r="T217" s="113"/>
      <c r="U217" s="111">
        <v>45075</v>
      </c>
      <c r="V217" s="111">
        <v>45100</v>
      </c>
      <c r="W217" s="114"/>
      <c r="X217" s="115" t="s">
        <v>785</v>
      </c>
      <c r="Y217" s="102" t="s">
        <v>786</v>
      </c>
      <c r="Z217" s="102" t="s">
        <v>859</v>
      </c>
      <c r="AA217" s="116" t="str">
        <f t="shared" si="3"/>
        <v>REP</v>
      </c>
    </row>
    <row r="218" spans="2:27" s="101" customFormat="1" x14ac:dyDescent="0.25">
      <c r="B218" s="102" t="s">
        <v>339</v>
      </c>
      <c r="C218" s="103"/>
      <c r="D218" s="104" t="s">
        <v>333</v>
      </c>
      <c r="F218" s="104" t="s">
        <v>340</v>
      </c>
      <c r="G218" s="105"/>
      <c r="H218" s="104" t="s">
        <v>341</v>
      </c>
      <c r="I218" s="106"/>
      <c r="J218" s="107" t="s">
        <v>105</v>
      </c>
      <c r="K218" s="108"/>
      <c r="L218" s="102" t="s">
        <v>99</v>
      </c>
      <c r="M218" s="109"/>
      <c r="N218" s="102" t="s">
        <v>100</v>
      </c>
      <c r="O218" s="110"/>
      <c r="P218" s="111">
        <v>45043</v>
      </c>
      <c r="Q218" s="111">
        <v>45076</v>
      </c>
      <c r="R218" s="111">
        <v>45078</v>
      </c>
      <c r="S218" s="112"/>
      <c r="T218" s="113"/>
      <c r="U218" s="111">
        <v>45068</v>
      </c>
      <c r="V218" s="111">
        <v>45100</v>
      </c>
      <c r="W218" s="114"/>
      <c r="X218" s="115" t="s">
        <v>785</v>
      </c>
      <c r="Y218" s="102" t="s">
        <v>786</v>
      </c>
      <c r="Z218" s="102" t="s">
        <v>859</v>
      </c>
      <c r="AA218" s="116" t="str">
        <f t="shared" si="3"/>
        <v>REP</v>
      </c>
    </row>
    <row r="219" spans="2:27" ht="3.75" customHeight="1" x14ac:dyDescent="0.25">
      <c r="F219" s="119"/>
      <c r="AA219" s="57" t="str">
        <f t="shared" si="3"/>
        <v/>
      </c>
    </row>
    <row r="220" spans="2:27" x14ac:dyDescent="0.25">
      <c r="B220" s="48" t="s">
        <v>342</v>
      </c>
      <c r="C220" s="59"/>
      <c r="D220" s="49" t="s">
        <v>343</v>
      </c>
      <c r="F220" s="49" t="s">
        <v>344</v>
      </c>
      <c r="G220" s="82"/>
      <c r="H220" s="49" t="s">
        <v>345</v>
      </c>
      <c r="I220" s="83"/>
      <c r="J220" s="51" t="s">
        <v>239</v>
      </c>
      <c r="K220" s="84"/>
      <c r="L220" s="48" t="s">
        <v>99</v>
      </c>
      <c r="N220" s="48" t="s">
        <v>239</v>
      </c>
      <c r="O220" s="64"/>
      <c r="P220" s="54">
        <v>45065</v>
      </c>
      <c r="Q220" s="54">
        <v>45082</v>
      </c>
      <c r="R220" s="54">
        <v>45084</v>
      </c>
      <c r="S220" s="85"/>
      <c r="T220" s="86"/>
      <c r="U220" s="54">
        <v>45083</v>
      </c>
      <c r="V220" s="54">
        <v>45084</v>
      </c>
      <c r="W220" s="87"/>
      <c r="X220" s="88" t="s">
        <v>786</v>
      </c>
      <c r="Y220" s="48" t="s">
        <v>785</v>
      </c>
      <c r="Z220" s="48" t="s">
        <v>860</v>
      </c>
      <c r="AA220" s="57" t="str">
        <f t="shared" si="3"/>
        <v>Técnico</v>
      </c>
    </row>
    <row r="221" spans="2:27" ht="3.75" customHeight="1" x14ac:dyDescent="0.25">
      <c r="F221" s="119"/>
      <c r="AA221" s="57" t="str">
        <f t="shared" si="3"/>
        <v/>
      </c>
    </row>
    <row r="222" spans="2:27" s="101" customFormat="1" x14ac:dyDescent="0.25">
      <c r="B222" s="102" t="s">
        <v>346</v>
      </c>
      <c r="C222" s="103"/>
      <c r="D222" s="104" t="s">
        <v>347</v>
      </c>
      <c r="F222" s="104" t="s">
        <v>348</v>
      </c>
      <c r="G222" s="105"/>
      <c r="H222" s="104" t="s">
        <v>190</v>
      </c>
      <c r="I222" s="106"/>
      <c r="J222" s="107" t="s">
        <v>110</v>
      </c>
      <c r="K222" s="108"/>
      <c r="L222" s="102" t="s">
        <v>99</v>
      </c>
      <c r="M222" s="109"/>
      <c r="N222" s="102" t="s">
        <v>100</v>
      </c>
      <c r="O222" s="110"/>
      <c r="P222" s="111">
        <v>45055</v>
      </c>
      <c r="Q222" s="111">
        <v>45103</v>
      </c>
      <c r="R222" s="111">
        <v>45105</v>
      </c>
      <c r="S222" s="112"/>
      <c r="T222" s="113"/>
      <c r="U222" s="111">
        <v>45106</v>
      </c>
      <c r="V222" s="111">
        <v>45110</v>
      </c>
      <c r="W222" s="114"/>
      <c r="X222" s="115" t="s">
        <v>786</v>
      </c>
      <c r="Y222" s="102" t="s">
        <v>786</v>
      </c>
      <c r="Z222" s="102" t="s">
        <v>860</v>
      </c>
      <c r="AA222" s="116" t="str">
        <f t="shared" si="3"/>
        <v>Ambos</v>
      </c>
    </row>
    <row r="223" spans="2:27" ht="3" customHeight="1" x14ac:dyDescent="0.25">
      <c r="F223" s="119"/>
      <c r="AA223" s="57" t="str">
        <f t="shared" si="3"/>
        <v/>
      </c>
    </row>
    <row r="224" spans="2:27" s="101" customFormat="1" ht="13.5" customHeight="1" x14ac:dyDescent="0.25">
      <c r="B224" s="102" t="s">
        <v>346</v>
      </c>
      <c r="C224" s="103"/>
      <c r="D224" s="104" t="s">
        <v>347</v>
      </c>
      <c r="F224" s="104" t="s">
        <v>349</v>
      </c>
      <c r="G224" s="118"/>
      <c r="H224" s="104"/>
      <c r="I224" s="117"/>
      <c r="J224" s="107" t="s">
        <v>110</v>
      </c>
      <c r="K224" s="108"/>
      <c r="L224" s="102"/>
      <c r="M224" s="109"/>
      <c r="N224" s="102" t="s">
        <v>100</v>
      </c>
      <c r="O224" s="110"/>
      <c r="P224" s="111">
        <v>45055</v>
      </c>
      <c r="Q224" s="111">
        <v>45103</v>
      </c>
      <c r="R224" s="111">
        <v>45105</v>
      </c>
      <c r="S224" s="112"/>
      <c r="T224" s="113"/>
      <c r="U224" s="111">
        <v>45105</v>
      </c>
      <c r="V224" s="111">
        <v>45110</v>
      </c>
      <c r="W224" s="114"/>
      <c r="X224" s="115" t="s">
        <v>786</v>
      </c>
      <c r="Y224" s="102" t="s">
        <v>786</v>
      </c>
      <c r="Z224" s="102" t="s">
        <v>860</v>
      </c>
      <c r="AA224" s="116" t="str">
        <f t="shared" si="3"/>
        <v>Ambos</v>
      </c>
    </row>
    <row r="225" spans="2:27" ht="3.75" customHeight="1" x14ac:dyDescent="0.25">
      <c r="F225" s="119"/>
      <c r="AA225" s="57" t="str">
        <f t="shared" si="3"/>
        <v/>
      </c>
    </row>
    <row r="226" spans="2:27" x14ac:dyDescent="0.25">
      <c r="B226" s="48" t="s">
        <v>350</v>
      </c>
      <c r="C226" s="59"/>
      <c r="D226" s="49" t="s">
        <v>351</v>
      </c>
      <c r="F226" s="49" t="s">
        <v>352</v>
      </c>
      <c r="G226" s="82"/>
      <c r="H226" s="49" t="s">
        <v>353</v>
      </c>
      <c r="I226" s="83"/>
      <c r="J226" s="51" t="s">
        <v>111</v>
      </c>
      <c r="K226" s="84"/>
      <c r="L226" s="48" t="s">
        <v>99</v>
      </c>
      <c r="N226" s="48" t="s">
        <v>239</v>
      </c>
      <c r="O226" s="64"/>
      <c r="P226" s="54">
        <v>45082</v>
      </c>
      <c r="Q226" s="54">
        <v>45097</v>
      </c>
      <c r="R226" s="54">
        <v>45099</v>
      </c>
      <c r="S226" s="85"/>
      <c r="T226" s="86"/>
      <c r="U226" s="54">
        <v>45085</v>
      </c>
      <c r="V226" s="54">
        <v>45099</v>
      </c>
      <c r="W226" s="87"/>
      <c r="X226" s="88" t="s">
        <v>785</v>
      </c>
      <c r="Y226" s="48" t="s">
        <v>785</v>
      </c>
      <c r="Z226" s="48" t="s">
        <v>860</v>
      </c>
      <c r="AA226" s="57" t="str">
        <f t="shared" si="3"/>
        <v/>
      </c>
    </row>
    <row r="227" spans="2:27" ht="3.75" customHeight="1" x14ac:dyDescent="0.25">
      <c r="F227" s="119"/>
      <c r="AA227" s="57" t="str">
        <f t="shared" si="3"/>
        <v/>
      </c>
    </row>
    <row r="228" spans="2:27" x14ac:dyDescent="0.25">
      <c r="B228" s="48" t="s">
        <v>354</v>
      </c>
      <c r="C228" s="59"/>
      <c r="D228" s="49" t="s">
        <v>351</v>
      </c>
      <c r="F228" s="49" t="s">
        <v>355</v>
      </c>
      <c r="G228" s="82"/>
      <c r="H228" s="49" t="s">
        <v>353</v>
      </c>
      <c r="I228" s="83"/>
      <c r="J228" s="51" t="s">
        <v>111</v>
      </c>
      <c r="K228" s="84"/>
      <c r="L228" s="48" t="s">
        <v>99</v>
      </c>
      <c r="N228" s="48" t="s">
        <v>239</v>
      </c>
      <c r="O228" s="64"/>
      <c r="P228" s="54">
        <v>45082</v>
      </c>
      <c r="Q228" s="54">
        <v>45097</v>
      </c>
      <c r="R228" s="54">
        <v>45099</v>
      </c>
      <c r="S228" s="85"/>
      <c r="T228" s="86"/>
      <c r="U228" s="54">
        <v>45085</v>
      </c>
      <c r="V228" s="54">
        <v>45099</v>
      </c>
      <c r="W228" s="87"/>
      <c r="X228" s="88" t="s">
        <v>785</v>
      </c>
      <c r="Y228" s="48" t="s">
        <v>785</v>
      </c>
      <c r="Z228" s="48" t="s">
        <v>860</v>
      </c>
      <c r="AA228" s="57" t="str">
        <f t="shared" si="3"/>
        <v/>
      </c>
    </row>
    <row r="229" spans="2:27" ht="3.75" customHeight="1" x14ac:dyDescent="0.25">
      <c r="F229" s="119"/>
      <c r="AA229" s="57" t="str">
        <f t="shared" si="3"/>
        <v/>
      </c>
    </row>
    <row r="230" spans="2:27" x14ac:dyDescent="0.25">
      <c r="B230" s="48" t="s">
        <v>356</v>
      </c>
      <c r="C230" s="59"/>
      <c r="D230" s="49" t="s">
        <v>351</v>
      </c>
      <c r="F230" s="49" t="s">
        <v>355</v>
      </c>
      <c r="G230" s="82"/>
      <c r="H230" s="49" t="s">
        <v>353</v>
      </c>
      <c r="I230" s="83"/>
      <c r="J230" s="51" t="s">
        <v>111</v>
      </c>
      <c r="K230" s="84"/>
      <c r="L230" s="48" t="s">
        <v>99</v>
      </c>
      <c r="N230" s="48" t="s">
        <v>239</v>
      </c>
      <c r="O230" s="64"/>
      <c r="P230" s="54">
        <v>45082</v>
      </c>
      <c r="Q230" s="54">
        <v>45097</v>
      </c>
      <c r="R230" s="54">
        <v>45099</v>
      </c>
      <c r="S230" s="85"/>
      <c r="T230" s="86"/>
      <c r="U230" s="54">
        <v>45089</v>
      </c>
      <c r="V230" s="54">
        <v>45099</v>
      </c>
      <c r="W230" s="87"/>
      <c r="X230" s="88" t="s">
        <v>785</v>
      </c>
      <c r="Y230" s="48" t="s">
        <v>785</v>
      </c>
      <c r="Z230" s="48" t="s">
        <v>860</v>
      </c>
      <c r="AA230" s="57" t="str">
        <f t="shared" si="3"/>
        <v/>
      </c>
    </row>
    <row r="231" spans="2:27" ht="3.75" customHeight="1" x14ac:dyDescent="0.25">
      <c r="F231" s="119"/>
      <c r="AA231" s="57" t="str">
        <f t="shared" si="3"/>
        <v/>
      </c>
    </row>
    <row r="232" spans="2:27" x14ac:dyDescent="0.25">
      <c r="B232" s="48" t="s">
        <v>357</v>
      </c>
      <c r="C232" s="59"/>
      <c r="D232" s="49" t="s">
        <v>358</v>
      </c>
      <c r="F232" s="49" t="s">
        <v>359</v>
      </c>
      <c r="G232" s="89"/>
      <c r="H232" s="49" t="s">
        <v>360</v>
      </c>
      <c r="I232" s="83"/>
      <c r="J232" s="51" t="s">
        <v>98</v>
      </c>
      <c r="K232" s="84"/>
      <c r="L232" s="48" t="s">
        <v>99</v>
      </c>
      <c r="N232" s="48" t="s">
        <v>100</v>
      </c>
      <c r="O232" s="64"/>
      <c r="P232" s="54">
        <v>45072</v>
      </c>
      <c r="Q232" s="54">
        <v>45082</v>
      </c>
      <c r="R232" s="54">
        <v>45084</v>
      </c>
      <c r="S232" s="85"/>
      <c r="T232" s="86"/>
      <c r="U232" s="54">
        <v>45079</v>
      </c>
      <c r="V232" s="54">
        <v>45085</v>
      </c>
      <c r="W232" s="87"/>
      <c r="X232" s="88" t="s">
        <v>785</v>
      </c>
      <c r="Y232" s="48" t="s">
        <v>785</v>
      </c>
      <c r="Z232" s="48" t="s">
        <v>862</v>
      </c>
      <c r="AA232" s="57" t="str">
        <f t="shared" si="3"/>
        <v/>
      </c>
    </row>
    <row r="233" spans="2:27" ht="3.75" customHeight="1" x14ac:dyDescent="0.25">
      <c r="F233" s="119"/>
      <c r="AA233" s="57" t="str">
        <f t="shared" si="3"/>
        <v/>
      </c>
    </row>
    <row r="234" spans="2:27" x14ac:dyDescent="0.25">
      <c r="B234" s="48" t="s">
        <v>361</v>
      </c>
      <c r="C234" s="59"/>
      <c r="D234" s="49" t="s">
        <v>362</v>
      </c>
      <c r="F234" s="49" t="s">
        <v>363</v>
      </c>
      <c r="G234" s="82"/>
      <c r="H234" s="49" t="s">
        <v>278</v>
      </c>
      <c r="I234" s="83"/>
      <c r="J234" s="51" t="s">
        <v>110</v>
      </c>
      <c r="K234" s="84"/>
      <c r="L234" s="48" t="s">
        <v>99</v>
      </c>
      <c r="N234" s="48" t="s">
        <v>100</v>
      </c>
      <c r="O234" s="64"/>
      <c r="P234" s="54">
        <v>45070</v>
      </c>
      <c r="Q234" s="54">
        <v>45093</v>
      </c>
      <c r="R234" s="54">
        <v>45097</v>
      </c>
      <c r="S234" s="85"/>
      <c r="T234" s="86"/>
      <c r="U234" s="54">
        <v>45096</v>
      </c>
      <c r="V234" s="54">
        <v>45097</v>
      </c>
      <c r="W234" s="87"/>
      <c r="X234" s="88" t="s">
        <v>786</v>
      </c>
      <c r="Y234" s="48" t="s">
        <v>785</v>
      </c>
      <c r="Z234" s="48" t="s">
        <v>860</v>
      </c>
      <c r="AA234" s="57" t="str">
        <f t="shared" si="3"/>
        <v>Técnico</v>
      </c>
    </row>
    <row r="235" spans="2:27" ht="3.75" customHeight="1" x14ac:dyDescent="0.25">
      <c r="F235" s="119"/>
      <c r="AA235" s="57" t="str">
        <f t="shared" si="3"/>
        <v/>
      </c>
    </row>
    <row r="236" spans="2:27" x14ac:dyDescent="0.25">
      <c r="B236" s="48" t="s">
        <v>364</v>
      </c>
      <c r="C236" s="59"/>
      <c r="D236" s="49" t="s">
        <v>365</v>
      </c>
      <c r="F236" s="49" t="s">
        <v>366</v>
      </c>
      <c r="G236" s="82"/>
      <c r="H236" s="49" t="s">
        <v>97</v>
      </c>
      <c r="I236" s="83"/>
      <c r="J236" s="51" t="s">
        <v>166</v>
      </c>
      <c r="K236" s="84"/>
      <c r="L236" s="48" t="s">
        <v>99</v>
      </c>
      <c r="N236" s="48" t="s">
        <v>100</v>
      </c>
      <c r="O236" s="64"/>
      <c r="P236" s="54">
        <v>45056</v>
      </c>
      <c r="Q236" s="54">
        <v>45104</v>
      </c>
      <c r="R236" s="54">
        <v>45106</v>
      </c>
      <c r="S236" s="85"/>
      <c r="T236" s="86"/>
      <c r="U236" s="54">
        <v>45069</v>
      </c>
      <c r="V236" s="54">
        <v>45069</v>
      </c>
      <c r="W236" s="87"/>
      <c r="X236" s="88" t="s">
        <v>785</v>
      </c>
      <c r="Y236" s="48" t="s">
        <v>785</v>
      </c>
      <c r="Z236" s="48" t="s">
        <v>858</v>
      </c>
      <c r="AA236" s="57" t="str">
        <f t="shared" si="3"/>
        <v/>
      </c>
    </row>
    <row r="237" spans="2:27" ht="3.75" customHeight="1" x14ac:dyDescent="0.25">
      <c r="F237" s="119"/>
      <c r="AA237" s="57" t="str">
        <f t="shared" si="3"/>
        <v/>
      </c>
    </row>
    <row r="238" spans="2:27" x14ac:dyDescent="0.25">
      <c r="B238" s="48" t="s">
        <v>367</v>
      </c>
      <c r="C238" s="59"/>
      <c r="D238" s="49" t="s">
        <v>365</v>
      </c>
      <c r="F238" s="49" t="s">
        <v>368</v>
      </c>
      <c r="G238" s="82"/>
      <c r="H238" s="49" t="s">
        <v>369</v>
      </c>
      <c r="I238" s="83"/>
      <c r="J238" s="51" t="s">
        <v>166</v>
      </c>
      <c r="K238" s="84"/>
      <c r="L238" s="48" t="s">
        <v>99</v>
      </c>
      <c r="N238" s="48" t="s">
        <v>100</v>
      </c>
      <c r="O238" s="64"/>
      <c r="P238" s="54">
        <v>45056</v>
      </c>
      <c r="Q238" s="54">
        <v>45104</v>
      </c>
      <c r="R238" s="54">
        <v>45106</v>
      </c>
      <c r="S238" s="85"/>
      <c r="T238" s="86"/>
      <c r="U238" s="54">
        <v>45076</v>
      </c>
      <c r="V238" s="54">
        <v>45077</v>
      </c>
      <c r="W238" s="87"/>
      <c r="X238" s="88" t="s">
        <v>785</v>
      </c>
      <c r="Y238" s="48" t="s">
        <v>785</v>
      </c>
      <c r="Z238" s="48" t="s">
        <v>859</v>
      </c>
      <c r="AA238" s="57" t="str">
        <f t="shared" si="3"/>
        <v/>
      </c>
    </row>
    <row r="239" spans="2:27" ht="3.75" customHeight="1" x14ac:dyDescent="0.25">
      <c r="F239" s="119"/>
      <c r="AA239" s="57" t="str">
        <f t="shared" si="3"/>
        <v/>
      </c>
    </row>
    <row r="240" spans="2:27" s="101" customFormat="1" x14ac:dyDescent="0.25">
      <c r="B240" s="102" t="s">
        <v>370</v>
      </c>
      <c r="C240" s="103"/>
      <c r="D240" s="104" t="s">
        <v>371</v>
      </c>
      <c r="F240" s="104" t="s">
        <v>372</v>
      </c>
      <c r="G240" s="105"/>
      <c r="H240" s="104" t="s">
        <v>373</v>
      </c>
      <c r="I240" s="106"/>
      <c r="J240" s="107" t="s">
        <v>110</v>
      </c>
      <c r="K240" s="108"/>
      <c r="L240" s="102" t="s">
        <v>99</v>
      </c>
      <c r="M240" s="109"/>
      <c r="N240" s="102" t="s">
        <v>110</v>
      </c>
      <c r="O240" s="110"/>
      <c r="P240" s="111">
        <v>45070</v>
      </c>
      <c r="Q240" s="111">
        <v>45091</v>
      </c>
      <c r="R240" s="111">
        <v>45093</v>
      </c>
      <c r="S240" s="112"/>
      <c r="T240" s="113"/>
      <c r="U240" s="111">
        <v>45096</v>
      </c>
      <c r="V240" s="111">
        <v>45097</v>
      </c>
      <c r="W240" s="114"/>
      <c r="X240" s="115" t="s">
        <v>786</v>
      </c>
      <c r="Y240" s="102" t="s">
        <v>786</v>
      </c>
      <c r="Z240" s="102" t="s">
        <v>860</v>
      </c>
      <c r="AA240" s="116" t="str">
        <f t="shared" si="3"/>
        <v>Ambos</v>
      </c>
    </row>
    <row r="241" spans="2:27" ht="3.75" customHeight="1" x14ac:dyDescent="0.25">
      <c r="F241" s="119"/>
      <c r="AA241" s="57" t="str">
        <f t="shared" si="3"/>
        <v/>
      </c>
    </row>
    <row r="242" spans="2:27" s="101" customFormat="1" x14ac:dyDescent="0.25">
      <c r="B242" s="102" t="s">
        <v>374</v>
      </c>
      <c r="C242" s="103"/>
      <c r="D242" s="104" t="s">
        <v>375</v>
      </c>
      <c r="F242" s="104" t="s">
        <v>376</v>
      </c>
      <c r="G242" s="105"/>
      <c r="H242" s="104" t="s">
        <v>373</v>
      </c>
      <c r="I242" s="106"/>
      <c r="J242" s="107" t="s">
        <v>110</v>
      </c>
      <c r="K242" s="108"/>
      <c r="L242" s="102" t="s">
        <v>99</v>
      </c>
      <c r="M242" s="109"/>
      <c r="N242" s="102" t="s">
        <v>110</v>
      </c>
      <c r="O242" s="110"/>
      <c r="P242" s="111">
        <v>45070</v>
      </c>
      <c r="Q242" s="111">
        <v>45091</v>
      </c>
      <c r="R242" s="111">
        <v>45093</v>
      </c>
      <c r="S242" s="112"/>
      <c r="T242" s="113"/>
      <c r="U242" s="111">
        <v>45096</v>
      </c>
      <c r="V242" s="111">
        <v>45097</v>
      </c>
      <c r="W242" s="114"/>
      <c r="X242" s="115" t="s">
        <v>786</v>
      </c>
      <c r="Y242" s="102" t="s">
        <v>786</v>
      </c>
      <c r="Z242" s="102" t="s">
        <v>863</v>
      </c>
      <c r="AA242" s="116" t="str">
        <f t="shared" si="3"/>
        <v>Ambos</v>
      </c>
    </row>
    <row r="243" spans="2:27" ht="3.75" customHeight="1" x14ac:dyDescent="0.25">
      <c r="F243" s="119"/>
      <c r="AA243" s="57" t="str">
        <f t="shared" si="3"/>
        <v/>
      </c>
    </row>
    <row r="244" spans="2:27" s="101" customFormat="1" x14ac:dyDescent="0.25">
      <c r="B244" s="102" t="s">
        <v>377</v>
      </c>
      <c r="C244" s="103"/>
      <c r="D244" s="104" t="s">
        <v>378</v>
      </c>
      <c r="F244" s="104" t="s">
        <v>379</v>
      </c>
      <c r="G244" s="105"/>
      <c r="H244" s="104" t="s">
        <v>373</v>
      </c>
      <c r="I244" s="106"/>
      <c r="J244" s="107" t="s">
        <v>110</v>
      </c>
      <c r="K244" s="108"/>
      <c r="L244" s="102" t="s">
        <v>99</v>
      </c>
      <c r="M244" s="109"/>
      <c r="N244" s="102" t="s">
        <v>110</v>
      </c>
      <c r="O244" s="110"/>
      <c r="P244" s="111">
        <v>45070</v>
      </c>
      <c r="Q244" s="111">
        <v>45091</v>
      </c>
      <c r="R244" s="111">
        <v>45093</v>
      </c>
      <c r="S244" s="112"/>
      <c r="T244" s="113"/>
      <c r="U244" s="111">
        <v>45096</v>
      </c>
      <c r="V244" s="111">
        <v>45097</v>
      </c>
      <c r="W244" s="114"/>
      <c r="X244" s="115" t="s">
        <v>786</v>
      </c>
      <c r="Y244" s="102" t="s">
        <v>786</v>
      </c>
      <c r="Z244" s="102" t="s">
        <v>860</v>
      </c>
      <c r="AA244" s="116" t="str">
        <f t="shared" si="3"/>
        <v>Ambos</v>
      </c>
    </row>
    <row r="245" spans="2:27" ht="3.75" customHeight="1" x14ac:dyDescent="0.25">
      <c r="F245" s="119"/>
      <c r="AA245" s="57" t="str">
        <f t="shared" si="3"/>
        <v/>
      </c>
    </row>
    <row r="246" spans="2:27" s="101" customFormat="1" x14ac:dyDescent="0.25">
      <c r="B246" s="102" t="s">
        <v>380</v>
      </c>
      <c r="C246" s="103"/>
      <c r="D246" s="104" t="s">
        <v>381</v>
      </c>
      <c r="F246" s="104" t="s">
        <v>382</v>
      </c>
      <c r="G246" s="105"/>
      <c r="H246" s="104" t="s">
        <v>383</v>
      </c>
      <c r="I246" s="106"/>
      <c r="J246" s="107" t="s">
        <v>111</v>
      </c>
      <c r="K246" s="108"/>
      <c r="L246" s="102" t="s">
        <v>99</v>
      </c>
      <c r="M246" s="109"/>
      <c r="N246" s="102" t="s">
        <v>111</v>
      </c>
      <c r="O246" s="110"/>
      <c r="P246" s="111">
        <v>45044</v>
      </c>
      <c r="Q246" s="111">
        <v>45076</v>
      </c>
      <c r="R246" s="111">
        <v>45078</v>
      </c>
      <c r="S246" s="112"/>
      <c r="T246" s="113"/>
      <c r="U246" s="111">
        <v>45079</v>
      </c>
      <c r="V246" s="111">
        <v>45089</v>
      </c>
      <c r="W246" s="114"/>
      <c r="X246" s="115" t="s">
        <v>786</v>
      </c>
      <c r="Y246" s="102" t="s">
        <v>786</v>
      </c>
      <c r="Z246" s="102" t="s">
        <v>860</v>
      </c>
      <c r="AA246" s="116" t="str">
        <f t="shared" si="3"/>
        <v>Ambos</v>
      </c>
    </row>
    <row r="247" spans="2:27" ht="3.75" customHeight="1" x14ac:dyDescent="0.25">
      <c r="F247" s="119"/>
      <c r="AA247" s="57" t="str">
        <f t="shared" si="3"/>
        <v/>
      </c>
    </row>
    <row r="248" spans="2:27" s="101" customFormat="1" x14ac:dyDescent="0.25">
      <c r="B248" s="102" t="s">
        <v>380</v>
      </c>
      <c r="C248" s="103"/>
      <c r="D248" s="104" t="s">
        <v>381</v>
      </c>
      <c r="F248" s="104" t="s">
        <v>382</v>
      </c>
      <c r="G248" s="105"/>
      <c r="H248" s="104" t="s">
        <v>383</v>
      </c>
      <c r="I248" s="106"/>
      <c r="J248" s="107" t="s">
        <v>111</v>
      </c>
      <c r="K248" s="108"/>
      <c r="L248" s="102" t="s">
        <v>99</v>
      </c>
      <c r="M248" s="109"/>
      <c r="N248" s="102" t="s">
        <v>111</v>
      </c>
      <c r="O248" s="110"/>
      <c r="P248" s="111">
        <v>45044</v>
      </c>
      <c r="Q248" s="111">
        <v>45076</v>
      </c>
      <c r="R248" s="111">
        <v>45078</v>
      </c>
      <c r="S248" s="112"/>
      <c r="T248" s="113"/>
      <c r="U248" s="111">
        <v>45079</v>
      </c>
      <c r="V248" s="111">
        <v>45089</v>
      </c>
      <c r="W248" s="114"/>
      <c r="X248" s="115" t="s">
        <v>786</v>
      </c>
      <c r="Y248" s="102" t="s">
        <v>786</v>
      </c>
      <c r="Z248" s="102" t="s">
        <v>860</v>
      </c>
      <c r="AA248" s="116" t="str">
        <f t="shared" si="3"/>
        <v>Ambos</v>
      </c>
    </row>
    <row r="249" spans="2:27" ht="3.75" customHeight="1" x14ac:dyDescent="0.25">
      <c r="F249" s="119"/>
      <c r="AA249" s="57" t="str">
        <f t="shared" si="3"/>
        <v/>
      </c>
    </row>
    <row r="250" spans="2:27" x14ac:dyDescent="0.25">
      <c r="B250" s="48" t="s">
        <v>384</v>
      </c>
      <c r="C250" s="59"/>
      <c r="D250" s="49" t="s">
        <v>385</v>
      </c>
      <c r="F250" s="49" t="s">
        <v>281</v>
      </c>
      <c r="G250" s="82"/>
      <c r="H250" s="49" t="s">
        <v>121</v>
      </c>
      <c r="I250" s="83"/>
      <c r="J250" s="51" t="s">
        <v>166</v>
      </c>
      <c r="K250" s="84"/>
      <c r="L250" s="48" t="s">
        <v>99</v>
      </c>
      <c r="N250" s="48" t="s">
        <v>100</v>
      </c>
      <c r="O250" s="64"/>
      <c r="P250" s="54">
        <v>45055</v>
      </c>
      <c r="Q250" s="54">
        <v>45103</v>
      </c>
      <c r="R250" s="54">
        <v>45105</v>
      </c>
      <c r="S250" s="85"/>
      <c r="T250" s="86"/>
      <c r="U250" s="54">
        <v>45097</v>
      </c>
      <c r="V250" s="54">
        <v>45098</v>
      </c>
      <c r="W250" s="87"/>
      <c r="X250" s="88" t="s">
        <v>785</v>
      </c>
      <c r="Y250" s="48" t="s">
        <v>785</v>
      </c>
      <c r="Z250" s="48" t="s">
        <v>860</v>
      </c>
      <c r="AA250" s="57" t="str">
        <f t="shared" si="3"/>
        <v/>
      </c>
    </row>
    <row r="251" spans="2:27" ht="3.75" customHeight="1" x14ac:dyDescent="0.25">
      <c r="F251" s="119"/>
      <c r="AA251" s="57" t="str">
        <f t="shared" si="3"/>
        <v/>
      </c>
    </row>
    <row r="252" spans="2:27" s="101" customFormat="1" x14ac:dyDescent="0.25">
      <c r="B252" s="102" t="s">
        <v>386</v>
      </c>
      <c r="C252" s="103"/>
      <c r="D252" s="104" t="s">
        <v>387</v>
      </c>
      <c r="F252" s="104" t="s">
        <v>382</v>
      </c>
      <c r="G252" s="105"/>
      <c r="H252" s="104" t="s">
        <v>383</v>
      </c>
      <c r="I252" s="106"/>
      <c r="J252" s="107" t="s">
        <v>111</v>
      </c>
      <c r="K252" s="108"/>
      <c r="L252" s="102" t="s">
        <v>99</v>
      </c>
      <c r="M252" s="109"/>
      <c r="N252" s="102" t="s">
        <v>111</v>
      </c>
      <c r="O252" s="110"/>
      <c r="P252" s="111">
        <v>45044</v>
      </c>
      <c r="Q252" s="111">
        <v>45076</v>
      </c>
      <c r="R252" s="111">
        <v>45078</v>
      </c>
      <c r="S252" s="112"/>
      <c r="T252" s="113"/>
      <c r="U252" s="111">
        <v>45089</v>
      </c>
      <c r="V252" s="111">
        <v>45089</v>
      </c>
      <c r="W252" s="114"/>
      <c r="X252" s="115" t="s">
        <v>786</v>
      </c>
      <c r="Y252" s="102" t="s">
        <v>786</v>
      </c>
      <c r="Z252" s="102" t="s">
        <v>860</v>
      </c>
      <c r="AA252" s="116" t="str">
        <f t="shared" si="3"/>
        <v>Ambos</v>
      </c>
    </row>
    <row r="253" spans="2:27" ht="3.75" customHeight="1" x14ac:dyDescent="0.25">
      <c r="F253" s="119"/>
      <c r="AA253" s="57" t="str">
        <f t="shared" si="3"/>
        <v/>
      </c>
    </row>
    <row r="254" spans="2:27" s="101" customFormat="1" x14ac:dyDescent="0.25">
      <c r="B254" s="102" t="s">
        <v>386</v>
      </c>
      <c r="C254" s="103"/>
      <c r="D254" s="104" t="s">
        <v>387</v>
      </c>
      <c r="F254" s="104" t="s">
        <v>382</v>
      </c>
      <c r="G254" s="105"/>
      <c r="H254" s="104" t="s">
        <v>383</v>
      </c>
      <c r="I254" s="106"/>
      <c r="J254" s="107" t="s">
        <v>111</v>
      </c>
      <c r="K254" s="108"/>
      <c r="L254" s="102" t="s">
        <v>99</v>
      </c>
      <c r="M254" s="109"/>
      <c r="N254" s="102" t="s">
        <v>111</v>
      </c>
      <c r="O254" s="110"/>
      <c r="P254" s="111">
        <v>45044</v>
      </c>
      <c r="Q254" s="111">
        <v>45076</v>
      </c>
      <c r="R254" s="111">
        <v>45078</v>
      </c>
      <c r="S254" s="112"/>
      <c r="T254" s="113"/>
      <c r="U254" s="111">
        <v>45079</v>
      </c>
      <c r="V254" s="111">
        <v>45089</v>
      </c>
      <c r="W254" s="114"/>
      <c r="X254" s="115" t="s">
        <v>786</v>
      </c>
      <c r="Y254" s="102" t="s">
        <v>786</v>
      </c>
      <c r="Z254" s="102" t="s">
        <v>860</v>
      </c>
      <c r="AA254" s="116" t="str">
        <f t="shared" si="3"/>
        <v>Ambos</v>
      </c>
    </row>
    <row r="255" spans="2:27" ht="3.75" customHeight="1" x14ac:dyDescent="0.25">
      <c r="F255" s="119"/>
      <c r="AA255" s="57" t="str">
        <f t="shared" si="3"/>
        <v/>
      </c>
    </row>
    <row r="256" spans="2:27" x14ac:dyDescent="0.25">
      <c r="B256" s="48" t="s">
        <v>388</v>
      </c>
      <c r="C256" s="59"/>
      <c r="D256" s="49" t="s">
        <v>306</v>
      </c>
      <c r="F256" s="49" t="s">
        <v>389</v>
      </c>
      <c r="G256" s="82"/>
      <c r="H256" s="49" t="s">
        <v>390</v>
      </c>
      <c r="I256" s="83"/>
      <c r="J256" s="51" t="s">
        <v>166</v>
      </c>
      <c r="K256" s="84"/>
      <c r="L256" s="48" t="s">
        <v>99</v>
      </c>
      <c r="N256" s="48" t="s">
        <v>100</v>
      </c>
      <c r="O256" s="64"/>
      <c r="P256" s="54">
        <v>45068</v>
      </c>
      <c r="Q256" s="54">
        <v>45091</v>
      </c>
      <c r="R256" s="54">
        <v>45093</v>
      </c>
      <c r="S256" s="85"/>
      <c r="T256" s="86"/>
      <c r="U256" s="54">
        <v>45091</v>
      </c>
      <c r="V256" s="54">
        <v>45093</v>
      </c>
      <c r="W256" s="87"/>
      <c r="X256" s="88" t="s">
        <v>785</v>
      </c>
      <c r="Y256" s="48" t="s">
        <v>785</v>
      </c>
      <c r="Z256" s="48" t="s">
        <v>859</v>
      </c>
      <c r="AA256" s="57" t="str">
        <f t="shared" si="3"/>
        <v/>
      </c>
    </row>
    <row r="257" spans="2:27" ht="3.75" customHeight="1" x14ac:dyDescent="0.25">
      <c r="F257" s="119"/>
      <c r="AA257" s="57" t="str">
        <f t="shared" si="3"/>
        <v/>
      </c>
    </row>
    <row r="258" spans="2:27" x14ac:dyDescent="0.25">
      <c r="B258" s="48" t="s">
        <v>391</v>
      </c>
      <c r="C258" s="59"/>
      <c r="D258" s="49" t="s">
        <v>306</v>
      </c>
      <c r="F258" s="49" t="s">
        <v>392</v>
      </c>
      <c r="G258" s="82"/>
      <c r="H258" s="49" t="s">
        <v>390</v>
      </c>
      <c r="I258" s="83"/>
      <c r="J258" s="51" t="s">
        <v>166</v>
      </c>
      <c r="K258" s="84"/>
      <c r="L258" s="48" t="s">
        <v>99</v>
      </c>
      <c r="N258" s="48" t="s">
        <v>100</v>
      </c>
      <c r="O258" s="64"/>
      <c r="P258" s="54">
        <v>45068</v>
      </c>
      <c r="Q258" s="54">
        <v>45091</v>
      </c>
      <c r="R258" s="54">
        <v>45093</v>
      </c>
      <c r="S258" s="85"/>
      <c r="T258" s="86"/>
      <c r="U258" s="54">
        <v>45091</v>
      </c>
      <c r="V258" s="54">
        <v>45093</v>
      </c>
      <c r="W258" s="87"/>
      <c r="X258" s="88" t="s">
        <v>785</v>
      </c>
      <c r="Y258" s="48" t="s">
        <v>785</v>
      </c>
      <c r="Z258" s="48" t="s">
        <v>859</v>
      </c>
      <c r="AA258" s="57" t="str">
        <f t="shared" si="3"/>
        <v/>
      </c>
    </row>
    <row r="259" spans="2:27" ht="3.75" customHeight="1" x14ac:dyDescent="0.25">
      <c r="F259" s="119"/>
      <c r="AA259" s="57" t="str">
        <f t="shared" si="3"/>
        <v/>
      </c>
    </row>
    <row r="260" spans="2:27" x14ac:dyDescent="0.25">
      <c r="B260" s="48" t="s">
        <v>393</v>
      </c>
      <c r="C260" s="59"/>
      <c r="D260" s="49" t="s">
        <v>306</v>
      </c>
      <c r="F260" s="49" t="s">
        <v>394</v>
      </c>
      <c r="G260" s="82"/>
      <c r="H260" s="49" t="s">
        <v>390</v>
      </c>
      <c r="I260" s="83"/>
      <c r="J260" s="51" t="s">
        <v>166</v>
      </c>
      <c r="K260" s="84"/>
      <c r="L260" s="48" t="s">
        <v>99</v>
      </c>
      <c r="N260" s="48" t="s">
        <v>100</v>
      </c>
      <c r="O260" s="64"/>
      <c r="P260" s="54">
        <v>45068</v>
      </c>
      <c r="Q260" s="54">
        <v>45091</v>
      </c>
      <c r="R260" s="54">
        <v>45093</v>
      </c>
      <c r="S260" s="85"/>
      <c r="T260" s="86"/>
      <c r="U260" s="54">
        <v>45093</v>
      </c>
      <c r="V260" s="54">
        <v>45093</v>
      </c>
      <c r="W260" s="87"/>
      <c r="X260" s="88" t="s">
        <v>786</v>
      </c>
      <c r="Y260" s="48" t="s">
        <v>785</v>
      </c>
      <c r="Z260" s="48" t="s">
        <v>859</v>
      </c>
      <c r="AA260" s="57" t="str">
        <f t="shared" si="3"/>
        <v>Técnico</v>
      </c>
    </row>
    <row r="261" spans="2:27" ht="3.75" customHeight="1" x14ac:dyDescent="0.25">
      <c r="F261" s="119"/>
      <c r="AA261" s="57" t="str">
        <f t="shared" si="3"/>
        <v/>
      </c>
    </row>
    <row r="262" spans="2:27" x14ac:dyDescent="0.25">
      <c r="B262" s="48" t="s">
        <v>395</v>
      </c>
      <c r="C262" s="59"/>
      <c r="D262" s="49" t="s">
        <v>306</v>
      </c>
      <c r="F262" s="49" t="s">
        <v>396</v>
      </c>
      <c r="G262" s="82"/>
      <c r="H262" s="49" t="s">
        <v>390</v>
      </c>
      <c r="I262" s="83"/>
      <c r="J262" s="51" t="s">
        <v>166</v>
      </c>
      <c r="K262" s="84"/>
      <c r="L262" s="48" t="s">
        <v>99</v>
      </c>
      <c r="N262" s="48" t="s">
        <v>100</v>
      </c>
      <c r="O262" s="64"/>
      <c r="P262" s="54">
        <v>45068</v>
      </c>
      <c r="Q262" s="54">
        <v>45091</v>
      </c>
      <c r="R262" s="54">
        <v>45093</v>
      </c>
      <c r="S262" s="85"/>
      <c r="T262" s="86"/>
      <c r="U262" s="54">
        <v>45091</v>
      </c>
      <c r="V262" s="54">
        <v>45093</v>
      </c>
      <c r="W262" s="87"/>
      <c r="X262" s="88" t="s">
        <v>785</v>
      </c>
      <c r="Y262" s="48" t="s">
        <v>785</v>
      </c>
      <c r="Z262" s="48" t="s">
        <v>859</v>
      </c>
      <c r="AA262" s="57" t="str">
        <f t="shared" si="3"/>
        <v/>
      </c>
    </row>
    <row r="263" spans="2:27" ht="3.75" customHeight="1" x14ac:dyDescent="0.25">
      <c r="F263" s="119"/>
      <c r="AA263" s="57" t="str">
        <f t="shared" si="3"/>
        <v/>
      </c>
    </row>
    <row r="264" spans="2:27" s="101" customFormat="1" x14ac:dyDescent="0.25">
      <c r="B264" s="102" t="s">
        <v>397</v>
      </c>
      <c r="C264" s="103"/>
      <c r="D264" s="104" t="s">
        <v>306</v>
      </c>
      <c r="F264" s="104" t="s">
        <v>398</v>
      </c>
      <c r="G264" s="105"/>
      <c r="H264" s="104" t="s">
        <v>390</v>
      </c>
      <c r="I264" s="106"/>
      <c r="J264" s="107" t="s">
        <v>166</v>
      </c>
      <c r="K264" s="108"/>
      <c r="L264" s="102" t="s">
        <v>99</v>
      </c>
      <c r="M264" s="109"/>
      <c r="N264" s="102" t="s">
        <v>100</v>
      </c>
      <c r="O264" s="110"/>
      <c r="P264" s="111">
        <v>45068</v>
      </c>
      <c r="Q264" s="111">
        <v>45091</v>
      </c>
      <c r="R264" s="111">
        <v>45093</v>
      </c>
      <c r="S264" s="112"/>
      <c r="T264" s="113"/>
      <c r="U264" s="111">
        <v>45091</v>
      </c>
      <c r="V264" s="111">
        <v>45100</v>
      </c>
      <c r="W264" s="114"/>
      <c r="X264" s="115" t="s">
        <v>785</v>
      </c>
      <c r="Y264" s="102" t="s">
        <v>786</v>
      </c>
      <c r="Z264" s="102" t="s">
        <v>859</v>
      </c>
      <c r="AA264" s="116" t="str">
        <f t="shared" si="3"/>
        <v>REP</v>
      </c>
    </row>
    <row r="265" spans="2:27" ht="3.75" customHeight="1" x14ac:dyDescent="0.25">
      <c r="F265" s="119"/>
      <c r="AA265" s="57" t="str">
        <f t="shared" si="3"/>
        <v/>
      </c>
    </row>
    <row r="266" spans="2:27" x14ac:dyDescent="0.25">
      <c r="B266" s="48" t="s">
        <v>399</v>
      </c>
      <c r="C266" s="59"/>
      <c r="D266" s="49" t="s">
        <v>306</v>
      </c>
      <c r="F266" s="49" t="s">
        <v>400</v>
      </c>
      <c r="G266" s="82"/>
      <c r="H266" s="49" t="s">
        <v>390</v>
      </c>
      <c r="I266" s="83"/>
      <c r="J266" s="51" t="s">
        <v>166</v>
      </c>
      <c r="K266" s="84"/>
      <c r="L266" s="48" t="s">
        <v>99</v>
      </c>
      <c r="N266" s="48" t="s">
        <v>100</v>
      </c>
      <c r="O266" s="64"/>
      <c r="P266" s="54">
        <v>45068</v>
      </c>
      <c r="Q266" s="54">
        <v>45091</v>
      </c>
      <c r="R266" s="54">
        <v>45093</v>
      </c>
      <c r="S266" s="85"/>
      <c r="T266" s="86"/>
      <c r="U266" s="54">
        <v>45091</v>
      </c>
      <c r="V266" s="54">
        <v>45093</v>
      </c>
      <c r="W266" s="87"/>
      <c r="X266" s="88" t="s">
        <v>785</v>
      </c>
      <c r="Y266" s="48" t="s">
        <v>785</v>
      </c>
      <c r="Z266" s="48" t="s">
        <v>859</v>
      </c>
      <c r="AA266" s="57" t="str">
        <f t="shared" si="3"/>
        <v/>
      </c>
    </row>
    <row r="267" spans="2:27" ht="3.75" customHeight="1" x14ac:dyDescent="0.25">
      <c r="F267" s="119"/>
      <c r="AA267" s="57" t="str">
        <f t="shared" si="3"/>
        <v/>
      </c>
    </row>
    <row r="268" spans="2:27" x14ac:dyDescent="0.25">
      <c r="B268" s="48" t="s">
        <v>401</v>
      </c>
      <c r="C268" s="59"/>
      <c r="D268" s="49" t="s">
        <v>306</v>
      </c>
      <c r="F268" s="49" t="s">
        <v>402</v>
      </c>
      <c r="G268" s="82"/>
      <c r="H268" s="49" t="s">
        <v>403</v>
      </c>
      <c r="I268" s="83"/>
      <c r="J268" s="51" t="s">
        <v>166</v>
      </c>
      <c r="K268" s="84"/>
      <c r="L268" s="48" t="s">
        <v>99</v>
      </c>
      <c r="N268" s="48" t="s">
        <v>100</v>
      </c>
      <c r="O268" s="64"/>
      <c r="P268" s="54">
        <v>45068</v>
      </c>
      <c r="Q268" s="54">
        <v>45091</v>
      </c>
      <c r="R268" s="54">
        <v>45093</v>
      </c>
      <c r="S268" s="85"/>
      <c r="T268" s="86"/>
      <c r="U268" s="54">
        <v>45091</v>
      </c>
      <c r="V268" s="54">
        <v>45093</v>
      </c>
      <c r="W268" s="87"/>
      <c r="X268" s="88" t="s">
        <v>785</v>
      </c>
      <c r="Y268" s="48" t="s">
        <v>785</v>
      </c>
      <c r="Z268" s="48" t="s">
        <v>859</v>
      </c>
      <c r="AA268" s="57" t="str">
        <f t="shared" ref="AA268:AA331" si="4">IFERROR(
IF(AND(X268="Não",Y268="Sim"),"REP",
IF(AND(X268="Sim",Y268="Não"),"Técnico",
IF(AND(X268="Sim",Y268="Sim"),"Ambos",""))),
"")</f>
        <v/>
      </c>
    </row>
    <row r="269" spans="2:27" ht="3.75" customHeight="1" x14ac:dyDescent="0.25">
      <c r="F269" s="119"/>
      <c r="AA269" s="57" t="str">
        <f t="shared" si="4"/>
        <v/>
      </c>
    </row>
    <row r="270" spans="2:27" x14ac:dyDescent="0.25">
      <c r="B270" s="48" t="s">
        <v>404</v>
      </c>
      <c r="C270" s="59"/>
      <c r="D270" s="49" t="s">
        <v>306</v>
      </c>
      <c r="F270" s="49" t="s">
        <v>405</v>
      </c>
      <c r="G270" s="82"/>
      <c r="H270" s="49" t="s">
        <v>390</v>
      </c>
      <c r="I270" s="83"/>
      <c r="J270" s="51" t="s">
        <v>166</v>
      </c>
      <c r="K270" s="84"/>
      <c r="L270" s="48" t="s">
        <v>99</v>
      </c>
      <c r="N270" s="48" t="s">
        <v>100</v>
      </c>
      <c r="O270" s="64"/>
      <c r="P270" s="54">
        <v>45068</v>
      </c>
      <c r="Q270" s="54">
        <v>45091</v>
      </c>
      <c r="R270" s="54">
        <v>45093</v>
      </c>
      <c r="S270" s="85"/>
      <c r="T270" s="86"/>
      <c r="U270" s="54">
        <v>45091</v>
      </c>
      <c r="V270" s="54">
        <v>45093</v>
      </c>
      <c r="W270" s="87"/>
      <c r="X270" s="88" t="s">
        <v>785</v>
      </c>
      <c r="Y270" s="48" t="s">
        <v>785</v>
      </c>
      <c r="Z270" s="48" t="s">
        <v>859</v>
      </c>
      <c r="AA270" s="57" t="str">
        <f t="shared" si="4"/>
        <v/>
      </c>
    </row>
    <row r="271" spans="2:27" ht="3.75" customHeight="1" x14ac:dyDescent="0.25">
      <c r="F271" s="119"/>
      <c r="AA271" s="57" t="str">
        <f t="shared" si="4"/>
        <v/>
      </c>
    </row>
    <row r="272" spans="2:27" s="101" customFormat="1" x14ac:dyDescent="0.25">
      <c r="B272" s="102" t="s">
        <v>406</v>
      </c>
      <c r="C272" s="103"/>
      <c r="D272" s="104" t="s">
        <v>306</v>
      </c>
      <c r="F272" s="104" t="s">
        <v>407</v>
      </c>
      <c r="G272" s="105"/>
      <c r="H272" s="104" t="s">
        <v>390</v>
      </c>
      <c r="I272" s="106"/>
      <c r="J272" s="107" t="s">
        <v>166</v>
      </c>
      <c r="K272" s="108"/>
      <c r="L272" s="102" t="s">
        <v>99</v>
      </c>
      <c r="M272" s="109"/>
      <c r="N272" s="102" t="s">
        <v>100</v>
      </c>
      <c r="O272" s="110"/>
      <c r="P272" s="111">
        <v>45068</v>
      </c>
      <c r="Q272" s="111">
        <v>45091</v>
      </c>
      <c r="R272" s="111">
        <v>45093</v>
      </c>
      <c r="S272" s="112"/>
      <c r="T272" s="113"/>
      <c r="U272" s="111">
        <v>45091</v>
      </c>
      <c r="V272" s="111">
        <v>45100</v>
      </c>
      <c r="W272" s="114"/>
      <c r="X272" s="115" t="s">
        <v>785</v>
      </c>
      <c r="Y272" s="102" t="s">
        <v>786</v>
      </c>
      <c r="Z272" s="102" t="s">
        <v>859</v>
      </c>
      <c r="AA272" s="116" t="str">
        <f t="shared" si="4"/>
        <v>REP</v>
      </c>
    </row>
    <row r="273" spans="2:27" ht="3.75" customHeight="1" x14ac:dyDescent="0.25">
      <c r="F273" s="119"/>
      <c r="AA273" s="57" t="str">
        <f t="shared" si="4"/>
        <v/>
      </c>
    </row>
    <row r="274" spans="2:27" x14ac:dyDescent="0.25">
      <c r="B274" s="48" t="s">
        <v>408</v>
      </c>
      <c r="C274" s="59"/>
      <c r="D274" s="49" t="s">
        <v>306</v>
      </c>
      <c r="F274" s="49" t="s">
        <v>409</v>
      </c>
      <c r="G274" s="82"/>
      <c r="H274" s="49" t="s">
        <v>390</v>
      </c>
      <c r="I274" s="83"/>
      <c r="J274" s="51" t="s">
        <v>166</v>
      </c>
      <c r="K274" s="84"/>
      <c r="L274" s="48" t="s">
        <v>99</v>
      </c>
      <c r="N274" s="48" t="s">
        <v>100</v>
      </c>
      <c r="O274" s="64"/>
      <c r="P274" s="54">
        <v>45068</v>
      </c>
      <c r="Q274" s="54">
        <v>45091</v>
      </c>
      <c r="R274" s="54">
        <v>45093</v>
      </c>
      <c r="S274" s="85"/>
      <c r="T274" s="86"/>
      <c r="U274" s="54">
        <v>45091</v>
      </c>
      <c r="V274" s="54">
        <v>45093</v>
      </c>
      <c r="W274" s="87"/>
      <c r="X274" s="88" t="s">
        <v>785</v>
      </c>
      <c r="Y274" s="48" t="s">
        <v>785</v>
      </c>
      <c r="Z274" s="48" t="s">
        <v>859</v>
      </c>
      <c r="AA274" s="57" t="str">
        <f t="shared" si="4"/>
        <v/>
      </c>
    </row>
    <row r="275" spans="2:27" ht="3.75" customHeight="1" x14ac:dyDescent="0.25">
      <c r="F275" s="119"/>
      <c r="AA275" s="57" t="str">
        <f t="shared" si="4"/>
        <v/>
      </c>
    </row>
    <row r="276" spans="2:27" x14ac:dyDescent="0.25">
      <c r="B276" s="48" t="s">
        <v>410</v>
      </c>
      <c r="C276" s="59"/>
      <c r="D276" s="49" t="s">
        <v>306</v>
      </c>
      <c r="F276" s="49" t="s">
        <v>411</v>
      </c>
      <c r="G276" s="82"/>
      <c r="H276" s="49" t="s">
        <v>390</v>
      </c>
      <c r="I276" s="83"/>
      <c r="J276" s="51" t="s">
        <v>166</v>
      </c>
      <c r="K276" s="84"/>
      <c r="L276" s="48" t="s">
        <v>99</v>
      </c>
      <c r="N276" s="48" t="s">
        <v>100</v>
      </c>
      <c r="O276" s="64"/>
      <c r="P276" s="54">
        <v>45068</v>
      </c>
      <c r="Q276" s="54">
        <v>45091</v>
      </c>
      <c r="R276" s="54">
        <v>45093</v>
      </c>
      <c r="S276" s="85"/>
      <c r="T276" s="86"/>
      <c r="U276" s="54">
        <v>45091</v>
      </c>
      <c r="V276" s="54">
        <v>45093</v>
      </c>
      <c r="W276" s="87"/>
      <c r="X276" s="88" t="s">
        <v>785</v>
      </c>
      <c r="Y276" s="48" t="s">
        <v>785</v>
      </c>
      <c r="Z276" s="48" t="s">
        <v>859</v>
      </c>
      <c r="AA276" s="57" t="str">
        <f t="shared" si="4"/>
        <v/>
      </c>
    </row>
    <row r="277" spans="2:27" ht="3.75" customHeight="1" x14ac:dyDescent="0.25">
      <c r="F277" s="119"/>
      <c r="AA277" s="57" t="str">
        <f t="shared" si="4"/>
        <v/>
      </c>
    </row>
    <row r="278" spans="2:27" x14ac:dyDescent="0.25">
      <c r="B278" s="48" t="s">
        <v>412</v>
      </c>
      <c r="C278" s="59"/>
      <c r="D278" s="49" t="s">
        <v>413</v>
      </c>
      <c r="F278" s="49" t="s">
        <v>414</v>
      </c>
      <c r="G278" s="82"/>
      <c r="H278" s="49" t="s">
        <v>415</v>
      </c>
      <c r="I278" s="83"/>
      <c r="J278" s="51" t="s">
        <v>111</v>
      </c>
      <c r="K278" s="84"/>
      <c r="L278" s="48" t="s">
        <v>99</v>
      </c>
      <c r="N278" s="48" t="s">
        <v>100</v>
      </c>
      <c r="O278" s="64"/>
      <c r="P278" s="54">
        <v>45058</v>
      </c>
      <c r="Q278" s="54">
        <v>45076</v>
      </c>
      <c r="R278" s="54">
        <v>45078</v>
      </c>
      <c r="S278" s="85"/>
      <c r="T278" s="86"/>
      <c r="U278" s="54">
        <v>45076</v>
      </c>
      <c r="V278" s="54">
        <v>45078</v>
      </c>
      <c r="W278" s="87"/>
      <c r="X278" s="88" t="s">
        <v>785</v>
      </c>
      <c r="Y278" s="48" t="s">
        <v>785</v>
      </c>
      <c r="Z278" s="48" t="s">
        <v>860</v>
      </c>
      <c r="AA278" s="57" t="str">
        <f t="shared" si="4"/>
        <v/>
      </c>
    </row>
    <row r="279" spans="2:27" ht="3.75" customHeight="1" x14ac:dyDescent="0.25">
      <c r="F279" s="119"/>
      <c r="AA279" s="57" t="str">
        <f t="shared" si="4"/>
        <v/>
      </c>
    </row>
    <row r="280" spans="2:27" x14ac:dyDescent="0.25">
      <c r="B280" s="48" t="s">
        <v>416</v>
      </c>
      <c r="C280" s="59"/>
      <c r="D280" s="49" t="s">
        <v>413</v>
      </c>
      <c r="F280" s="49" t="s">
        <v>417</v>
      </c>
      <c r="G280" s="82"/>
      <c r="J280" s="51" t="s">
        <v>111</v>
      </c>
      <c r="K280" s="84"/>
      <c r="L280" s="48" t="s">
        <v>99</v>
      </c>
      <c r="N280" s="48" t="s">
        <v>100</v>
      </c>
      <c r="O280" s="64"/>
      <c r="P280" s="54">
        <v>45058</v>
      </c>
      <c r="Q280" s="54">
        <v>45076</v>
      </c>
      <c r="R280" s="54">
        <v>45078</v>
      </c>
      <c r="S280" s="85"/>
      <c r="T280" s="86"/>
      <c r="U280" s="54">
        <v>45076</v>
      </c>
      <c r="V280" s="54">
        <v>45078</v>
      </c>
      <c r="W280" s="87"/>
      <c r="X280" s="88" t="s">
        <v>785</v>
      </c>
      <c r="Y280" s="48" t="s">
        <v>785</v>
      </c>
      <c r="Z280" s="48" t="s">
        <v>863</v>
      </c>
      <c r="AA280" s="57" t="str">
        <f t="shared" si="4"/>
        <v/>
      </c>
    </row>
    <row r="281" spans="2:27" ht="3.75" customHeight="1" x14ac:dyDescent="0.25">
      <c r="F281" s="119"/>
      <c r="AA281" s="57" t="str">
        <f t="shared" si="4"/>
        <v/>
      </c>
    </row>
    <row r="282" spans="2:27" x14ac:dyDescent="0.25">
      <c r="B282" s="48" t="s">
        <v>418</v>
      </c>
      <c r="C282" s="59"/>
      <c r="D282" s="49" t="s">
        <v>413</v>
      </c>
      <c r="F282" s="49" t="s">
        <v>419</v>
      </c>
      <c r="G282" s="82"/>
      <c r="H282" s="49" t="s">
        <v>415</v>
      </c>
      <c r="I282" s="83"/>
      <c r="J282" s="51" t="s">
        <v>111</v>
      </c>
      <c r="K282" s="84"/>
      <c r="L282" s="48" t="s">
        <v>99</v>
      </c>
      <c r="N282" s="48" t="s">
        <v>100</v>
      </c>
      <c r="O282" s="64"/>
      <c r="P282" s="54">
        <v>45058</v>
      </c>
      <c r="Q282" s="54">
        <v>45076</v>
      </c>
      <c r="R282" s="54">
        <v>45078</v>
      </c>
      <c r="S282" s="85"/>
      <c r="T282" s="86"/>
      <c r="U282" s="54">
        <v>45076</v>
      </c>
      <c r="V282" s="54">
        <v>45078</v>
      </c>
      <c r="W282" s="87"/>
      <c r="X282" s="88" t="s">
        <v>785</v>
      </c>
      <c r="Y282" s="48" t="s">
        <v>785</v>
      </c>
      <c r="Z282" s="48" t="s">
        <v>860</v>
      </c>
      <c r="AA282" s="57" t="str">
        <f t="shared" si="4"/>
        <v/>
      </c>
    </row>
    <row r="283" spans="2:27" ht="3.75" customHeight="1" x14ac:dyDescent="0.25">
      <c r="F283" s="119"/>
      <c r="AA283" s="57" t="str">
        <f t="shared" si="4"/>
        <v/>
      </c>
    </row>
    <row r="284" spans="2:27" x14ac:dyDescent="0.25">
      <c r="B284" s="48" t="s">
        <v>420</v>
      </c>
      <c r="C284" s="59"/>
      <c r="D284" s="49" t="s">
        <v>413</v>
      </c>
      <c r="F284" s="49" t="s">
        <v>421</v>
      </c>
      <c r="G284" s="89"/>
      <c r="H284" s="49" t="s">
        <v>415</v>
      </c>
      <c r="I284" s="83"/>
      <c r="J284" s="51" t="s">
        <v>111</v>
      </c>
      <c r="K284" s="84"/>
      <c r="L284" s="48" t="s">
        <v>99</v>
      </c>
      <c r="N284" s="48" t="s">
        <v>100</v>
      </c>
      <c r="O284" s="64"/>
      <c r="P284" s="54">
        <v>45058</v>
      </c>
      <c r="Q284" s="54">
        <v>45076</v>
      </c>
      <c r="R284" s="54">
        <v>45078</v>
      </c>
      <c r="S284" s="85"/>
      <c r="T284" s="86"/>
      <c r="U284" s="54">
        <v>45076</v>
      </c>
      <c r="V284" s="54">
        <v>45078</v>
      </c>
      <c r="W284" s="87"/>
      <c r="X284" s="88" t="s">
        <v>785</v>
      </c>
      <c r="Y284" s="48" t="s">
        <v>785</v>
      </c>
      <c r="Z284" s="48" t="s">
        <v>860</v>
      </c>
      <c r="AA284" s="57" t="str">
        <f t="shared" si="4"/>
        <v/>
      </c>
    </row>
    <row r="285" spans="2:27" ht="3.75" customHeight="1" x14ac:dyDescent="0.25">
      <c r="F285" s="119"/>
      <c r="AA285" s="57" t="str">
        <f t="shared" si="4"/>
        <v/>
      </c>
    </row>
    <row r="286" spans="2:27" x14ac:dyDescent="0.25">
      <c r="B286" s="48" t="s">
        <v>422</v>
      </c>
      <c r="C286" s="59"/>
      <c r="D286" s="49" t="s">
        <v>423</v>
      </c>
      <c r="F286" s="49" t="s">
        <v>424</v>
      </c>
      <c r="G286" s="82"/>
      <c r="H286" s="49" t="s">
        <v>425</v>
      </c>
      <c r="I286" s="83"/>
      <c r="J286" s="51" t="s">
        <v>166</v>
      </c>
      <c r="K286" s="84"/>
      <c r="L286" s="48" t="s">
        <v>99</v>
      </c>
      <c r="N286" s="48" t="s">
        <v>239</v>
      </c>
      <c r="O286" s="64"/>
      <c r="P286" s="54">
        <v>45061</v>
      </c>
      <c r="Q286" s="54">
        <v>45082</v>
      </c>
      <c r="R286" s="54">
        <v>45084</v>
      </c>
      <c r="S286" s="85"/>
      <c r="T286" s="86"/>
      <c r="U286" s="54">
        <v>45082</v>
      </c>
      <c r="V286" s="54">
        <v>45083</v>
      </c>
      <c r="W286" s="87"/>
      <c r="X286" s="88" t="s">
        <v>785</v>
      </c>
      <c r="Y286" s="48" t="s">
        <v>785</v>
      </c>
      <c r="Z286" s="48" t="s">
        <v>858</v>
      </c>
      <c r="AA286" s="57" t="str">
        <f t="shared" si="4"/>
        <v/>
      </c>
    </row>
    <row r="287" spans="2:27" ht="3.75" customHeight="1" x14ac:dyDescent="0.25">
      <c r="F287" s="119"/>
      <c r="AA287" s="57" t="str">
        <f t="shared" si="4"/>
        <v/>
      </c>
    </row>
    <row r="288" spans="2:27" x14ac:dyDescent="0.25">
      <c r="B288" s="48" t="s">
        <v>426</v>
      </c>
      <c r="C288" s="59"/>
      <c r="D288" s="49" t="s">
        <v>427</v>
      </c>
      <c r="F288" s="49" t="s">
        <v>428</v>
      </c>
      <c r="G288" s="82"/>
      <c r="H288" s="49" t="s">
        <v>97</v>
      </c>
      <c r="I288" s="83"/>
      <c r="J288" s="51" t="s">
        <v>111</v>
      </c>
      <c r="K288" s="84"/>
      <c r="L288" s="48" t="s">
        <v>99</v>
      </c>
      <c r="N288" s="48" t="s">
        <v>100</v>
      </c>
      <c r="O288" s="64"/>
      <c r="P288" s="54">
        <v>45065</v>
      </c>
      <c r="Q288" s="54">
        <v>45103</v>
      </c>
      <c r="R288" s="54">
        <v>45105</v>
      </c>
      <c r="S288" s="85"/>
      <c r="T288" s="86"/>
      <c r="U288" s="54">
        <v>45082</v>
      </c>
      <c r="V288" s="54">
        <v>45096</v>
      </c>
      <c r="W288" s="87"/>
      <c r="X288" s="88" t="s">
        <v>785</v>
      </c>
      <c r="Y288" s="48" t="s">
        <v>785</v>
      </c>
      <c r="Z288" s="48" t="s">
        <v>858</v>
      </c>
      <c r="AA288" s="57" t="str">
        <f t="shared" si="4"/>
        <v/>
      </c>
    </row>
    <row r="289" spans="2:27" ht="3.75" customHeight="1" x14ac:dyDescent="0.25">
      <c r="F289" s="119"/>
      <c r="AA289" s="57" t="str">
        <f t="shared" si="4"/>
        <v/>
      </c>
    </row>
    <row r="290" spans="2:27" x14ac:dyDescent="0.25">
      <c r="B290" s="48" t="s">
        <v>429</v>
      </c>
      <c r="C290" s="59"/>
      <c r="D290" s="49" t="s">
        <v>427</v>
      </c>
      <c r="F290" s="49" t="s">
        <v>428</v>
      </c>
      <c r="G290" s="82"/>
      <c r="H290" s="49" t="s">
        <v>97</v>
      </c>
      <c r="I290" s="83"/>
      <c r="J290" s="51" t="s">
        <v>111</v>
      </c>
      <c r="K290" s="84"/>
      <c r="L290" s="48" t="s">
        <v>99</v>
      </c>
      <c r="N290" s="48" t="s">
        <v>100</v>
      </c>
      <c r="O290" s="64"/>
      <c r="P290" s="54">
        <v>45065</v>
      </c>
      <c r="Q290" s="54">
        <v>45103</v>
      </c>
      <c r="R290" s="54">
        <v>45105</v>
      </c>
      <c r="S290" s="85"/>
      <c r="T290" s="86"/>
      <c r="U290" s="54">
        <v>45082</v>
      </c>
      <c r="V290" s="54">
        <v>45097</v>
      </c>
      <c r="W290" s="87"/>
      <c r="X290" s="88" t="s">
        <v>785</v>
      </c>
      <c r="Y290" s="48" t="s">
        <v>785</v>
      </c>
      <c r="Z290" s="48" t="s">
        <v>858</v>
      </c>
      <c r="AA290" s="57" t="str">
        <f t="shared" si="4"/>
        <v/>
      </c>
    </row>
    <row r="291" spans="2:27" x14ac:dyDescent="0.25">
      <c r="B291" s="48" t="s">
        <v>430</v>
      </c>
      <c r="C291" s="59"/>
      <c r="D291" s="49" t="s">
        <v>427</v>
      </c>
      <c r="F291" s="49" t="s">
        <v>431</v>
      </c>
      <c r="G291" s="82"/>
      <c r="H291" s="49" t="s">
        <v>97</v>
      </c>
      <c r="I291" s="83"/>
      <c r="J291" s="51" t="s">
        <v>111</v>
      </c>
      <c r="K291" s="84"/>
      <c r="L291" s="48" t="s">
        <v>99</v>
      </c>
      <c r="N291" s="48" t="s">
        <v>100</v>
      </c>
      <c r="O291" s="64"/>
      <c r="P291" s="54">
        <v>45065</v>
      </c>
      <c r="Q291" s="54">
        <v>45103</v>
      </c>
      <c r="R291" s="54">
        <v>45105</v>
      </c>
      <c r="S291" s="85"/>
      <c r="T291" s="86"/>
      <c r="U291" s="54">
        <v>45083</v>
      </c>
      <c r="V291" s="54">
        <v>45096</v>
      </c>
      <c r="W291" s="87"/>
      <c r="X291" s="88" t="s">
        <v>785</v>
      </c>
      <c r="Y291" s="48" t="s">
        <v>785</v>
      </c>
      <c r="Z291" s="48" t="s">
        <v>858</v>
      </c>
      <c r="AA291" s="57" t="str">
        <f t="shared" si="4"/>
        <v/>
      </c>
    </row>
    <row r="292" spans="2:27" ht="3.75" customHeight="1" x14ac:dyDescent="0.25">
      <c r="F292" s="119"/>
      <c r="AA292" s="57" t="str">
        <f t="shared" si="4"/>
        <v/>
      </c>
    </row>
    <row r="293" spans="2:27" x14ac:dyDescent="0.25">
      <c r="B293" s="48" t="s">
        <v>432</v>
      </c>
      <c r="C293" s="59"/>
      <c r="D293" s="49" t="s">
        <v>427</v>
      </c>
      <c r="F293" s="49" t="s">
        <v>433</v>
      </c>
      <c r="G293" s="82"/>
      <c r="H293" s="49" t="s">
        <v>97</v>
      </c>
      <c r="I293" s="83"/>
      <c r="J293" s="51" t="s">
        <v>111</v>
      </c>
      <c r="K293" s="84"/>
      <c r="L293" s="48" t="s">
        <v>99</v>
      </c>
      <c r="N293" s="48" t="s">
        <v>100</v>
      </c>
      <c r="O293" s="64"/>
      <c r="P293" s="54">
        <v>45065</v>
      </c>
      <c r="Q293" s="54">
        <v>45103</v>
      </c>
      <c r="R293" s="54">
        <v>45105</v>
      </c>
      <c r="S293" s="85"/>
      <c r="T293" s="86"/>
      <c r="U293" s="54">
        <v>45083</v>
      </c>
      <c r="V293" s="54">
        <v>45096</v>
      </c>
      <c r="W293" s="87"/>
      <c r="X293" s="88" t="s">
        <v>785</v>
      </c>
      <c r="Y293" s="48" t="s">
        <v>785</v>
      </c>
      <c r="Z293" s="48" t="s">
        <v>858</v>
      </c>
      <c r="AA293" s="57" t="str">
        <f t="shared" si="4"/>
        <v/>
      </c>
    </row>
    <row r="294" spans="2:27" ht="3.75" customHeight="1" x14ac:dyDescent="0.25">
      <c r="F294" s="119"/>
      <c r="AA294" s="57" t="str">
        <f t="shared" si="4"/>
        <v/>
      </c>
    </row>
    <row r="295" spans="2:27" x14ac:dyDescent="0.25">
      <c r="B295" s="48" t="s">
        <v>434</v>
      </c>
      <c r="C295" s="59"/>
      <c r="D295" s="49" t="s">
        <v>427</v>
      </c>
      <c r="F295" s="49" t="s">
        <v>435</v>
      </c>
      <c r="G295" s="82"/>
      <c r="H295" s="49" t="s">
        <v>97</v>
      </c>
      <c r="I295" s="83"/>
      <c r="J295" s="51" t="s">
        <v>111</v>
      </c>
      <c r="K295" s="84"/>
      <c r="L295" s="48" t="s">
        <v>99</v>
      </c>
      <c r="N295" s="48" t="s">
        <v>100</v>
      </c>
      <c r="O295" s="64"/>
      <c r="P295" s="54">
        <v>45065</v>
      </c>
      <c r="Q295" s="54">
        <v>45103</v>
      </c>
      <c r="R295" s="54">
        <v>45105</v>
      </c>
      <c r="S295" s="85"/>
      <c r="T295" s="86"/>
      <c r="U295" s="54">
        <v>45078</v>
      </c>
      <c r="V295" s="54">
        <v>45096</v>
      </c>
      <c r="W295" s="87"/>
      <c r="X295" s="88" t="s">
        <v>785</v>
      </c>
      <c r="Y295" s="48" t="s">
        <v>785</v>
      </c>
      <c r="Z295" s="48" t="s">
        <v>858</v>
      </c>
      <c r="AA295" s="57" t="str">
        <f t="shared" si="4"/>
        <v/>
      </c>
    </row>
    <row r="296" spans="2:27" ht="3.75" customHeight="1" x14ac:dyDescent="0.25">
      <c r="F296" s="119"/>
      <c r="AA296" s="57" t="str">
        <f t="shared" si="4"/>
        <v/>
      </c>
    </row>
    <row r="297" spans="2:27" x14ac:dyDescent="0.25">
      <c r="B297" s="48" t="s">
        <v>434</v>
      </c>
      <c r="C297" s="59"/>
      <c r="D297" s="49" t="s">
        <v>427</v>
      </c>
      <c r="F297" s="49" t="s">
        <v>435</v>
      </c>
      <c r="G297" s="82"/>
      <c r="H297" s="49" t="s">
        <v>97</v>
      </c>
      <c r="I297" s="83"/>
      <c r="J297" s="51" t="s">
        <v>111</v>
      </c>
      <c r="K297" s="84"/>
      <c r="L297" s="48" t="s">
        <v>99</v>
      </c>
      <c r="N297" s="48" t="s">
        <v>100</v>
      </c>
      <c r="O297" s="64"/>
      <c r="P297" s="54">
        <v>45065</v>
      </c>
      <c r="Q297" s="54">
        <v>45103</v>
      </c>
      <c r="R297" s="54">
        <v>45105</v>
      </c>
      <c r="S297" s="85"/>
      <c r="T297" s="86"/>
      <c r="U297" s="54">
        <v>45096</v>
      </c>
      <c r="V297" s="54">
        <v>45096</v>
      </c>
      <c r="W297" s="87"/>
      <c r="X297" s="88" t="s">
        <v>785</v>
      </c>
      <c r="Y297" s="48" t="s">
        <v>785</v>
      </c>
      <c r="Z297" s="48" t="s">
        <v>858</v>
      </c>
      <c r="AA297" s="57" t="str">
        <f t="shared" si="4"/>
        <v/>
      </c>
    </row>
    <row r="298" spans="2:27" ht="3.75" customHeight="1" x14ac:dyDescent="0.25">
      <c r="F298" s="119"/>
      <c r="AA298" s="57" t="str">
        <f t="shared" si="4"/>
        <v/>
      </c>
    </row>
    <row r="299" spans="2:27" x14ac:dyDescent="0.25">
      <c r="B299" s="48" t="s">
        <v>436</v>
      </c>
      <c r="C299" s="59"/>
      <c r="D299" s="49" t="s">
        <v>427</v>
      </c>
      <c r="F299" s="49" t="s">
        <v>428</v>
      </c>
      <c r="G299" s="82"/>
      <c r="H299" s="49" t="s">
        <v>97</v>
      </c>
      <c r="I299" s="83"/>
      <c r="J299" s="51" t="s">
        <v>111</v>
      </c>
      <c r="K299" s="84"/>
      <c r="L299" s="48" t="s">
        <v>99</v>
      </c>
      <c r="N299" s="48" t="s">
        <v>100</v>
      </c>
      <c r="O299" s="64"/>
      <c r="P299" s="54">
        <v>45065</v>
      </c>
      <c r="Q299" s="54">
        <v>45103</v>
      </c>
      <c r="R299" s="54">
        <v>45105</v>
      </c>
      <c r="S299" s="85"/>
      <c r="T299" s="86"/>
      <c r="U299" s="54">
        <v>45096</v>
      </c>
      <c r="V299" s="54">
        <v>45096</v>
      </c>
      <c r="W299" s="87"/>
      <c r="X299" s="88" t="s">
        <v>785</v>
      </c>
      <c r="Y299" s="48" t="s">
        <v>785</v>
      </c>
      <c r="Z299" s="48" t="s">
        <v>858</v>
      </c>
      <c r="AA299" s="57" t="str">
        <f t="shared" si="4"/>
        <v/>
      </c>
    </row>
    <row r="300" spans="2:27" ht="3.75" customHeight="1" x14ac:dyDescent="0.25">
      <c r="F300" s="119"/>
      <c r="AA300" s="57" t="str">
        <f t="shared" si="4"/>
        <v/>
      </c>
    </row>
    <row r="301" spans="2:27" x14ac:dyDescent="0.25">
      <c r="B301" s="48" t="s">
        <v>436</v>
      </c>
      <c r="C301" s="59"/>
      <c r="D301" s="49" t="s">
        <v>427</v>
      </c>
      <c r="F301" s="49" t="s">
        <v>428</v>
      </c>
      <c r="G301" s="82"/>
      <c r="H301" s="49" t="s">
        <v>97</v>
      </c>
      <c r="I301" s="83"/>
      <c r="J301" s="51" t="s">
        <v>111</v>
      </c>
      <c r="K301" s="84"/>
      <c r="L301" s="48" t="s">
        <v>99</v>
      </c>
      <c r="N301" s="48" t="s">
        <v>100</v>
      </c>
      <c r="O301" s="64"/>
      <c r="P301" s="54">
        <v>45065</v>
      </c>
      <c r="Q301" s="54">
        <v>45103</v>
      </c>
      <c r="R301" s="54">
        <v>45105</v>
      </c>
      <c r="S301" s="85"/>
      <c r="T301" s="86"/>
      <c r="U301" s="54">
        <v>45078</v>
      </c>
      <c r="V301" s="54">
        <v>45096</v>
      </c>
      <c r="W301" s="87"/>
      <c r="X301" s="88" t="s">
        <v>785</v>
      </c>
      <c r="Y301" s="48" t="s">
        <v>785</v>
      </c>
      <c r="Z301" s="48" t="s">
        <v>858</v>
      </c>
      <c r="AA301" s="57" t="str">
        <f t="shared" si="4"/>
        <v/>
      </c>
    </row>
    <row r="302" spans="2:27" ht="3.75" customHeight="1" x14ac:dyDescent="0.25">
      <c r="F302" s="119"/>
      <c r="AA302" s="57" t="str">
        <f t="shared" si="4"/>
        <v/>
      </c>
    </row>
    <row r="303" spans="2:27" x14ac:dyDescent="0.25">
      <c r="B303" s="48" t="s">
        <v>437</v>
      </c>
      <c r="C303" s="59"/>
      <c r="D303" s="49" t="s">
        <v>427</v>
      </c>
      <c r="F303" s="49" t="s">
        <v>428</v>
      </c>
      <c r="G303" s="82"/>
      <c r="H303" s="49" t="s">
        <v>97</v>
      </c>
      <c r="I303" s="83"/>
      <c r="J303" s="51" t="s">
        <v>111</v>
      </c>
      <c r="K303" s="84"/>
      <c r="L303" s="48" t="s">
        <v>99</v>
      </c>
      <c r="N303" s="48" t="s">
        <v>100</v>
      </c>
      <c r="O303" s="64"/>
      <c r="P303" s="54">
        <v>45065</v>
      </c>
      <c r="Q303" s="54">
        <v>45103</v>
      </c>
      <c r="R303" s="54">
        <v>45105</v>
      </c>
      <c r="S303" s="85"/>
      <c r="T303" s="86"/>
      <c r="U303" s="54">
        <v>45096</v>
      </c>
      <c r="V303" s="54">
        <v>45096</v>
      </c>
      <c r="W303" s="87"/>
      <c r="X303" s="88" t="s">
        <v>785</v>
      </c>
      <c r="Y303" s="48" t="s">
        <v>785</v>
      </c>
      <c r="Z303" s="48" t="s">
        <v>858</v>
      </c>
      <c r="AA303" s="57" t="str">
        <f t="shared" si="4"/>
        <v/>
      </c>
    </row>
    <row r="304" spans="2:27" ht="3.75" customHeight="1" x14ac:dyDescent="0.25">
      <c r="F304" s="119"/>
      <c r="AA304" s="57" t="str">
        <f t="shared" si="4"/>
        <v/>
      </c>
    </row>
    <row r="305" spans="2:27" x14ac:dyDescent="0.25">
      <c r="B305" s="48" t="s">
        <v>437</v>
      </c>
      <c r="C305" s="59"/>
      <c r="D305" s="49" t="s">
        <v>427</v>
      </c>
      <c r="F305" s="49" t="s">
        <v>428</v>
      </c>
      <c r="G305" s="82"/>
      <c r="H305" s="49" t="s">
        <v>97</v>
      </c>
      <c r="I305" s="83"/>
      <c r="J305" s="51" t="s">
        <v>111</v>
      </c>
      <c r="K305" s="84"/>
      <c r="L305" s="48" t="s">
        <v>99</v>
      </c>
      <c r="N305" s="48" t="s">
        <v>100</v>
      </c>
      <c r="O305" s="64"/>
      <c r="P305" s="54">
        <v>45065</v>
      </c>
      <c r="Q305" s="54">
        <v>45103</v>
      </c>
      <c r="R305" s="54">
        <v>45105</v>
      </c>
      <c r="S305" s="85"/>
      <c r="T305" s="86"/>
      <c r="U305" s="54">
        <v>45078</v>
      </c>
      <c r="V305" s="54">
        <v>45096</v>
      </c>
      <c r="W305" s="87"/>
      <c r="X305" s="88" t="s">
        <v>785</v>
      </c>
      <c r="Y305" s="48" t="s">
        <v>785</v>
      </c>
      <c r="Z305" s="48" t="s">
        <v>858</v>
      </c>
      <c r="AA305" s="57" t="str">
        <f t="shared" si="4"/>
        <v/>
      </c>
    </row>
    <row r="306" spans="2:27" ht="3.75" customHeight="1" x14ac:dyDescent="0.25">
      <c r="F306" s="119"/>
      <c r="AA306" s="57" t="str">
        <f t="shared" si="4"/>
        <v/>
      </c>
    </row>
    <row r="307" spans="2:27" x14ac:dyDescent="0.25">
      <c r="B307" s="48" t="s">
        <v>438</v>
      </c>
      <c r="C307" s="59"/>
      <c r="D307" s="49" t="s">
        <v>427</v>
      </c>
      <c r="F307" s="49" t="s">
        <v>428</v>
      </c>
      <c r="G307" s="82"/>
      <c r="H307" s="49" t="s">
        <v>97</v>
      </c>
      <c r="I307" s="83"/>
      <c r="J307" s="51" t="s">
        <v>111</v>
      </c>
      <c r="K307" s="84"/>
      <c r="L307" s="48" t="s">
        <v>99</v>
      </c>
      <c r="N307" s="48" t="s">
        <v>100</v>
      </c>
      <c r="O307" s="64"/>
      <c r="P307" s="54">
        <v>45065</v>
      </c>
      <c r="Q307" s="54">
        <v>45103</v>
      </c>
      <c r="R307" s="54">
        <v>45105</v>
      </c>
      <c r="S307" s="85"/>
      <c r="T307" s="86"/>
      <c r="U307" s="54">
        <v>45078</v>
      </c>
      <c r="V307" s="54">
        <v>45096</v>
      </c>
      <c r="W307" s="87"/>
      <c r="X307" s="88" t="s">
        <v>785</v>
      </c>
      <c r="Y307" s="48" t="s">
        <v>785</v>
      </c>
      <c r="Z307" s="48" t="s">
        <v>858</v>
      </c>
      <c r="AA307" s="57" t="str">
        <f t="shared" si="4"/>
        <v/>
      </c>
    </row>
    <row r="308" spans="2:27" ht="3.75" customHeight="1" x14ac:dyDescent="0.25">
      <c r="F308" s="119"/>
      <c r="AA308" s="57" t="str">
        <f t="shared" si="4"/>
        <v/>
      </c>
    </row>
    <row r="309" spans="2:27" x14ac:dyDescent="0.25">
      <c r="B309" s="48" t="s">
        <v>438</v>
      </c>
      <c r="C309" s="59"/>
      <c r="D309" s="49" t="s">
        <v>427</v>
      </c>
      <c r="F309" s="49" t="s">
        <v>428</v>
      </c>
      <c r="G309" s="82"/>
      <c r="H309" s="49" t="s">
        <v>97</v>
      </c>
      <c r="I309" s="83"/>
      <c r="J309" s="51" t="s">
        <v>111</v>
      </c>
      <c r="K309" s="84"/>
      <c r="L309" s="48" t="s">
        <v>99</v>
      </c>
      <c r="N309" s="48" t="s">
        <v>100</v>
      </c>
      <c r="O309" s="64"/>
      <c r="P309" s="54">
        <v>45065</v>
      </c>
      <c r="Q309" s="54">
        <v>45103</v>
      </c>
      <c r="R309" s="54">
        <v>45105</v>
      </c>
      <c r="S309" s="85"/>
      <c r="T309" s="86"/>
      <c r="U309" s="54">
        <v>45096</v>
      </c>
      <c r="V309" s="54">
        <v>45096</v>
      </c>
      <c r="W309" s="87"/>
      <c r="X309" s="88" t="s">
        <v>785</v>
      </c>
      <c r="Y309" s="48" t="s">
        <v>785</v>
      </c>
      <c r="Z309" s="48" t="s">
        <v>858</v>
      </c>
      <c r="AA309" s="57" t="str">
        <f t="shared" si="4"/>
        <v/>
      </c>
    </row>
    <row r="310" spans="2:27" ht="3.75" customHeight="1" x14ac:dyDescent="0.25">
      <c r="F310" s="119"/>
      <c r="AA310" s="57" t="str">
        <f t="shared" si="4"/>
        <v/>
      </c>
    </row>
    <row r="311" spans="2:27" x14ac:dyDescent="0.25">
      <c r="B311" s="48" t="s">
        <v>439</v>
      </c>
      <c r="C311" s="59"/>
      <c r="D311" s="49" t="s">
        <v>427</v>
      </c>
      <c r="F311" s="49" t="s">
        <v>440</v>
      </c>
      <c r="G311" s="82"/>
      <c r="H311" s="49" t="s">
        <v>97</v>
      </c>
      <c r="I311" s="83"/>
      <c r="J311" s="51" t="s">
        <v>111</v>
      </c>
      <c r="K311" s="84"/>
      <c r="L311" s="48" t="s">
        <v>99</v>
      </c>
      <c r="N311" s="48" t="s">
        <v>100</v>
      </c>
      <c r="O311" s="64"/>
      <c r="P311" s="54">
        <v>45065</v>
      </c>
      <c r="Q311" s="54">
        <v>45103</v>
      </c>
      <c r="R311" s="54">
        <v>45105</v>
      </c>
      <c r="S311" s="85"/>
      <c r="T311" s="86"/>
      <c r="U311" s="54">
        <v>45096</v>
      </c>
      <c r="V311" s="54">
        <v>45096</v>
      </c>
      <c r="W311" s="87"/>
      <c r="X311" s="88" t="s">
        <v>785</v>
      </c>
      <c r="Y311" s="48" t="s">
        <v>785</v>
      </c>
      <c r="Z311" s="48" t="s">
        <v>858</v>
      </c>
      <c r="AA311" s="57" t="str">
        <f t="shared" si="4"/>
        <v/>
      </c>
    </row>
    <row r="312" spans="2:27" ht="3.75" customHeight="1" x14ac:dyDescent="0.25">
      <c r="F312" s="119"/>
      <c r="AA312" s="57" t="str">
        <f t="shared" si="4"/>
        <v/>
      </c>
    </row>
    <row r="313" spans="2:27" x14ac:dyDescent="0.25">
      <c r="B313" s="48" t="s">
        <v>439</v>
      </c>
      <c r="C313" s="59"/>
      <c r="D313" s="49" t="s">
        <v>427</v>
      </c>
      <c r="F313" s="49" t="s">
        <v>440</v>
      </c>
      <c r="G313" s="82"/>
      <c r="H313" s="49" t="s">
        <v>97</v>
      </c>
      <c r="I313" s="83"/>
      <c r="J313" s="51" t="s">
        <v>111</v>
      </c>
      <c r="K313" s="84"/>
      <c r="L313" s="48" t="s">
        <v>99</v>
      </c>
      <c r="N313" s="48" t="s">
        <v>100</v>
      </c>
      <c r="O313" s="64"/>
      <c r="P313" s="54">
        <v>45065</v>
      </c>
      <c r="Q313" s="54">
        <v>45103</v>
      </c>
      <c r="R313" s="54">
        <v>45105</v>
      </c>
      <c r="S313" s="85"/>
      <c r="T313" s="86"/>
      <c r="U313" s="54">
        <v>45083</v>
      </c>
      <c r="V313" s="54">
        <v>45096</v>
      </c>
      <c r="W313" s="87"/>
      <c r="X313" s="88" t="s">
        <v>785</v>
      </c>
      <c r="Y313" s="48" t="s">
        <v>785</v>
      </c>
      <c r="Z313" s="48" t="s">
        <v>858</v>
      </c>
      <c r="AA313" s="57" t="str">
        <f t="shared" si="4"/>
        <v/>
      </c>
    </row>
    <row r="314" spans="2:27" ht="3.75" customHeight="1" x14ac:dyDescent="0.25">
      <c r="F314" s="119"/>
      <c r="AA314" s="57" t="str">
        <f t="shared" si="4"/>
        <v/>
      </c>
    </row>
    <row r="315" spans="2:27" x14ac:dyDescent="0.25">
      <c r="B315" s="48" t="s">
        <v>441</v>
      </c>
      <c r="C315" s="59"/>
      <c r="D315" s="49" t="s">
        <v>427</v>
      </c>
      <c r="F315" s="49" t="s">
        <v>433</v>
      </c>
      <c r="G315" s="82"/>
      <c r="H315" s="49" t="s">
        <v>97</v>
      </c>
      <c r="I315" s="83"/>
      <c r="J315" s="51" t="s">
        <v>111</v>
      </c>
      <c r="K315" s="84"/>
      <c r="L315" s="48" t="s">
        <v>99</v>
      </c>
      <c r="N315" s="48" t="s">
        <v>100</v>
      </c>
      <c r="O315" s="64"/>
      <c r="P315" s="54">
        <v>45065</v>
      </c>
      <c r="Q315" s="54">
        <v>45103</v>
      </c>
      <c r="R315" s="54">
        <v>45105</v>
      </c>
      <c r="S315" s="85"/>
      <c r="T315" s="86"/>
      <c r="U315" s="54">
        <v>45096</v>
      </c>
      <c r="V315" s="54">
        <v>45096</v>
      </c>
      <c r="W315" s="87"/>
      <c r="X315" s="88" t="s">
        <v>785</v>
      </c>
      <c r="Y315" s="48" t="s">
        <v>785</v>
      </c>
      <c r="Z315" s="48" t="s">
        <v>858</v>
      </c>
      <c r="AA315" s="57" t="str">
        <f t="shared" si="4"/>
        <v/>
      </c>
    </row>
    <row r="316" spans="2:27" ht="3.75" customHeight="1" x14ac:dyDescent="0.25">
      <c r="F316" s="119"/>
      <c r="AA316" s="57" t="str">
        <f t="shared" si="4"/>
        <v/>
      </c>
    </row>
    <row r="317" spans="2:27" x14ac:dyDescent="0.25">
      <c r="B317" s="48" t="s">
        <v>441</v>
      </c>
      <c r="C317" s="59"/>
      <c r="D317" s="49" t="s">
        <v>427</v>
      </c>
      <c r="F317" s="49" t="s">
        <v>433</v>
      </c>
      <c r="G317" s="82"/>
      <c r="H317" s="49" t="s">
        <v>97</v>
      </c>
      <c r="I317" s="83"/>
      <c r="J317" s="51" t="s">
        <v>111</v>
      </c>
      <c r="K317" s="84"/>
      <c r="L317" s="48" t="s">
        <v>99</v>
      </c>
      <c r="N317" s="48" t="s">
        <v>100</v>
      </c>
      <c r="O317" s="64"/>
      <c r="P317" s="54">
        <v>45065</v>
      </c>
      <c r="Q317" s="54">
        <v>45103</v>
      </c>
      <c r="R317" s="54">
        <v>45105</v>
      </c>
      <c r="S317" s="85"/>
      <c r="T317" s="86"/>
      <c r="U317" s="54">
        <v>45083</v>
      </c>
      <c r="V317" s="54">
        <v>45096</v>
      </c>
      <c r="W317" s="87"/>
      <c r="X317" s="88" t="s">
        <v>785</v>
      </c>
      <c r="Y317" s="48" t="s">
        <v>785</v>
      </c>
      <c r="Z317" s="48" t="s">
        <v>858</v>
      </c>
      <c r="AA317" s="57" t="str">
        <f t="shared" si="4"/>
        <v/>
      </c>
    </row>
    <row r="318" spans="2:27" ht="3.75" customHeight="1" x14ac:dyDescent="0.25">
      <c r="F318" s="119"/>
      <c r="AA318" s="57" t="str">
        <f t="shared" si="4"/>
        <v/>
      </c>
    </row>
    <row r="319" spans="2:27" x14ac:dyDescent="0.25">
      <c r="B319" s="48" t="s">
        <v>442</v>
      </c>
      <c r="C319" s="59"/>
      <c r="D319" s="49" t="s">
        <v>427</v>
      </c>
      <c r="F319" s="49" t="s">
        <v>433</v>
      </c>
      <c r="G319" s="82"/>
      <c r="H319" s="49" t="s">
        <v>97</v>
      </c>
      <c r="I319" s="83"/>
      <c r="J319" s="51" t="s">
        <v>111</v>
      </c>
      <c r="K319" s="84"/>
      <c r="L319" s="48" t="s">
        <v>99</v>
      </c>
      <c r="N319" s="48" t="s">
        <v>100</v>
      </c>
      <c r="O319" s="64"/>
      <c r="P319" s="54">
        <v>45065</v>
      </c>
      <c r="Q319" s="54">
        <v>45103</v>
      </c>
      <c r="R319" s="54">
        <v>45105</v>
      </c>
      <c r="S319" s="85"/>
      <c r="T319" s="86"/>
      <c r="U319" s="54">
        <v>45097</v>
      </c>
      <c r="V319" s="54">
        <v>45097</v>
      </c>
      <c r="W319" s="87"/>
      <c r="X319" s="88" t="s">
        <v>785</v>
      </c>
      <c r="Y319" s="48" t="s">
        <v>785</v>
      </c>
      <c r="Z319" s="48" t="s">
        <v>858</v>
      </c>
      <c r="AA319" s="57" t="str">
        <f t="shared" si="4"/>
        <v/>
      </c>
    </row>
    <row r="320" spans="2:27" ht="3.75" customHeight="1" x14ac:dyDescent="0.25">
      <c r="F320" s="119"/>
      <c r="AA320" s="57" t="str">
        <f t="shared" si="4"/>
        <v/>
      </c>
    </row>
    <row r="321" spans="2:27" x14ac:dyDescent="0.25">
      <c r="B321" s="48" t="s">
        <v>442</v>
      </c>
      <c r="C321" s="59"/>
      <c r="D321" s="49" t="s">
        <v>427</v>
      </c>
      <c r="F321" s="49" t="s">
        <v>433</v>
      </c>
      <c r="G321" s="82"/>
      <c r="H321" s="49" t="s">
        <v>97</v>
      </c>
      <c r="I321" s="83"/>
      <c r="J321" s="51" t="s">
        <v>111</v>
      </c>
      <c r="K321" s="84"/>
      <c r="L321" s="48" t="s">
        <v>99</v>
      </c>
      <c r="N321" s="48" t="s">
        <v>100</v>
      </c>
      <c r="O321" s="64"/>
      <c r="P321" s="54">
        <v>45065</v>
      </c>
      <c r="Q321" s="54">
        <v>45103</v>
      </c>
      <c r="R321" s="54">
        <v>45105</v>
      </c>
      <c r="S321" s="85"/>
      <c r="T321" s="86"/>
      <c r="U321" s="54">
        <v>45096</v>
      </c>
      <c r="V321" s="54">
        <v>45097</v>
      </c>
      <c r="W321" s="87"/>
      <c r="X321" s="88" t="s">
        <v>785</v>
      </c>
      <c r="Y321" s="48" t="s">
        <v>785</v>
      </c>
      <c r="Z321" s="48" t="s">
        <v>858</v>
      </c>
      <c r="AA321" s="57" t="str">
        <f t="shared" si="4"/>
        <v/>
      </c>
    </row>
    <row r="322" spans="2:27" ht="3.75" customHeight="1" x14ac:dyDescent="0.25">
      <c r="F322" s="119"/>
      <c r="AA322" s="57" t="str">
        <f t="shared" si="4"/>
        <v/>
      </c>
    </row>
    <row r="323" spans="2:27" x14ac:dyDescent="0.25">
      <c r="B323" s="48" t="s">
        <v>443</v>
      </c>
      <c r="C323" s="59"/>
      <c r="D323" s="49" t="s">
        <v>427</v>
      </c>
      <c r="F323" s="49" t="s">
        <v>440</v>
      </c>
      <c r="G323" s="82"/>
      <c r="H323" s="49" t="s">
        <v>97</v>
      </c>
      <c r="I323" s="83"/>
      <c r="J323" s="51" t="s">
        <v>111</v>
      </c>
      <c r="K323" s="84"/>
      <c r="L323" s="48" t="s">
        <v>99</v>
      </c>
      <c r="N323" s="48" t="s">
        <v>100</v>
      </c>
      <c r="O323" s="64"/>
      <c r="P323" s="54">
        <v>45065</v>
      </c>
      <c r="Q323" s="54">
        <v>45103</v>
      </c>
      <c r="R323" s="54">
        <v>45105</v>
      </c>
      <c r="S323" s="85"/>
      <c r="T323" s="86"/>
      <c r="U323" s="54">
        <v>45097</v>
      </c>
      <c r="V323" s="54">
        <v>45098</v>
      </c>
      <c r="W323" s="87"/>
      <c r="X323" s="88" t="s">
        <v>785</v>
      </c>
      <c r="Y323" s="48" t="s">
        <v>785</v>
      </c>
      <c r="Z323" s="48" t="s">
        <v>858</v>
      </c>
      <c r="AA323" s="57" t="str">
        <f t="shared" si="4"/>
        <v/>
      </c>
    </row>
    <row r="324" spans="2:27" ht="3.75" customHeight="1" x14ac:dyDescent="0.25">
      <c r="F324" s="119"/>
      <c r="AA324" s="57" t="str">
        <f t="shared" si="4"/>
        <v/>
      </c>
    </row>
    <row r="325" spans="2:27" x14ac:dyDescent="0.25">
      <c r="B325" s="48" t="s">
        <v>443</v>
      </c>
      <c r="C325" s="59"/>
      <c r="D325" s="49" t="s">
        <v>427</v>
      </c>
      <c r="F325" s="49" t="s">
        <v>440</v>
      </c>
      <c r="G325" s="82"/>
      <c r="H325" s="49" t="s">
        <v>97</v>
      </c>
      <c r="I325" s="83"/>
      <c r="J325" s="51" t="s">
        <v>111</v>
      </c>
      <c r="K325" s="84"/>
      <c r="L325" s="48" t="s">
        <v>99</v>
      </c>
      <c r="N325" s="48" t="s">
        <v>100</v>
      </c>
      <c r="O325" s="64"/>
      <c r="P325" s="54">
        <v>45065</v>
      </c>
      <c r="Q325" s="54">
        <v>45103</v>
      </c>
      <c r="R325" s="54">
        <v>45105</v>
      </c>
      <c r="S325" s="85"/>
      <c r="T325" s="86"/>
      <c r="U325" s="54">
        <v>45098</v>
      </c>
      <c r="V325" s="54">
        <v>45098</v>
      </c>
      <c r="W325" s="87"/>
      <c r="X325" s="88" t="s">
        <v>785</v>
      </c>
      <c r="Y325" s="48" t="s">
        <v>785</v>
      </c>
      <c r="Z325" s="48" t="s">
        <v>858</v>
      </c>
      <c r="AA325" s="57" t="str">
        <f t="shared" si="4"/>
        <v/>
      </c>
    </row>
    <row r="326" spans="2:27" ht="3.75" customHeight="1" x14ac:dyDescent="0.25">
      <c r="F326" s="119"/>
      <c r="AA326" s="57" t="str">
        <f t="shared" si="4"/>
        <v/>
      </c>
    </row>
    <row r="327" spans="2:27" x14ac:dyDescent="0.25">
      <c r="B327" s="48" t="s">
        <v>444</v>
      </c>
      <c r="C327" s="59"/>
      <c r="D327" s="49" t="s">
        <v>427</v>
      </c>
      <c r="F327" s="49" t="s">
        <v>433</v>
      </c>
      <c r="G327" s="82"/>
      <c r="H327" s="49" t="s">
        <v>97</v>
      </c>
      <c r="I327" s="83"/>
      <c r="J327" s="51" t="s">
        <v>111</v>
      </c>
      <c r="K327" s="84"/>
      <c r="L327" s="48" t="s">
        <v>99</v>
      </c>
      <c r="N327" s="48" t="s">
        <v>100</v>
      </c>
      <c r="O327" s="64"/>
      <c r="P327" s="54">
        <v>45065</v>
      </c>
      <c r="Q327" s="54">
        <v>45103</v>
      </c>
      <c r="R327" s="54">
        <v>45105</v>
      </c>
      <c r="S327" s="85"/>
      <c r="T327" s="86"/>
      <c r="U327" s="54">
        <v>45092</v>
      </c>
      <c r="V327" s="54">
        <v>45096</v>
      </c>
      <c r="W327" s="87"/>
      <c r="X327" s="88" t="s">
        <v>785</v>
      </c>
      <c r="Y327" s="48" t="s">
        <v>785</v>
      </c>
      <c r="Z327" s="48" t="s">
        <v>858</v>
      </c>
      <c r="AA327" s="57" t="str">
        <f t="shared" si="4"/>
        <v/>
      </c>
    </row>
    <row r="328" spans="2:27" ht="3.75" customHeight="1" x14ac:dyDescent="0.25">
      <c r="F328" s="119"/>
      <c r="AA328" s="57" t="str">
        <f t="shared" si="4"/>
        <v/>
      </c>
    </row>
    <row r="329" spans="2:27" x14ac:dyDescent="0.25">
      <c r="B329" s="48" t="s">
        <v>444</v>
      </c>
      <c r="C329" s="59"/>
      <c r="D329" s="49" t="s">
        <v>427</v>
      </c>
      <c r="F329" s="49" t="s">
        <v>433</v>
      </c>
      <c r="G329" s="82"/>
      <c r="H329" s="49" t="s">
        <v>97</v>
      </c>
      <c r="I329" s="83"/>
      <c r="J329" s="51" t="s">
        <v>111</v>
      </c>
      <c r="K329" s="84"/>
      <c r="L329" s="48" t="s">
        <v>99</v>
      </c>
      <c r="N329" s="48" t="s">
        <v>100</v>
      </c>
      <c r="O329" s="64"/>
      <c r="P329" s="54">
        <v>45065</v>
      </c>
      <c r="Q329" s="54">
        <v>45103</v>
      </c>
      <c r="R329" s="54">
        <v>45105</v>
      </c>
      <c r="S329" s="85"/>
      <c r="T329" s="86"/>
      <c r="U329" s="54">
        <v>45096</v>
      </c>
      <c r="V329" s="54">
        <v>45096</v>
      </c>
      <c r="W329" s="87"/>
      <c r="X329" s="88" t="s">
        <v>785</v>
      </c>
      <c r="Y329" s="48" t="s">
        <v>785</v>
      </c>
      <c r="Z329" s="48" t="s">
        <v>858</v>
      </c>
      <c r="AA329" s="57" t="str">
        <f t="shared" si="4"/>
        <v/>
      </c>
    </row>
    <row r="330" spans="2:27" ht="3.75" customHeight="1" x14ac:dyDescent="0.25">
      <c r="F330" s="119"/>
      <c r="AA330" s="57" t="str">
        <f t="shared" si="4"/>
        <v/>
      </c>
    </row>
    <row r="331" spans="2:27" x14ac:dyDescent="0.25">
      <c r="B331" s="48" t="s">
        <v>445</v>
      </c>
      <c r="C331" s="59"/>
      <c r="D331" s="49" t="s">
        <v>427</v>
      </c>
      <c r="F331" s="49" t="s">
        <v>431</v>
      </c>
      <c r="G331" s="82"/>
      <c r="H331" s="49" t="s">
        <v>97</v>
      </c>
      <c r="I331" s="83"/>
      <c r="J331" s="51" t="s">
        <v>111</v>
      </c>
      <c r="K331" s="84"/>
      <c r="L331" s="48" t="s">
        <v>99</v>
      </c>
      <c r="N331" s="48" t="s">
        <v>100</v>
      </c>
      <c r="O331" s="64"/>
      <c r="P331" s="54">
        <v>45065</v>
      </c>
      <c r="Q331" s="54">
        <v>45103</v>
      </c>
      <c r="R331" s="54">
        <v>45105</v>
      </c>
      <c r="S331" s="85"/>
      <c r="T331" s="86"/>
      <c r="U331" s="54">
        <v>45099</v>
      </c>
      <c r="V331" s="54">
        <v>45100</v>
      </c>
      <c r="W331" s="87"/>
      <c r="X331" s="88" t="s">
        <v>785</v>
      </c>
      <c r="Y331" s="48" t="s">
        <v>785</v>
      </c>
      <c r="Z331" s="48" t="s">
        <v>858</v>
      </c>
      <c r="AA331" s="57" t="str">
        <f t="shared" si="4"/>
        <v/>
      </c>
    </row>
    <row r="332" spans="2:27" ht="3.75" customHeight="1" x14ac:dyDescent="0.25">
      <c r="F332" s="119"/>
      <c r="AA332" s="57" t="str">
        <f t="shared" ref="AA332:AA395" si="5">IFERROR(
IF(AND(X332="Não",Y332="Sim"),"REP",
IF(AND(X332="Sim",Y332="Não"),"Técnico",
IF(AND(X332="Sim",Y332="Sim"),"Ambos",""))),
"")</f>
        <v/>
      </c>
    </row>
    <row r="333" spans="2:27" x14ac:dyDescent="0.25">
      <c r="B333" s="48" t="s">
        <v>445</v>
      </c>
      <c r="C333" s="59"/>
      <c r="D333" s="49" t="s">
        <v>427</v>
      </c>
      <c r="F333" s="49" t="s">
        <v>431</v>
      </c>
      <c r="G333" s="82"/>
      <c r="H333" s="49" t="s">
        <v>97</v>
      </c>
      <c r="I333" s="83"/>
      <c r="J333" s="51" t="s">
        <v>111</v>
      </c>
      <c r="K333" s="84"/>
      <c r="L333" s="48" t="s">
        <v>99</v>
      </c>
      <c r="N333" s="48" t="s">
        <v>100</v>
      </c>
      <c r="O333" s="64"/>
      <c r="P333" s="54">
        <v>45065</v>
      </c>
      <c r="Q333" s="54">
        <v>45103</v>
      </c>
      <c r="R333" s="54">
        <v>45105</v>
      </c>
      <c r="S333" s="85"/>
      <c r="T333" s="86"/>
      <c r="U333" s="54">
        <v>45100</v>
      </c>
      <c r="V333" s="54">
        <v>45100</v>
      </c>
      <c r="W333" s="87"/>
      <c r="X333" s="88" t="s">
        <v>785</v>
      </c>
      <c r="Y333" s="48" t="s">
        <v>785</v>
      </c>
      <c r="Z333" s="48" t="s">
        <v>858</v>
      </c>
      <c r="AA333" s="57" t="str">
        <f t="shared" si="5"/>
        <v/>
      </c>
    </row>
    <row r="334" spans="2:27" ht="3.75" customHeight="1" x14ac:dyDescent="0.25">
      <c r="F334" s="119"/>
      <c r="AA334" s="57" t="str">
        <f t="shared" si="5"/>
        <v/>
      </c>
    </row>
    <row r="335" spans="2:27" x14ac:dyDescent="0.25">
      <c r="B335" s="48" t="s">
        <v>446</v>
      </c>
      <c r="C335" s="59"/>
      <c r="D335" s="49" t="s">
        <v>427</v>
      </c>
      <c r="F335" s="49" t="s">
        <v>447</v>
      </c>
      <c r="G335" s="82"/>
      <c r="H335" s="49" t="s">
        <v>97</v>
      </c>
      <c r="I335" s="83"/>
      <c r="J335" s="51" t="s">
        <v>111</v>
      </c>
      <c r="K335" s="84"/>
      <c r="L335" s="48" t="s">
        <v>99</v>
      </c>
      <c r="N335" s="48" t="s">
        <v>100</v>
      </c>
      <c r="O335" s="64"/>
      <c r="P335" s="54">
        <v>45065</v>
      </c>
      <c r="Q335" s="54">
        <v>45103</v>
      </c>
      <c r="R335" s="54">
        <v>45105</v>
      </c>
      <c r="S335" s="85"/>
      <c r="T335" s="86"/>
      <c r="U335" s="54">
        <v>45097</v>
      </c>
      <c r="V335" s="54">
        <v>45097</v>
      </c>
      <c r="W335" s="87"/>
      <c r="X335" s="88" t="s">
        <v>785</v>
      </c>
      <c r="Y335" s="48" t="s">
        <v>785</v>
      </c>
      <c r="Z335" s="48" t="s">
        <v>858</v>
      </c>
      <c r="AA335" s="57" t="str">
        <f t="shared" si="5"/>
        <v/>
      </c>
    </row>
    <row r="336" spans="2:27" ht="3.75" customHeight="1" x14ac:dyDescent="0.25">
      <c r="F336" s="119"/>
      <c r="AA336" s="57" t="str">
        <f t="shared" si="5"/>
        <v/>
      </c>
    </row>
    <row r="337" spans="2:27" x14ac:dyDescent="0.25">
      <c r="B337" s="48" t="s">
        <v>446</v>
      </c>
      <c r="C337" s="59"/>
      <c r="D337" s="49" t="s">
        <v>427</v>
      </c>
      <c r="F337" s="49" t="s">
        <v>447</v>
      </c>
      <c r="G337" s="82"/>
      <c r="H337" s="49" t="s">
        <v>97</v>
      </c>
      <c r="I337" s="83"/>
      <c r="J337" s="51" t="s">
        <v>111</v>
      </c>
      <c r="K337" s="84"/>
      <c r="L337" s="48" t="s">
        <v>99</v>
      </c>
      <c r="N337" s="48" t="s">
        <v>100</v>
      </c>
      <c r="O337" s="64"/>
      <c r="P337" s="54">
        <v>45065</v>
      </c>
      <c r="Q337" s="54">
        <v>45103</v>
      </c>
      <c r="R337" s="54">
        <v>45105</v>
      </c>
      <c r="S337" s="85"/>
      <c r="T337" s="86"/>
      <c r="U337" s="54">
        <v>45097</v>
      </c>
      <c r="V337" s="54">
        <v>45097</v>
      </c>
      <c r="W337" s="87"/>
      <c r="X337" s="88" t="s">
        <v>785</v>
      </c>
      <c r="Y337" s="48" t="s">
        <v>785</v>
      </c>
      <c r="Z337" s="48" t="s">
        <v>858</v>
      </c>
      <c r="AA337" s="57" t="str">
        <f t="shared" si="5"/>
        <v/>
      </c>
    </row>
    <row r="338" spans="2:27" ht="3.75" customHeight="1" x14ac:dyDescent="0.25">
      <c r="F338" s="119"/>
      <c r="AA338" s="57" t="str">
        <f t="shared" si="5"/>
        <v/>
      </c>
    </row>
    <row r="339" spans="2:27" x14ac:dyDescent="0.25">
      <c r="B339" s="48" t="s">
        <v>448</v>
      </c>
      <c r="C339" s="59"/>
      <c r="D339" s="49" t="s">
        <v>427</v>
      </c>
      <c r="F339" s="49" t="s">
        <v>433</v>
      </c>
      <c r="G339" s="82"/>
      <c r="H339" s="49" t="s">
        <v>97</v>
      </c>
      <c r="I339" s="83"/>
      <c r="J339" s="51" t="s">
        <v>111</v>
      </c>
      <c r="K339" s="84"/>
      <c r="L339" s="48" t="s">
        <v>99</v>
      </c>
      <c r="N339" s="48" t="s">
        <v>100</v>
      </c>
      <c r="O339" s="64"/>
      <c r="P339" s="54">
        <v>45065</v>
      </c>
      <c r="Q339" s="54">
        <v>45103</v>
      </c>
      <c r="R339" s="54">
        <v>45105</v>
      </c>
      <c r="S339" s="85"/>
      <c r="T339" s="86"/>
      <c r="U339" s="54">
        <v>45099</v>
      </c>
      <c r="V339" s="54">
        <v>45100</v>
      </c>
      <c r="W339" s="87"/>
      <c r="X339" s="88" t="s">
        <v>785</v>
      </c>
      <c r="Y339" s="48" t="s">
        <v>785</v>
      </c>
      <c r="Z339" s="48" t="s">
        <v>858</v>
      </c>
      <c r="AA339" s="57" t="str">
        <f t="shared" si="5"/>
        <v/>
      </c>
    </row>
    <row r="340" spans="2:27" ht="3.75" customHeight="1" x14ac:dyDescent="0.25">
      <c r="F340" s="119"/>
      <c r="AA340" s="57" t="str">
        <f t="shared" si="5"/>
        <v/>
      </c>
    </row>
    <row r="341" spans="2:27" x14ac:dyDescent="0.25">
      <c r="B341" s="48" t="s">
        <v>448</v>
      </c>
      <c r="C341" s="59"/>
      <c r="D341" s="49" t="s">
        <v>427</v>
      </c>
      <c r="F341" s="49" t="s">
        <v>433</v>
      </c>
      <c r="G341" s="82"/>
      <c r="H341" s="49" t="s">
        <v>97</v>
      </c>
      <c r="I341" s="83"/>
      <c r="J341" s="51" t="s">
        <v>111</v>
      </c>
      <c r="K341" s="84"/>
      <c r="L341" s="48" t="s">
        <v>99</v>
      </c>
      <c r="N341" s="48" t="s">
        <v>100</v>
      </c>
      <c r="O341" s="64"/>
      <c r="P341" s="54">
        <v>45065</v>
      </c>
      <c r="Q341" s="54">
        <v>45103</v>
      </c>
      <c r="R341" s="54">
        <v>45105</v>
      </c>
      <c r="S341" s="85"/>
      <c r="T341" s="86"/>
      <c r="U341" s="54">
        <v>45100</v>
      </c>
      <c r="V341" s="54">
        <v>45100</v>
      </c>
      <c r="W341" s="87"/>
      <c r="X341" s="88" t="s">
        <v>785</v>
      </c>
      <c r="Y341" s="48" t="s">
        <v>785</v>
      </c>
      <c r="Z341" s="48" t="s">
        <v>858</v>
      </c>
      <c r="AA341" s="57" t="str">
        <f t="shared" si="5"/>
        <v/>
      </c>
    </row>
    <row r="342" spans="2:27" ht="3.75" customHeight="1" x14ac:dyDescent="0.25">
      <c r="F342" s="119"/>
      <c r="AA342" s="57" t="str">
        <f t="shared" si="5"/>
        <v/>
      </c>
    </row>
    <row r="343" spans="2:27" x14ac:dyDescent="0.25">
      <c r="B343" s="48" t="s">
        <v>449</v>
      </c>
      <c r="C343" s="59"/>
      <c r="D343" s="49" t="s">
        <v>427</v>
      </c>
      <c r="F343" s="49" t="s">
        <v>447</v>
      </c>
      <c r="G343" s="82"/>
      <c r="H343" s="49" t="s">
        <v>97</v>
      </c>
      <c r="I343" s="83"/>
      <c r="J343" s="51" t="s">
        <v>111</v>
      </c>
      <c r="K343" s="84"/>
      <c r="L343" s="48" t="s">
        <v>99</v>
      </c>
      <c r="N343" s="48" t="s">
        <v>100</v>
      </c>
      <c r="O343" s="64"/>
      <c r="P343" s="54">
        <v>45065</v>
      </c>
      <c r="Q343" s="54">
        <v>45103</v>
      </c>
      <c r="R343" s="54">
        <v>45105</v>
      </c>
      <c r="S343" s="85"/>
      <c r="T343" s="86"/>
      <c r="U343" s="54">
        <v>45092</v>
      </c>
      <c r="V343" s="54">
        <v>45096</v>
      </c>
      <c r="W343" s="87"/>
      <c r="X343" s="88" t="s">
        <v>785</v>
      </c>
      <c r="Y343" s="48" t="s">
        <v>785</v>
      </c>
      <c r="Z343" s="48" t="s">
        <v>858</v>
      </c>
      <c r="AA343" s="57" t="str">
        <f t="shared" si="5"/>
        <v/>
      </c>
    </row>
    <row r="344" spans="2:27" ht="3.75" customHeight="1" x14ac:dyDescent="0.25">
      <c r="F344" s="119"/>
      <c r="AA344" s="57" t="str">
        <f t="shared" si="5"/>
        <v/>
      </c>
    </row>
    <row r="345" spans="2:27" x14ac:dyDescent="0.25">
      <c r="B345" s="48" t="s">
        <v>449</v>
      </c>
      <c r="C345" s="59"/>
      <c r="D345" s="49" t="s">
        <v>427</v>
      </c>
      <c r="F345" s="49" t="s">
        <v>447</v>
      </c>
      <c r="G345" s="82"/>
      <c r="H345" s="49" t="s">
        <v>97</v>
      </c>
      <c r="I345" s="83"/>
      <c r="J345" s="51" t="s">
        <v>111</v>
      </c>
      <c r="K345" s="84"/>
      <c r="L345" s="48" t="s">
        <v>99</v>
      </c>
      <c r="N345" s="48" t="s">
        <v>100</v>
      </c>
      <c r="O345" s="64"/>
      <c r="P345" s="54">
        <v>45065</v>
      </c>
      <c r="Q345" s="54">
        <v>45103</v>
      </c>
      <c r="R345" s="54">
        <v>45105</v>
      </c>
      <c r="S345" s="85"/>
      <c r="T345" s="86"/>
      <c r="U345" s="54">
        <v>45096</v>
      </c>
      <c r="V345" s="54">
        <v>45096</v>
      </c>
      <c r="W345" s="87"/>
      <c r="X345" s="88" t="s">
        <v>785</v>
      </c>
      <c r="Y345" s="48" t="s">
        <v>785</v>
      </c>
      <c r="Z345" s="48" t="s">
        <v>858</v>
      </c>
      <c r="AA345" s="57" t="str">
        <f t="shared" si="5"/>
        <v/>
      </c>
    </row>
    <row r="346" spans="2:27" ht="3.75" customHeight="1" x14ac:dyDescent="0.25">
      <c r="F346" s="119"/>
      <c r="AA346" s="57" t="str">
        <f t="shared" si="5"/>
        <v/>
      </c>
    </row>
    <row r="347" spans="2:27" x14ac:dyDescent="0.25">
      <c r="B347" s="48" t="s">
        <v>450</v>
      </c>
      <c r="C347" s="59"/>
      <c r="D347" s="49" t="s">
        <v>427</v>
      </c>
      <c r="F347" s="49" t="s">
        <v>440</v>
      </c>
      <c r="G347" s="82"/>
      <c r="H347" s="49" t="s">
        <v>97</v>
      </c>
      <c r="I347" s="83"/>
      <c r="J347" s="51" t="s">
        <v>111</v>
      </c>
      <c r="K347" s="84"/>
      <c r="L347" s="48" t="s">
        <v>99</v>
      </c>
      <c r="N347" s="48" t="s">
        <v>100</v>
      </c>
      <c r="O347" s="64"/>
      <c r="P347" s="54">
        <v>45065</v>
      </c>
      <c r="Q347" s="54">
        <v>45103</v>
      </c>
      <c r="R347" s="54">
        <v>45105</v>
      </c>
      <c r="S347" s="85"/>
      <c r="T347" s="86"/>
      <c r="U347" s="54">
        <v>45098</v>
      </c>
      <c r="V347" s="54">
        <v>45098</v>
      </c>
      <c r="W347" s="87"/>
      <c r="X347" s="88" t="s">
        <v>785</v>
      </c>
      <c r="Y347" s="48" t="s">
        <v>785</v>
      </c>
      <c r="Z347" s="48" t="s">
        <v>858</v>
      </c>
      <c r="AA347" s="57" t="str">
        <f t="shared" si="5"/>
        <v/>
      </c>
    </row>
    <row r="348" spans="2:27" ht="3.75" customHeight="1" x14ac:dyDescent="0.25">
      <c r="F348" s="119"/>
      <c r="AA348" s="57" t="str">
        <f t="shared" si="5"/>
        <v/>
      </c>
    </row>
    <row r="349" spans="2:27" x14ac:dyDescent="0.25">
      <c r="B349" s="48" t="s">
        <v>450</v>
      </c>
      <c r="C349" s="59"/>
      <c r="D349" s="49" t="s">
        <v>427</v>
      </c>
      <c r="F349" s="49" t="s">
        <v>440</v>
      </c>
      <c r="G349" s="82"/>
      <c r="H349" s="49" t="s">
        <v>97</v>
      </c>
      <c r="I349" s="83"/>
      <c r="J349" s="51" t="s">
        <v>111</v>
      </c>
      <c r="K349" s="84"/>
      <c r="L349" s="48" t="s">
        <v>99</v>
      </c>
      <c r="N349" s="48" t="s">
        <v>100</v>
      </c>
      <c r="O349" s="64"/>
      <c r="P349" s="54">
        <v>45065</v>
      </c>
      <c r="Q349" s="54">
        <v>45103</v>
      </c>
      <c r="R349" s="54">
        <v>45105</v>
      </c>
      <c r="S349" s="85"/>
      <c r="T349" s="86"/>
      <c r="U349" s="54">
        <v>45098</v>
      </c>
      <c r="V349" s="54">
        <v>45098</v>
      </c>
      <c r="W349" s="87"/>
      <c r="X349" s="88" t="s">
        <v>785</v>
      </c>
      <c r="Y349" s="48" t="s">
        <v>785</v>
      </c>
      <c r="Z349" s="48" t="s">
        <v>858</v>
      </c>
      <c r="AA349" s="57" t="str">
        <f t="shared" si="5"/>
        <v/>
      </c>
    </row>
    <row r="350" spans="2:27" ht="3.75" customHeight="1" x14ac:dyDescent="0.25">
      <c r="F350" s="119"/>
      <c r="AA350" s="57" t="str">
        <f t="shared" si="5"/>
        <v/>
      </c>
    </row>
    <row r="351" spans="2:27" x14ac:dyDescent="0.25">
      <c r="B351" s="48" t="s">
        <v>451</v>
      </c>
      <c r="C351" s="59"/>
      <c r="D351" s="49" t="s">
        <v>452</v>
      </c>
      <c r="F351" s="49" t="s">
        <v>453</v>
      </c>
      <c r="G351" s="82"/>
      <c r="H351" s="49" t="s">
        <v>97</v>
      </c>
      <c r="I351" s="83"/>
      <c r="J351" s="51" t="s">
        <v>111</v>
      </c>
      <c r="K351" s="84"/>
      <c r="L351" s="48" t="s">
        <v>99</v>
      </c>
      <c r="N351" s="48" t="s">
        <v>100</v>
      </c>
      <c r="O351" s="64"/>
      <c r="P351" s="54">
        <v>45065</v>
      </c>
      <c r="Q351" s="54">
        <v>45098</v>
      </c>
      <c r="R351" s="54">
        <v>45100</v>
      </c>
      <c r="S351" s="85"/>
      <c r="T351" s="86"/>
      <c r="U351" s="54">
        <v>45083</v>
      </c>
      <c r="V351" s="54">
        <v>45092</v>
      </c>
      <c r="W351" s="87"/>
      <c r="X351" s="88" t="s">
        <v>785</v>
      </c>
      <c r="Y351" s="48" t="s">
        <v>785</v>
      </c>
      <c r="Z351" s="48" t="s">
        <v>858</v>
      </c>
      <c r="AA351" s="57" t="str">
        <f t="shared" si="5"/>
        <v/>
      </c>
    </row>
    <row r="352" spans="2:27" ht="3.75" customHeight="1" x14ac:dyDescent="0.25">
      <c r="F352" s="119"/>
      <c r="AA352" s="57" t="str">
        <f t="shared" si="5"/>
        <v/>
      </c>
    </row>
    <row r="353" spans="2:27" x14ac:dyDescent="0.25">
      <c r="B353" s="48" t="s">
        <v>451</v>
      </c>
      <c r="C353" s="59"/>
      <c r="D353" s="49" t="s">
        <v>452</v>
      </c>
      <c r="F353" s="49" t="s">
        <v>453</v>
      </c>
      <c r="G353" s="82"/>
      <c r="H353" s="49" t="s">
        <v>97</v>
      </c>
      <c r="I353" s="83"/>
      <c r="J353" s="51" t="s">
        <v>111</v>
      </c>
      <c r="K353" s="84"/>
      <c r="L353" s="48" t="s">
        <v>99</v>
      </c>
      <c r="N353" s="48" t="s">
        <v>100</v>
      </c>
      <c r="O353" s="64"/>
      <c r="P353" s="54">
        <v>45065</v>
      </c>
      <c r="Q353" s="54">
        <v>45098</v>
      </c>
      <c r="R353" s="54">
        <v>45100</v>
      </c>
      <c r="S353" s="85"/>
      <c r="T353" s="86"/>
      <c r="U353" s="54">
        <v>45092</v>
      </c>
      <c r="V353" s="54">
        <v>45092</v>
      </c>
      <c r="W353" s="87"/>
      <c r="X353" s="88" t="s">
        <v>785</v>
      </c>
      <c r="Y353" s="48" t="s">
        <v>785</v>
      </c>
      <c r="Z353" s="48" t="s">
        <v>858</v>
      </c>
      <c r="AA353" s="57" t="str">
        <f t="shared" si="5"/>
        <v/>
      </c>
    </row>
    <row r="354" spans="2:27" ht="3.75" customHeight="1" x14ac:dyDescent="0.25">
      <c r="F354" s="119"/>
      <c r="AA354" s="57" t="str">
        <f t="shared" si="5"/>
        <v/>
      </c>
    </row>
    <row r="355" spans="2:27" x14ac:dyDescent="0.25">
      <c r="B355" s="48" t="s">
        <v>454</v>
      </c>
      <c r="C355" s="59"/>
      <c r="D355" s="49" t="s">
        <v>452</v>
      </c>
      <c r="F355" s="49" t="s">
        <v>428</v>
      </c>
      <c r="G355" s="82"/>
      <c r="H355" s="49" t="s">
        <v>97</v>
      </c>
      <c r="I355" s="83"/>
      <c r="J355" s="51" t="s">
        <v>111</v>
      </c>
      <c r="K355" s="84"/>
      <c r="L355" s="48" t="s">
        <v>99</v>
      </c>
      <c r="N355" s="48" t="s">
        <v>100</v>
      </c>
      <c r="O355" s="64"/>
      <c r="P355" s="54">
        <v>45065</v>
      </c>
      <c r="Q355" s="54">
        <v>45098</v>
      </c>
      <c r="R355" s="54">
        <v>45100</v>
      </c>
      <c r="S355" s="85"/>
      <c r="T355" s="86"/>
      <c r="U355" s="54">
        <v>45079</v>
      </c>
      <c r="V355" s="54">
        <v>45092</v>
      </c>
      <c r="W355" s="87"/>
      <c r="X355" s="88" t="s">
        <v>785</v>
      </c>
      <c r="Y355" s="48" t="s">
        <v>785</v>
      </c>
      <c r="Z355" s="48" t="s">
        <v>858</v>
      </c>
      <c r="AA355" s="57" t="str">
        <f t="shared" si="5"/>
        <v/>
      </c>
    </row>
    <row r="356" spans="2:27" ht="3.75" customHeight="1" x14ac:dyDescent="0.25">
      <c r="F356" s="119"/>
      <c r="AA356" s="57" t="str">
        <f t="shared" si="5"/>
        <v/>
      </c>
    </row>
    <row r="357" spans="2:27" x14ac:dyDescent="0.25">
      <c r="B357" s="48" t="s">
        <v>454</v>
      </c>
      <c r="C357" s="59"/>
      <c r="D357" s="49" t="s">
        <v>452</v>
      </c>
      <c r="F357" s="49" t="s">
        <v>428</v>
      </c>
      <c r="G357" s="82"/>
      <c r="H357" s="49" t="s">
        <v>97</v>
      </c>
      <c r="I357" s="83"/>
      <c r="J357" s="51" t="s">
        <v>111</v>
      </c>
      <c r="K357" s="84"/>
      <c r="L357" s="48" t="s">
        <v>99</v>
      </c>
      <c r="N357" s="48" t="s">
        <v>100</v>
      </c>
      <c r="O357" s="64"/>
      <c r="P357" s="54">
        <v>45065</v>
      </c>
      <c r="Q357" s="54">
        <v>45098</v>
      </c>
      <c r="R357" s="54">
        <v>45100</v>
      </c>
      <c r="S357" s="85"/>
      <c r="T357" s="86"/>
      <c r="U357" s="54">
        <v>45092</v>
      </c>
      <c r="V357" s="54">
        <v>45092</v>
      </c>
      <c r="W357" s="87"/>
      <c r="X357" s="88" t="s">
        <v>785</v>
      </c>
      <c r="Y357" s="48" t="s">
        <v>785</v>
      </c>
      <c r="Z357" s="48" t="s">
        <v>858</v>
      </c>
      <c r="AA357" s="57" t="str">
        <f t="shared" si="5"/>
        <v/>
      </c>
    </row>
    <row r="358" spans="2:27" ht="3.75" customHeight="1" x14ac:dyDescent="0.25">
      <c r="F358" s="119"/>
      <c r="AA358" s="57" t="str">
        <f t="shared" si="5"/>
        <v/>
      </c>
    </row>
    <row r="359" spans="2:27" x14ac:dyDescent="0.25">
      <c r="B359" s="48" t="s">
        <v>455</v>
      </c>
      <c r="C359" s="59"/>
      <c r="D359" s="49" t="s">
        <v>452</v>
      </c>
      <c r="F359" s="49" t="s">
        <v>453</v>
      </c>
      <c r="G359" s="82"/>
      <c r="H359" s="49" t="s">
        <v>97</v>
      </c>
      <c r="I359" s="83"/>
      <c r="J359" s="51" t="s">
        <v>111</v>
      </c>
      <c r="K359" s="84"/>
      <c r="L359" s="48" t="s">
        <v>99</v>
      </c>
      <c r="N359" s="48" t="s">
        <v>100</v>
      </c>
      <c r="O359" s="64"/>
      <c r="P359" s="54">
        <v>45065</v>
      </c>
      <c r="Q359" s="54">
        <v>45098</v>
      </c>
      <c r="R359" s="54">
        <v>45100</v>
      </c>
      <c r="S359" s="85"/>
      <c r="T359" s="86"/>
      <c r="U359" s="54">
        <v>45083</v>
      </c>
      <c r="V359" s="54">
        <v>45092</v>
      </c>
      <c r="W359" s="87"/>
      <c r="X359" s="88" t="s">
        <v>785</v>
      </c>
      <c r="Y359" s="48" t="s">
        <v>785</v>
      </c>
      <c r="Z359" s="48" t="s">
        <v>858</v>
      </c>
      <c r="AA359" s="57" t="str">
        <f t="shared" si="5"/>
        <v/>
      </c>
    </row>
    <row r="360" spans="2:27" ht="3.75" customHeight="1" x14ac:dyDescent="0.25">
      <c r="F360" s="119"/>
      <c r="AA360" s="57" t="str">
        <f t="shared" si="5"/>
        <v/>
      </c>
    </row>
    <row r="361" spans="2:27" x14ac:dyDescent="0.25">
      <c r="B361" s="48" t="s">
        <v>455</v>
      </c>
      <c r="C361" s="59"/>
      <c r="D361" s="49" t="s">
        <v>452</v>
      </c>
      <c r="F361" s="49" t="s">
        <v>453</v>
      </c>
      <c r="G361" s="82"/>
      <c r="H361" s="49" t="s">
        <v>97</v>
      </c>
      <c r="I361" s="83"/>
      <c r="J361" s="51" t="s">
        <v>111</v>
      </c>
      <c r="K361" s="84"/>
      <c r="L361" s="48" t="s">
        <v>99</v>
      </c>
      <c r="N361" s="48" t="s">
        <v>100</v>
      </c>
      <c r="O361" s="64"/>
      <c r="P361" s="54">
        <v>45065</v>
      </c>
      <c r="Q361" s="54">
        <v>45098</v>
      </c>
      <c r="R361" s="54">
        <v>45100</v>
      </c>
      <c r="S361" s="85"/>
      <c r="T361" s="86"/>
      <c r="U361" s="54">
        <v>45092</v>
      </c>
      <c r="V361" s="54">
        <v>45092</v>
      </c>
      <c r="W361" s="87"/>
      <c r="X361" s="88" t="s">
        <v>785</v>
      </c>
      <c r="Y361" s="48" t="s">
        <v>785</v>
      </c>
      <c r="Z361" s="48" t="s">
        <v>858</v>
      </c>
      <c r="AA361" s="57" t="str">
        <f t="shared" si="5"/>
        <v/>
      </c>
    </row>
    <row r="362" spans="2:27" ht="3.75" customHeight="1" x14ac:dyDescent="0.25">
      <c r="F362" s="119"/>
      <c r="AA362" s="57" t="str">
        <f t="shared" si="5"/>
        <v/>
      </c>
    </row>
    <row r="363" spans="2:27" x14ac:dyDescent="0.25">
      <c r="B363" s="48" t="s">
        <v>456</v>
      </c>
      <c r="C363" s="59"/>
      <c r="D363" s="49" t="s">
        <v>452</v>
      </c>
      <c r="F363" s="49" t="s">
        <v>428</v>
      </c>
      <c r="G363" s="82"/>
      <c r="H363" s="49" t="s">
        <v>97</v>
      </c>
      <c r="I363" s="83"/>
      <c r="J363" s="51" t="s">
        <v>111</v>
      </c>
      <c r="K363" s="84"/>
      <c r="L363" s="48" t="s">
        <v>99</v>
      </c>
      <c r="N363" s="48" t="s">
        <v>100</v>
      </c>
      <c r="O363" s="64"/>
      <c r="P363" s="54">
        <v>45065</v>
      </c>
      <c r="Q363" s="54">
        <v>45098</v>
      </c>
      <c r="R363" s="54">
        <v>45100</v>
      </c>
      <c r="S363" s="85"/>
      <c r="T363" s="86"/>
      <c r="U363" s="54">
        <v>45078</v>
      </c>
      <c r="V363" s="54">
        <v>45092</v>
      </c>
      <c r="W363" s="87"/>
      <c r="X363" s="88" t="s">
        <v>785</v>
      </c>
      <c r="Y363" s="48" t="s">
        <v>785</v>
      </c>
      <c r="Z363" s="48" t="s">
        <v>858</v>
      </c>
      <c r="AA363" s="57" t="str">
        <f t="shared" si="5"/>
        <v/>
      </c>
    </row>
    <row r="364" spans="2:27" ht="13.5" customHeight="1" x14ac:dyDescent="0.25">
      <c r="B364" s="48" t="s">
        <v>456</v>
      </c>
      <c r="C364" s="59"/>
      <c r="D364" s="49" t="s">
        <v>452</v>
      </c>
      <c r="F364" s="49" t="s">
        <v>428</v>
      </c>
      <c r="G364" s="82"/>
      <c r="J364" s="51" t="s">
        <v>111</v>
      </c>
      <c r="K364" s="84"/>
      <c r="N364" s="48" t="s">
        <v>100</v>
      </c>
      <c r="O364" s="64"/>
      <c r="P364" s="54">
        <v>45065</v>
      </c>
      <c r="Q364" s="54">
        <v>45098</v>
      </c>
      <c r="R364" s="54">
        <v>45100</v>
      </c>
      <c r="S364" s="85"/>
      <c r="T364" s="86"/>
      <c r="U364" s="54">
        <v>45092</v>
      </c>
      <c r="V364" s="54">
        <v>45092</v>
      </c>
      <c r="W364" s="87"/>
      <c r="X364" s="88" t="s">
        <v>785</v>
      </c>
      <c r="Y364" s="48" t="s">
        <v>785</v>
      </c>
      <c r="Z364" s="48" t="s">
        <v>858</v>
      </c>
      <c r="AA364" s="57" t="str">
        <f t="shared" si="5"/>
        <v/>
      </c>
    </row>
    <row r="365" spans="2:27" ht="3.75" customHeight="1" x14ac:dyDescent="0.25">
      <c r="F365" s="119"/>
      <c r="AA365" s="57" t="str">
        <f t="shared" si="5"/>
        <v/>
      </c>
    </row>
    <row r="366" spans="2:27" x14ac:dyDescent="0.25">
      <c r="B366" s="48" t="s">
        <v>457</v>
      </c>
      <c r="C366" s="59"/>
      <c r="D366" s="49" t="s">
        <v>452</v>
      </c>
      <c r="F366" s="49" t="s">
        <v>458</v>
      </c>
      <c r="G366" s="82"/>
      <c r="H366" s="49" t="s">
        <v>97</v>
      </c>
      <c r="I366" s="83"/>
      <c r="J366" s="51" t="s">
        <v>111</v>
      </c>
      <c r="K366" s="84"/>
      <c r="L366" s="48" t="s">
        <v>99</v>
      </c>
      <c r="N366" s="48" t="s">
        <v>100</v>
      </c>
      <c r="O366" s="64"/>
      <c r="P366" s="54">
        <v>45065</v>
      </c>
      <c r="Q366" s="54">
        <v>45098</v>
      </c>
      <c r="R366" s="54">
        <v>45100</v>
      </c>
      <c r="S366" s="85"/>
      <c r="T366" s="86"/>
      <c r="U366" s="54">
        <v>45079</v>
      </c>
      <c r="V366" s="54">
        <v>45092</v>
      </c>
      <c r="W366" s="87"/>
      <c r="X366" s="88" t="s">
        <v>785</v>
      </c>
      <c r="Y366" s="48" t="s">
        <v>785</v>
      </c>
      <c r="Z366" s="48" t="s">
        <v>858</v>
      </c>
      <c r="AA366" s="57" t="str">
        <f t="shared" si="5"/>
        <v/>
      </c>
    </row>
    <row r="367" spans="2:27" ht="3.75" customHeight="1" x14ac:dyDescent="0.25">
      <c r="F367" s="119"/>
      <c r="AA367" s="57" t="str">
        <f t="shared" si="5"/>
        <v/>
      </c>
    </row>
    <row r="368" spans="2:27" x14ac:dyDescent="0.25">
      <c r="B368" s="48" t="s">
        <v>457</v>
      </c>
      <c r="C368" s="59"/>
      <c r="D368" s="49" t="s">
        <v>452</v>
      </c>
      <c r="F368" s="49" t="s">
        <v>458</v>
      </c>
      <c r="G368" s="82"/>
      <c r="H368" s="49" t="s">
        <v>97</v>
      </c>
      <c r="I368" s="83"/>
      <c r="J368" s="51" t="s">
        <v>111</v>
      </c>
      <c r="K368" s="84"/>
      <c r="L368" s="48" t="s">
        <v>99</v>
      </c>
      <c r="N368" s="48" t="s">
        <v>100</v>
      </c>
      <c r="O368" s="64"/>
      <c r="P368" s="54">
        <v>45065</v>
      </c>
      <c r="Q368" s="54">
        <v>45098</v>
      </c>
      <c r="R368" s="54">
        <v>45100</v>
      </c>
      <c r="S368" s="85"/>
      <c r="T368" s="86"/>
      <c r="U368" s="54">
        <v>45092</v>
      </c>
      <c r="V368" s="54">
        <v>45092</v>
      </c>
      <c r="W368" s="87"/>
      <c r="X368" s="88" t="s">
        <v>785</v>
      </c>
      <c r="Y368" s="48" t="s">
        <v>785</v>
      </c>
      <c r="Z368" s="48" t="s">
        <v>858</v>
      </c>
      <c r="AA368" s="57" t="str">
        <f t="shared" si="5"/>
        <v/>
      </c>
    </row>
    <row r="369" spans="2:27" ht="3.75" customHeight="1" x14ac:dyDescent="0.25">
      <c r="F369" s="119"/>
      <c r="AA369" s="57" t="str">
        <f t="shared" si="5"/>
        <v/>
      </c>
    </row>
    <row r="370" spans="2:27" x14ac:dyDescent="0.25">
      <c r="B370" s="48" t="s">
        <v>459</v>
      </c>
      <c r="C370" s="59"/>
      <c r="D370" s="49" t="s">
        <v>452</v>
      </c>
      <c r="F370" s="49" t="s">
        <v>447</v>
      </c>
      <c r="G370" s="82"/>
      <c r="H370" s="49" t="s">
        <v>97</v>
      </c>
      <c r="I370" s="83"/>
      <c r="J370" s="51" t="s">
        <v>111</v>
      </c>
      <c r="K370" s="84"/>
      <c r="L370" s="48" t="s">
        <v>99</v>
      </c>
      <c r="N370" s="48" t="s">
        <v>100</v>
      </c>
      <c r="O370" s="64"/>
      <c r="P370" s="54">
        <v>45065</v>
      </c>
      <c r="Q370" s="54">
        <v>45098</v>
      </c>
      <c r="R370" s="54">
        <v>45100</v>
      </c>
      <c r="S370" s="85"/>
      <c r="T370" s="86"/>
      <c r="U370" s="54">
        <v>45092</v>
      </c>
      <c r="V370" s="54">
        <v>45092</v>
      </c>
      <c r="W370" s="87"/>
      <c r="X370" s="88" t="s">
        <v>785</v>
      </c>
      <c r="Y370" s="48" t="s">
        <v>785</v>
      </c>
      <c r="Z370" s="48" t="s">
        <v>858</v>
      </c>
      <c r="AA370" s="57" t="str">
        <f t="shared" si="5"/>
        <v/>
      </c>
    </row>
    <row r="371" spans="2:27" ht="3.75" customHeight="1" x14ac:dyDescent="0.25">
      <c r="F371" s="119"/>
      <c r="AA371" s="57" t="str">
        <f t="shared" si="5"/>
        <v/>
      </c>
    </row>
    <row r="372" spans="2:27" x14ac:dyDescent="0.25">
      <c r="B372" s="48" t="s">
        <v>459</v>
      </c>
      <c r="C372" s="59"/>
      <c r="D372" s="49" t="s">
        <v>452</v>
      </c>
      <c r="F372" s="49" t="s">
        <v>447</v>
      </c>
      <c r="G372" s="82"/>
      <c r="H372" s="49" t="s">
        <v>97</v>
      </c>
      <c r="I372" s="83"/>
      <c r="J372" s="51" t="s">
        <v>111</v>
      </c>
      <c r="K372" s="84"/>
      <c r="L372" s="48" t="s">
        <v>99</v>
      </c>
      <c r="N372" s="48" t="s">
        <v>100</v>
      </c>
      <c r="O372" s="64"/>
      <c r="P372" s="54">
        <v>45065</v>
      </c>
      <c r="Q372" s="54">
        <v>45098</v>
      </c>
      <c r="R372" s="54">
        <v>45100</v>
      </c>
      <c r="S372" s="85"/>
      <c r="T372" s="86"/>
      <c r="U372" s="54">
        <v>45079</v>
      </c>
      <c r="V372" s="54">
        <v>45092</v>
      </c>
      <c r="W372" s="87"/>
      <c r="X372" s="88" t="s">
        <v>785</v>
      </c>
      <c r="Y372" s="48" t="s">
        <v>785</v>
      </c>
      <c r="Z372" s="48" t="s">
        <v>858</v>
      </c>
      <c r="AA372" s="57" t="str">
        <f t="shared" si="5"/>
        <v/>
      </c>
    </row>
    <row r="373" spans="2:27" ht="3.75" customHeight="1" x14ac:dyDescent="0.25">
      <c r="F373" s="119"/>
      <c r="AA373" s="57" t="str">
        <f t="shared" si="5"/>
        <v/>
      </c>
    </row>
    <row r="374" spans="2:27" x14ac:dyDescent="0.25">
      <c r="B374" s="48" t="s">
        <v>460</v>
      </c>
      <c r="C374" s="59"/>
      <c r="D374" s="49" t="s">
        <v>452</v>
      </c>
      <c r="F374" s="49" t="s">
        <v>461</v>
      </c>
      <c r="G374" s="82"/>
      <c r="H374" s="49" t="s">
        <v>97</v>
      </c>
      <c r="I374" s="83"/>
      <c r="J374" s="51" t="s">
        <v>111</v>
      </c>
      <c r="K374" s="84"/>
      <c r="L374" s="48" t="s">
        <v>99</v>
      </c>
      <c r="N374" s="48" t="s">
        <v>100</v>
      </c>
      <c r="O374" s="64"/>
      <c r="P374" s="54">
        <v>45065</v>
      </c>
      <c r="Q374" s="54">
        <v>45098</v>
      </c>
      <c r="R374" s="54">
        <v>45100</v>
      </c>
      <c r="S374" s="85"/>
      <c r="T374" s="86"/>
      <c r="U374" s="54">
        <v>45083</v>
      </c>
      <c r="V374" s="54">
        <v>45092</v>
      </c>
      <c r="W374" s="87"/>
      <c r="X374" s="88" t="s">
        <v>785</v>
      </c>
      <c r="Y374" s="48" t="s">
        <v>785</v>
      </c>
      <c r="Z374" s="48" t="s">
        <v>858</v>
      </c>
      <c r="AA374" s="57" t="str">
        <f t="shared" si="5"/>
        <v/>
      </c>
    </row>
    <row r="375" spans="2:27" ht="3.75" customHeight="1" x14ac:dyDescent="0.25">
      <c r="F375" s="119"/>
      <c r="AA375" s="57" t="str">
        <f t="shared" si="5"/>
        <v/>
      </c>
    </row>
    <row r="376" spans="2:27" x14ac:dyDescent="0.25">
      <c r="B376" s="48" t="s">
        <v>460</v>
      </c>
      <c r="C376" s="59"/>
      <c r="D376" s="49" t="s">
        <v>452</v>
      </c>
      <c r="F376" s="49" t="s">
        <v>461</v>
      </c>
      <c r="G376" s="82"/>
      <c r="H376" s="49" t="s">
        <v>97</v>
      </c>
      <c r="I376" s="83"/>
      <c r="J376" s="51" t="s">
        <v>111</v>
      </c>
      <c r="K376" s="84"/>
      <c r="L376" s="48" t="s">
        <v>99</v>
      </c>
      <c r="N376" s="48" t="s">
        <v>100</v>
      </c>
      <c r="O376" s="64"/>
      <c r="P376" s="54">
        <v>45065</v>
      </c>
      <c r="Q376" s="54">
        <v>45098</v>
      </c>
      <c r="R376" s="54">
        <v>45100</v>
      </c>
      <c r="S376" s="85"/>
      <c r="T376" s="86"/>
      <c r="U376" s="54">
        <v>45092</v>
      </c>
      <c r="V376" s="54">
        <v>45092</v>
      </c>
      <c r="W376" s="87"/>
      <c r="X376" s="88" t="s">
        <v>785</v>
      </c>
      <c r="Y376" s="48" t="s">
        <v>785</v>
      </c>
      <c r="Z376" s="48" t="s">
        <v>858</v>
      </c>
      <c r="AA376" s="57" t="str">
        <f t="shared" si="5"/>
        <v/>
      </c>
    </row>
    <row r="377" spans="2:27" ht="3.75" customHeight="1" x14ac:dyDescent="0.25">
      <c r="F377" s="119"/>
      <c r="AA377" s="57" t="str">
        <f t="shared" si="5"/>
        <v/>
      </c>
    </row>
    <row r="378" spans="2:27" x14ac:dyDescent="0.25">
      <c r="B378" s="48" t="s">
        <v>462</v>
      </c>
      <c r="C378" s="59"/>
      <c r="D378" s="49" t="s">
        <v>452</v>
      </c>
      <c r="F378" s="49" t="s">
        <v>440</v>
      </c>
      <c r="G378" s="82"/>
      <c r="H378" s="49" t="s">
        <v>97</v>
      </c>
      <c r="I378" s="83"/>
      <c r="J378" s="51" t="s">
        <v>111</v>
      </c>
      <c r="K378" s="84"/>
      <c r="L378" s="48" t="s">
        <v>99</v>
      </c>
      <c r="N378" s="48" t="s">
        <v>100</v>
      </c>
      <c r="O378" s="64"/>
      <c r="P378" s="54">
        <v>45065</v>
      </c>
      <c r="Q378" s="54">
        <v>45098</v>
      </c>
      <c r="R378" s="54">
        <v>45100</v>
      </c>
      <c r="S378" s="85"/>
      <c r="T378" s="86"/>
      <c r="U378" s="54">
        <v>45084</v>
      </c>
      <c r="V378" s="54">
        <v>45092</v>
      </c>
      <c r="W378" s="87"/>
      <c r="X378" s="88" t="s">
        <v>785</v>
      </c>
      <c r="Y378" s="48" t="s">
        <v>785</v>
      </c>
      <c r="Z378" s="48" t="s">
        <v>858</v>
      </c>
      <c r="AA378" s="57" t="str">
        <f t="shared" si="5"/>
        <v/>
      </c>
    </row>
    <row r="379" spans="2:27" ht="3.75" customHeight="1" x14ac:dyDescent="0.25">
      <c r="F379" s="119"/>
      <c r="AA379" s="57" t="str">
        <f t="shared" si="5"/>
        <v/>
      </c>
    </row>
    <row r="380" spans="2:27" x14ac:dyDescent="0.25">
      <c r="B380" s="48" t="s">
        <v>462</v>
      </c>
      <c r="C380" s="59"/>
      <c r="D380" s="49" t="s">
        <v>452</v>
      </c>
      <c r="F380" s="49" t="s">
        <v>440</v>
      </c>
      <c r="G380" s="82"/>
      <c r="H380" s="49" t="s">
        <v>97</v>
      </c>
      <c r="I380" s="83"/>
      <c r="J380" s="51" t="s">
        <v>111</v>
      </c>
      <c r="K380" s="84"/>
      <c r="L380" s="48" t="s">
        <v>99</v>
      </c>
      <c r="N380" s="48" t="s">
        <v>100</v>
      </c>
      <c r="O380" s="64"/>
      <c r="P380" s="54">
        <v>45065</v>
      </c>
      <c r="Q380" s="54">
        <v>45098</v>
      </c>
      <c r="R380" s="54">
        <v>45100</v>
      </c>
      <c r="S380" s="85"/>
      <c r="T380" s="86"/>
      <c r="U380" s="54">
        <v>45092</v>
      </c>
      <c r="V380" s="54">
        <v>45092</v>
      </c>
      <c r="W380" s="87"/>
      <c r="X380" s="88" t="s">
        <v>785</v>
      </c>
      <c r="Y380" s="48" t="s">
        <v>785</v>
      </c>
      <c r="Z380" s="48" t="s">
        <v>858</v>
      </c>
      <c r="AA380" s="57" t="str">
        <f t="shared" si="5"/>
        <v/>
      </c>
    </row>
    <row r="381" spans="2:27" ht="3.75" customHeight="1" x14ac:dyDescent="0.25">
      <c r="F381" s="119"/>
      <c r="AA381" s="57" t="str">
        <f t="shared" si="5"/>
        <v/>
      </c>
    </row>
    <row r="382" spans="2:27" x14ac:dyDescent="0.25">
      <c r="B382" s="48" t="s">
        <v>463</v>
      </c>
      <c r="C382" s="59"/>
      <c r="D382" s="49" t="s">
        <v>464</v>
      </c>
      <c r="F382" s="49" t="s">
        <v>428</v>
      </c>
      <c r="G382" s="82"/>
      <c r="H382" s="49" t="s">
        <v>465</v>
      </c>
      <c r="I382" s="83"/>
      <c r="J382" s="51" t="s">
        <v>111</v>
      </c>
      <c r="K382" s="84"/>
      <c r="L382" s="48" t="s">
        <v>99</v>
      </c>
      <c r="N382" s="48" t="s">
        <v>100</v>
      </c>
      <c r="O382" s="64"/>
      <c r="P382" s="54">
        <v>45063</v>
      </c>
      <c r="Q382" s="54">
        <v>45091</v>
      </c>
      <c r="R382" s="54">
        <v>45093</v>
      </c>
      <c r="S382" s="85"/>
      <c r="T382" s="86"/>
      <c r="U382" s="54">
        <v>45076</v>
      </c>
      <c r="V382" s="54">
        <v>45092</v>
      </c>
      <c r="W382" s="87"/>
      <c r="X382" s="88" t="s">
        <v>785</v>
      </c>
      <c r="Y382" s="48" t="s">
        <v>785</v>
      </c>
      <c r="Z382" s="48" t="s">
        <v>858</v>
      </c>
      <c r="AA382" s="57" t="str">
        <f t="shared" si="5"/>
        <v/>
      </c>
    </row>
    <row r="383" spans="2:27" ht="3.75" customHeight="1" x14ac:dyDescent="0.25">
      <c r="F383" s="119"/>
      <c r="AA383" s="57" t="str">
        <f t="shared" si="5"/>
        <v/>
      </c>
    </row>
    <row r="384" spans="2:27" x14ac:dyDescent="0.25">
      <c r="B384" s="48" t="s">
        <v>466</v>
      </c>
      <c r="C384" s="59"/>
      <c r="D384" s="49" t="s">
        <v>464</v>
      </c>
      <c r="F384" s="49" t="s">
        <v>428</v>
      </c>
      <c r="G384" s="82"/>
      <c r="H384" s="49" t="s">
        <v>465</v>
      </c>
      <c r="I384" s="83"/>
      <c r="J384" s="51" t="s">
        <v>111</v>
      </c>
      <c r="K384" s="84"/>
      <c r="L384" s="48" t="s">
        <v>99</v>
      </c>
      <c r="N384" s="48" t="s">
        <v>100</v>
      </c>
      <c r="O384" s="64"/>
      <c r="P384" s="54">
        <v>45063</v>
      </c>
      <c r="Q384" s="54">
        <v>45091</v>
      </c>
      <c r="R384" s="54">
        <v>45093</v>
      </c>
      <c r="S384" s="85"/>
      <c r="T384" s="86"/>
      <c r="U384" s="54">
        <v>45078</v>
      </c>
      <c r="V384" s="54">
        <v>45092</v>
      </c>
      <c r="W384" s="87"/>
      <c r="X384" s="88" t="s">
        <v>785</v>
      </c>
      <c r="Y384" s="48" t="s">
        <v>785</v>
      </c>
      <c r="Z384" s="48" t="s">
        <v>858</v>
      </c>
      <c r="AA384" s="57" t="str">
        <f t="shared" si="5"/>
        <v/>
      </c>
    </row>
    <row r="385" spans="2:27" ht="3.75" customHeight="1" x14ac:dyDescent="0.25">
      <c r="F385" s="119"/>
      <c r="AA385" s="57" t="str">
        <f t="shared" si="5"/>
        <v/>
      </c>
    </row>
    <row r="386" spans="2:27" x14ac:dyDescent="0.25">
      <c r="B386" s="48" t="s">
        <v>466</v>
      </c>
      <c r="C386" s="59"/>
      <c r="D386" s="49" t="s">
        <v>464</v>
      </c>
      <c r="F386" s="49" t="s">
        <v>428</v>
      </c>
      <c r="G386" s="82"/>
      <c r="H386" s="49" t="s">
        <v>467</v>
      </c>
      <c r="I386" s="83"/>
      <c r="J386" s="51" t="s">
        <v>111</v>
      </c>
      <c r="K386" s="84"/>
      <c r="L386" s="48" t="s">
        <v>99</v>
      </c>
      <c r="N386" s="48" t="s">
        <v>100</v>
      </c>
      <c r="O386" s="64"/>
      <c r="P386" s="54">
        <v>45063</v>
      </c>
      <c r="Q386" s="54">
        <v>45091</v>
      </c>
      <c r="R386" s="54">
        <v>45093</v>
      </c>
      <c r="S386" s="85"/>
      <c r="T386" s="86"/>
      <c r="U386" s="54">
        <v>45092</v>
      </c>
      <c r="V386" s="54">
        <v>45092</v>
      </c>
      <c r="W386" s="87"/>
      <c r="X386" s="88" t="s">
        <v>786</v>
      </c>
      <c r="Y386" s="48" t="s">
        <v>785</v>
      </c>
      <c r="Z386" s="48" t="s">
        <v>858</v>
      </c>
      <c r="AA386" s="57" t="str">
        <f t="shared" si="5"/>
        <v>Técnico</v>
      </c>
    </row>
    <row r="387" spans="2:27" ht="3.75" customHeight="1" x14ac:dyDescent="0.25">
      <c r="F387" s="119"/>
      <c r="AA387" s="57" t="str">
        <f t="shared" si="5"/>
        <v/>
      </c>
    </row>
    <row r="388" spans="2:27" s="101" customFormat="1" x14ac:dyDescent="0.25">
      <c r="B388" s="102" t="s">
        <v>468</v>
      </c>
      <c r="C388" s="103"/>
      <c r="D388" s="104" t="s">
        <v>464</v>
      </c>
      <c r="F388" s="104" t="s">
        <v>461</v>
      </c>
      <c r="G388" s="105"/>
      <c r="H388" s="104" t="s">
        <v>291</v>
      </c>
      <c r="I388" s="106"/>
      <c r="J388" s="107" t="s">
        <v>111</v>
      </c>
      <c r="K388" s="108"/>
      <c r="L388" s="102" t="s">
        <v>99</v>
      </c>
      <c r="M388" s="109"/>
      <c r="N388" s="102" t="s">
        <v>100</v>
      </c>
      <c r="O388" s="110"/>
      <c r="P388" s="111">
        <v>45063</v>
      </c>
      <c r="Q388" s="111">
        <v>45091</v>
      </c>
      <c r="R388" s="111">
        <v>45093</v>
      </c>
      <c r="S388" s="112"/>
      <c r="T388" s="113"/>
      <c r="U388" s="111">
        <v>45079</v>
      </c>
      <c r="V388" s="111">
        <v>45100</v>
      </c>
      <c r="W388" s="114"/>
      <c r="X388" s="115" t="s">
        <v>785</v>
      </c>
      <c r="Y388" s="102" t="s">
        <v>786</v>
      </c>
      <c r="Z388" s="102" t="s">
        <v>858</v>
      </c>
      <c r="AA388" s="116" t="str">
        <f t="shared" si="5"/>
        <v>REP</v>
      </c>
    </row>
    <row r="389" spans="2:27" ht="3.75" customHeight="1" x14ac:dyDescent="0.25">
      <c r="F389" s="119"/>
      <c r="AA389" s="57" t="str">
        <f t="shared" si="5"/>
        <v/>
      </c>
    </row>
    <row r="390" spans="2:27" x14ac:dyDescent="0.25">
      <c r="B390" s="48" t="s">
        <v>469</v>
      </c>
      <c r="C390" s="59"/>
      <c r="D390" s="49" t="s">
        <v>464</v>
      </c>
      <c r="F390" s="49" t="s">
        <v>433</v>
      </c>
      <c r="G390" s="82"/>
      <c r="H390" s="49" t="s">
        <v>467</v>
      </c>
      <c r="I390" s="83"/>
      <c r="J390" s="51" t="s">
        <v>111</v>
      </c>
      <c r="K390" s="84"/>
      <c r="L390" s="48" t="s">
        <v>99</v>
      </c>
      <c r="N390" s="48" t="s">
        <v>100</v>
      </c>
      <c r="O390" s="64"/>
      <c r="P390" s="54">
        <v>45063</v>
      </c>
      <c r="Q390" s="54">
        <v>45091</v>
      </c>
      <c r="R390" s="54">
        <v>45093</v>
      </c>
      <c r="S390" s="85"/>
      <c r="T390" s="86"/>
      <c r="U390" s="54">
        <v>45079</v>
      </c>
      <c r="V390" s="54">
        <v>45091</v>
      </c>
      <c r="W390" s="87"/>
      <c r="X390" s="88" t="s">
        <v>785</v>
      </c>
      <c r="Y390" s="48" t="s">
        <v>785</v>
      </c>
      <c r="Z390" s="48" t="s">
        <v>858</v>
      </c>
      <c r="AA390" s="57" t="str">
        <f t="shared" si="5"/>
        <v/>
      </c>
    </row>
    <row r="391" spans="2:27" ht="3.75" customHeight="1" x14ac:dyDescent="0.25">
      <c r="F391" s="119"/>
      <c r="AA391" s="57" t="str">
        <f t="shared" si="5"/>
        <v/>
      </c>
    </row>
    <row r="392" spans="2:27" s="101" customFormat="1" x14ac:dyDescent="0.25">
      <c r="B392" s="102" t="s">
        <v>470</v>
      </c>
      <c r="C392" s="103"/>
      <c r="D392" s="104" t="s">
        <v>464</v>
      </c>
      <c r="F392" s="104" t="s">
        <v>440</v>
      </c>
      <c r="G392" s="105"/>
      <c r="H392" s="104" t="s">
        <v>465</v>
      </c>
      <c r="I392" s="106"/>
      <c r="J392" s="107" t="s">
        <v>111</v>
      </c>
      <c r="K392" s="108"/>
      <c r="L392" s="102" t="s">
        <v>99</v>
      </c>
      <c r="M392" s="109"/>
      <c r="N392" s="102" t="s">
        <v>100</v>
      </c>
      <c r="O392" s="110"/>
      <c r="P392" s="111">
        <v>45063</v>
      </c>
      <c r="Q392" s="111">
        <v>45091</v>
      </c>
      <c r="R392" s="111">
        <v>45093</v>
      </c>
      <c r="S392" s="112"/>
      <c r="T392" s="113"/>
      <c r="U392" s="111">
        <v>45096</v>
      </c>
      <c r="V392" s="111">
        <v>45100</v>
      </c>
      <c r="W392" s="114"/>
      <c r="X392" s="115" t="s">
        <v>786</v>
      </c>
      <c r="Y392" s="102" t="s">
        <v>786</v>
      </c>
      <c r="Z392" s="102" t="s">
        <v>858</v>
      </c>
      <c r="AA392" s="116" t="str">
        <f t="shared" si="5"/>
        <v>Ambos</v>
      </c>
    </row>
    <row r="393" spans="2:27" ht="3.75" customHeight="1" x14ac:dyDescent="0.25">
      <c r="F393" s="119"/>
      <c r="AA393" s="57" t="str">
        <f t="shared" si="5"/>
        <v/>
      </c>
    </row>
    <row r="394" spans="2:27" s="101" customFormat="1" x14ac:dyDescent="0.25">
      <c r="B394" s="102" t="s">
        <v>470</v>
      </c>
      <c r="C394" s="103"/>
      <c r="D394" s="104" t="s">
        <v>464</v>
      </c>
      <c r="F394" s="104" t="s">
        <v>440</v>
      </c>
      <c r="G394" s="105"/>
      <c r="H394" s="104" t="s">
        <v>465</v>
      </c>
      <c r="I394" s="106"/>
      <c r="J394" s="107" t="s">
        <v>111</v>
      </c>
      <c r="K394" s="108"/>
      <c r="L394" s="102" t="s">
        <v>99</v>
      </c>
      <c r="M394" s="109"/>
      <c r="N394" s="102" t="s">
        <v>100</v>
      </c>
      <c r="O394" s="110"/>
      <c r="P394" s="111">
        <v>45063</v>
      </c>
      <c r="Q394" s="111">
        <v>45091</v>
      </c>
      <c r="R394" s="111">
        <v>45093</v>
      </c>
      <c r="S394" s="112"/>
      <c r="T394" s="113"/>
      <c r="U394" s="111">
        <v>45096</v>
      </c>
      <c r="V394" s="111">
        <v>45100</v>
      </c>
      <c r="W394" s="114"/>
      <c r="X394" s="115" t="s">
        <v>786</v>
      </c>
      <c r="Y394" s="102" t="s">
        <v>786</v>
      </c>
      <c r="Z394" s="102" t="s">
        <v>858</v>
      </c>
      <c r="AA394" s="116" t="str">
        <f t="shared" si="5"/>
        <v>Ambos</v>
      </c>
    </row>
    <row r="395" spans="2:27" ht="3.75" customHeight="1" x14ac:dyDescent="0.25">
      <c r="F395" s="119"/>
      <c r="AA395" s="57" t="str">
        <f t="shared" si="5"/>
        <v/>
      </c>
    </row>
    <row r="396" spans="2:27" s="101" customFormat="1" x14ac:dyDescent="0.25">
      <c r="B396" s="102" t="s">
        <v>471</v>
      </c>
      <c r="C396" s="103"/>
      <c r="D396" s="104" t="s">
        <v>464</v>
      </c>
      <c r="F396" s="104" t="s">
        <v>433</v>
      </c>
      <c r="G396" s="105"/>
      <c r="H396" s="104" t="s">
        <v>465</v>
      </c>
      <c r="I396" s="106"/>
      <c r="J396" s="107" t="s">
        <v>111</v>
      </c>
      <c r="K396" s="108"/>
      <c r="L396" s="102" t="s">
        <v>99</v>
      </c>
      <c r="M396" s="109"/>
      <c r="N396" s="102" t="s">
        <v>100</v>
      </c>
      <c r="O396" s="110"/>
      <c r="P396" s="111">
        <v>45063</v>
      </c>
      <c r="Q396" s="111">
        <v>45091</v>
      </c>
      <c r="R396" s="111">
        <v>45093</v>
      </c>
      <c r="S396" s="112"/>
      <c r="T396" s="113"/>
      <c r="U396" s="111">
        <v>45096</v>
      </c>
      <c r="V396" s="111">
        <v>45098</v>
      </c>
      <c r="W396" s="114"/>
      <c r="X396" s="115" t="s">
        <v>786</v>
      </c>
      <c r="Y396" s="102" t="s">
        <v>786</v>
      </c>
      <c r="Z396" s="102" t="s">
        <v>858</v>
      </c>
      <c r="AA396" s="116" t="str">
        <f t="shared" ref="AA396:AA459" si="6">IFERROR(
IF(AND(X396="Não",Y396="Sim"),"REP",
IF(AND(X396="Sim",Y396="Não"),"Técnico",
IF(AND(X396="Sim",Y396="Sim"),"Ambos",""))),
"")</f>
        <v>Ambos</v>
      </c>
    </row>
    <row r="397" spans="2:27" ht="3.75" customHeight="1" x14ac:dyDescent="0.25">
      <c r="F397" s="119"/>
      <c r="AA397" s="57" t="str">
        <f t="shared" si="6"/>
        <v/>
      </c>
    </row>
    <row r="398" spans="2:27" s="101" customFormat="1" x14ac:dyDescent="0.25">
      <c r="B398" s="102" t="s">
        <v>471</v>
      </c>
      <c r="C398" s="103"/>
      <c r="D398" s="104" t="s">
        <v>464</v>
      </c>
      <c r="F398" s="104" t="s">
        <v>433</v>
      </c>
      <c r="G398" s="105"/>
      <c r="H398" s="104" t="s">
        <v>465</v>
      </c>
      <c r="I398" s="106"/>
      <c r="J398" s="107" t="s">
        <v>111</v>
      </c>
      <c r="K398" s="108"/>
      <c r="L398" s="102" t="s">
        <v>99</v>
      </c>
      <c r="M398" s="109"/>
      <c r="N398" s="102" t="s">
        <v>100</v>
      </c>
      <c r="O398" s="110"/>
      <c r="P398" s="111">
        <v>45063</v>
      </c>
      <c r="Q398" s="111">
        <v>45091</v>
      </c>
      <c r="R398" s="111">
        <v>45093</v>
      </c>
      <c r="S398" s="112"/>
      <c r="T398" s="113"/>
      <c r="U398" s="111">
        <v>45096</v>
      </c>
      <c r="V398" s="111">
        <v>45098</v>
      </c>
      <c r="W398" s="114"/>
      <c r="X398" s="115" t="s">
        <v>786</v>
      </c>
      <c r="Y398" s="102" t="s">
        <v>786</v>
      </c>
      <c r="Z398" s="102" t="s">
        <v>858</v>
      </c>
      <c r="AA398" s="116" t="str">
        <f t="shared" si="6"/>
        <v>Ambos</v>
      </c>
    </row>
    <row r="399" spans="2:27" ht="3.75" customHeight="1" x14ac:dyDescent="0.25">
      <c r="F399" s="119"/>
      <c r="AA399" s="57" t="str">
        <f t="shared" si="6"/>
        <v/>
      </c>
    </row>
    <row r="400" spans="2:27" x14ac:dyDescent="0.25">
      <c r="B400" s="48" t="s">
        <v>472</v>
      </c>
      <c r="C400" s="59"/>
      <c r="D400" s="49" t="s">
        <v>317</v>
      </c>
      <c r="F400" s="49" t="s">
        <v>473</v>
      </c>
      <c r="G400" s="82"/>
      <c r="H400" s="49" t="s">
        <v>190</v>
      </c>
      <c r="I400" s="83"/>
      <c r="J400" s="51" t="s">
        <v>166</v>
      </c>
      <c r="K400" s="84"/>
      <c r="L400" s="48" t="s">
        <v>99</v>
      </c>
      <c r="N400" s="48" t="s">
        <v>100</v>
      </c>
      <c r="O400" s="64"/>
      <c r="P400" s="54">
        <v>45062</v>
      </c>
      <c r="Q400" s="54">
        <v>45091</v>
      </c>
      <c r="R400" s="54">
        <v>45093</v>
      </c>
      <c r="S400" s="85"/>
      <c r="T400" s="86"/>
      <c r="U400" s="54">
        <v>45084</v>
      </c>
      <c r="V400" s="54">
        <v>45089</v>
      </c>
      <c r="W400" s="87"/>
      <c r="X400" s="88" t="s">
        <v>785</v>
      </c>
      <c r="Y400" s="48" t="s">
        <v>785</v>
      </c>
      <c r="Z400" s="48" t="s">
        <v>861</v>
      </c>
      <c r="AA400" s="57" t="str">
        <f t="shared" si="6"/>
        <v/>
      </c>
    </row>
    <row r="401" spans="2:27" ht="3.75" customHeight="1" x14ac:dyDescent="0.25">
      <c r="F401" s="119"/>
      <c r="AA401" s="57" t="str">
        <f t="shared" si="6"/>
        <v/>
      </c>
    </row>
    <row r="402" spans="2:27" x14ac:dyDescent="0.25">
      <c r="B402" s="48" t="s">
        <v>474</v>
      </c>
      <c r="C402" s="59"/>
      <c r="D402" s="49" t="s">
        <v>475</v>
      </c>
      <c r="F402" s="49" t="s">
        <v>233</v>
      </c>
      <c r="G402" s="82"/>
      <c r="H402" s="49" t="s">
        <v>234</v>
      </c>
      <c r="I402" s="83"/>
      <c r="J402" s="51" t="s">
        <v>110</v>
      </c>
      <c r="K402" s="84"/>
      <c r="L402" s="48" t="s">
        <v>99</v>
      </c>
      <c r="N402" s="48" t="s">
        <v>100</v>
      </c>
      <c r="O402" s="64"/>
      <c r="P402" s="54">
        <v>45054</v>
      </c>
      <c r="Q402" s="54">
        <v>45079</v>
      </c>
      <c r="R402" s="54">
        <v>45083</v>
      </c>
      <c r="S402" s="85"/>
      <c r="T402" s="86"/>
      <c r="U402" s="54">
        <v>45079</v>
      </c>
      <c r="V402" s="54">
        <v>45084</v>
      </c>
      <c r="W402" s="87"/>
      <c r="X402" s="88" t="s">
        <v>785</v>
      </c>
      <c r="Y402" s="48" t="s">
        <v>785</v>
      </c>
      <c r="Z402" s="48" t="s">
        <v>863</v>
      </c>
      <c r="AA402" s="57" t="str">
        <f t="shared" si="6"/>
        <v/>
      </c>
    </row>
    <row r="403" spans="2:27" ht="3.75" customHeight="1" x14ac:dyDescent="0.25">
      <c r="F403" s="119"/>
      <c r="AA403" s="57" t="str">
        <f t="shared" si="6"/>
        <v/>
      </c>
    </row>
    <row r="404" spans="2:27" x14ac:dyDescent="0.25">
      <c r="B404" s="48" t="s">
        <v>476</v>
      </c>
      <c r="C404" s="59"/>
      <c r="D404" s="49" t="s">
        <v>475</v>
      </c>
      <c r="F404" s="49" t="s">
        <v>477</v>
      </c>
      <c r="G404" s="82"/>
      <c r="H404" s="49" t="s">
        <v>234</v>
      </c>
      <c r="I404" s="83"/>
      <c r="J404" s="51" t="s">
        <v>110</v>
      </c>
      <c r="K404" s="84"/>
      <c r="L404" s="48" t="s">
        <v>99</v>
      </c>
      <c r="N404" s="48" t="s">
        <v>100</v>
      </c>
      <c r="O404" s="64"/>
      <c r="P404" s="54">
        <v>45057</v>
      </c>
      <c r="Q404" s="54">
        <v>45079</v>
      </c>
      <c r="R404" s="54">
        <v>45083</v>
      </c>
      <c r="S404" s="85"/>
      <c r="T404" s="86"/>
      <c r="U404" s="54">
        <v>45084</v>
      </c>
      <c r="V404" s="54">
        <v>45085</v>
      </c>
      <c r="W404" s="87"/>
      <c r="X404" s="88" t="s">
        <v>786</v>
      </c>
      <c r="Y404" s="48" t="s">
        <v>785</v>
      </c>
      <c r="Z404" s="48" t="s">
        <v>860</v>
      </c>
      <c r="AA404" s="57" t="str">
        <f t="shared" si="6"/>
        <v>Técnico</v>
      </c>
    </row>
    <row r="405" spans="2:27" ht="3.75" customHeight="1" x14ac:dyDescent="0.25">
      <c r="F405" s="119"/>
      <c r="AA405" s="57" t="str">
        <f t="shared" si="6"/>
        <v/>
      </c>
    </row>
    <row r="406" spans="2:27" x14ac:dyDescent="0.25">
      <c r="B406" s="48" t="s">
        <v>478</v>
      </c>
      <c r="C406" s="59"/>
      <c r="D406" s="49" t="s">
        <v>475</v>
      </c>
      <c r="F406" s="49" t="s">
        <v>233</v>
      </c>
      <c r="G406" s="82"/>
      <c r="H406" s="49" t="s">
        <v>479</v>
      </c>
      <c r="I406" s="83"/>
      <c r="J406" s="51" t="s">
        <v>110</v>
      </c>
      <c r="K406" s="84"/>
      <c r="L406" s="48" t="s">
        <v>99</v>
      </c>
      <c r="N406" s="48" t="s">
        <v>100</v>
      </c>
      <c r="O406" s="64"/>
      <c r="P406" s="54">
        <v>45054</v>
      </c>
      <c r="Q406" s="54">
        <v>45079</v>
      </c>
      <c r="R406" s="54">
        <v>45083</v>
      </c>
      <c r="S406" s="85"/>
      <c r="T406" s="86"/>
      <c r="U406" s="54">
        <v>45079</v>
      </c>
      <c r="V406" s="54">
        <v>45084</v>
      </c>
      <c r="W406" s="87"/>
      <c r="X406" s="88" t="s">
        <v>785</v>
      </c>
      <c r="Y406" s="48" t="s">
        <v>785</v>
      </c>
      <c r="Z406" s="48" t="s">
        <v>863</v>
      </c>
      <c r="AA406" s="57" t="str">
        <f t="shared" si="6"/>
        <v/>
      </c>
    </row>
    <row r="407" spans="2:27" ht="3.75" customHeight="1" x14ac:dyDescent="0.25">
      <c r="F407" s="119"/>
      <c r="AA407" s="57" t="str">
        <f t="shared" si="6"/>
        <v/>
      </c>
    </row>
    <row r="408" spans="2:27" x14ac:dyDescent="0.25">
      <c r="B408" s="48" t="s">
        <v>480</v>
      </c>
      <c r="C408" s="59"/>
      <c r="D408" s="49" t="s">
        <v>481</v>
      </c>
      <c r="F408" s="49" t="s">
        <v>482</v>
      </c>
      <c r="G408" s="82"/>
      <c r="H408" s="49" t="s">
        <v>97</v>
      </c>
      <c r="I408" s="83"/>
      <c r="J408" s="51" t="s">
        <v>111</v>
      </c>
      <c r="K408" s="84"/>
      <c r="L408" s="48" t="s">
        <v>99</v>
      </c>
      <c r="N408" s="48" t="s">
        <v>100</v>
      </c>
      <c r="O408" s="64"/>
      <c r="P408" s="54">
        <v>45068</v>
      </c>
      <c r="Q408" s="54">
        <v>45096</v>
      </c>
      <c r="R408" s="54">
        <v>45098</v>
      </c>
      <c r="S408" s="85"/>
      <c r="T408" s="86"/>
      <c r="U408" s="54">
        <v>45097</v>
      </c>
      <c r="V408" s="54">
        <v>45099</v>
      </c>
      <c r="W408" s="87"/>
      <c r="X408" s="88" t="s">
        <v>786</v>
      </c>
      <c r="Y408" s="48" t="s">
        <v>785</v>
      </c>
      <c r="Z408" s="48" t="s">
        <v>858</v>
      </c>
      <c r="AA408" s="57" t="str">
        <f t="shared" si="6"/>
        <v>Técnico</v>
      </c>
    </row>
    <row r="409" spans="2:27" ht="3.75" customHeight="1" x14ac:dyDescent="0.25">
      <c r="F409" s="119"/>
      <c r="AA409" s="57" t="str">
        <f t="shared" si="6"/>
        <v/>
      </c>
    </row>
    <row r="410" spans="2:27" x14ac:dyDescent="0.25">
      <c r="B410" s="48" t="s">
        <v>480</v>
      </c>
      <c r="C410" s="59"/>
      <c r="D410" s="49" t="s">
        <v>481</v>
      </c>
      <c r="F410" s="49" t="s">
        <v>482</v>
      </c>
      <c r="G410" s="82"/>
      <c r="H410" s="49" t="s">
        <v>97</v>
      </c>
      <c r="I410" s="83"/>
      <c r="J410" s="51" t="s">
        <v>111</v>
      </c>
      <c r="K410" s="84"/>
      <c r="L410" s="48" t="s">
        <v>99</v>
      </c>
      <c r="N410" s="48" t="s">
        <v>100</v>
      </c>
      <c r="O410" s="64"/>
      <c r="P410" s="54">
        <v>45068</v>
      </c>
      <c r="Q410" s="54">
        <v>45096</v>
      </c>
      <c r="R410" s="54">
        <v>45098</v>
      </c>
      <c r="S410" s="85"/>
      <c r="T410" s="86"/>
      <c r="U410" s="54">
        <v>45070</v>
      </c>
      <c r="V410" s="54">
        <v>45098</v>
      </c>
      <c r="W410" s="87"/>
      <c r="X410" s="88" t="s">
        <v>785</v>
      </c>
      <c r="Y410" s="48" t="s">
        <v>785</v>
      </c>
      <c r="Z410" s="48" t="s">
        <v>858</v>
      </c>
      <c r="AA410" s="57" t="str">
        <f t="shared" si="6"/>
        <v/>
      </c>
    </row>
    <row r="411" spans="2:27" ht="3.75" customHeight="1" x14ac:dyDescent="0.25">
      <c r="F411" s="119"/>
      <c r="AA411" s="57" t="str">
        <f t="shared" si="6"/>
        <v/>
      </c>
    </row>
    <row r="412" spans="2:27" x14ac:dyDescent="0.25">
      <c r="B412" s="48" t="s">
        <v>483</v>
      </c>
      <c r="C412" s="59"/>
      <c r="D412" s="49" t="s">
        <v>481</v>
      </c>
      <c r="F412" s="49" t="s">
        <v>482</v>
      </c>
      <c r="G412" s="82"/>
      <c r="H412" s="49" t="s">
        <v>97</v>
      </c>
      <c r="I412" s="83"/>
      <c r="J412" s="51" t="s">
        <v>111</v>
      </c>
      <c r="K412" s="84"/>
      <c r="L412" s="48" t="s">
        <v>99</v>
      </c>
      <c r="N412" s="48" t="s">
        <v>100</v>
      </c>
      <c r="O412" s="64"/>
      <c r="P412" s="54">
        <v>45068</v>
      </c>
      <c r="Q412" s="54">
        <v>45096</v>
      </c>
      <c r="R412" s="54">
        <v>45098</v>
      </c>
      <c r="S412" s="85"/>
      <c r="T412" s="86"/>
      <c r="U412" s="54">
        <v>45072</v>
      </c>
      <c r="V412" s="54">
        <v>45098</v>
      </c>
      <c r="W412" s="87"/>
      <c r="X412" s="88" t="s">
        <v>785</v>
      </c>
      <c r="Y412" s="48" t="s">
        <v>785</v>
      </c>
      <c r="Z412" s="48" t="s">
        <v>858</v>
      </c>
      <c r="AA412" s="57" t="str">
        <f t="shared" si="6"/>
        <v/>
      </c>
    </row>
    <row r="413" spans="2:27" ht="3.75" customHeight="1" x14ac:dyDescent="0.25">
      <c r="F413" s="119"/>
      <c r="AA413" s="57" t="str">
        <f t="shared" si="6"/>
        <v/>
      </c>
    </row>
    <row r="414" spans="2:27" x14ac:dyDescent="0.25">
      <c r="B414" s="48" t="s">
        <v>483</v>
      </c>
      <c r="C414" s="59"/>
      <c r="D414" s="49" t="s">
        <v>481</v>
      </c>
      <c r="F414" s="49" t="s">
        <v>484</v>
      </c>
      <c r="G414" s="82"/>
      <c r="H414" s="49" t="s">
        <v>97</v>
      </c>
      <c r="I414" s="83"/>
      <c r="J414" s="51" t="s">
        <v>111</v>
      </c>
      <c r="K414" s="84"/>
      <c r="L414" s="48" t="s">
        <v>99</v>
      </c>
      <c r="N414" s="48" t="s">
        <v>100</v>
      </c>
      <c r="O414" s="64"/>
      <c r="P414" s="54">
        <v>45068</v>
      </c>
      <c r="Q414" s="54">
        <v>45096</v>
      </c>
      <c r="R414" s="54">
        <v>45098</v>
      </c>
      <c r="S414" s="85"/>
      <c r="T414" s="86"/>
      <c r="U414" s="54">
        <v>45097</v>
      </c>
      <c r="V414" s="54">
        <v>45099</v>
      </c>
      <c r="W414" s="87"/>
      <c r="X414" s="88" t="s">
        <v>786</v>
      </c>
      <c r="Y414" s="48" t="s">
        <v>785</v>
      </c>
      <c r="Z414" s="48" t="s">
        <v>858</v>
      </c>
      <c r="AA414" s="57" t="str">
        <f t="shared" si="6"/>
        <v>Técnico</v>
      </c>
    </row>
    <row r="415" spans="2:27" ht="3.75" customHeight="1" x14ac:dyDescent="0.25">
      <c r="F415" s="119"/>
      <c r="AA415" s="57" t="str">
        <f t="shared" si="6"/>
        <v/>
      </c>
    </row>
    <row r="416" spans="2:27" x14ac:dyDescent="0.25">
      <c r="B416" s="48" t="s">
        <v>485</v>
      </c>
      <c r="C416" s="59"/>
      <c r="D416" s="49" t="s">
        <v>481</v>
      </c>
      <c r="F416" s="49" t="s">
        <v>486</v>
      </c>
      <c r="G416" s="82"/>
      <c r="H416" s="49" t="s">
        <v>97</v>
      </c>
      <c r="I416" s="83"/>
      <c r="J416" s="51" t="s">
        <v>111</v>
      </c>
      <c r="K416" s="84"/>
      <c r="L416" s="48" t="s">
        <v>99</v>
      </c>
      <c r="N416" s="48" t="s">
        <v>100</v>
      </c>
      <c r="O416" s="64"/>
      <c r="P416" s="54">
        <v>45068</v>
      </c>
      <c r="Q416" s="54">
        <v>45096</v>
      </c>
      <c r="R416" s="54">
        <v>45098</v>
      </c>
      <c r="S416" s="85"/>
      <c r="T416" s="86"/>
      <c r="U416" s="54">
        <v>45071</v>
      </c>
      <c r="V416" s="54">
        <v>45098</v>
      </c>
      <c r="W416" s="87"/>
      <c r="X416" s="88" t="s">
        <v>785</v>
      </c>
      <c r="Y416" s="48" t="s">
        <v>785</v>
      </c>
      <c r="Z416" s="48" t="s">
        <v>858</v>
      </c>
      <c r="AA416" s="57" t="str">
        <f t="shared" si="6"/>
        <v/>
      </c>
    </row>
    <row r="417" spans="2:27" ht="3.75" customHeight="1" x14ac:dyDescent="0.25">
      <c r="F417" s="119"/>
      <c r="AA417" s="57" t="str">
        <f t="shared" si="6"/>
        <v/>
      </c>
    </row>
    <row r="418" spans="2:27" x14ac:dyDescent="0.25">
      <c r="B418" s="48" t="s">
        <v>485</v>
      </c>
      <c r="C418" s="59"/>
      <c r="D418" s="49" t="s">
        <v>481</v>
      </c>
      <c r="F418" s="49" t="s">
        <v>486</v>
      </c>
      <c r="G418" s="82"/>
      <c r="H418" s="49" t="s">
        <v>97</v>
      </c>
      <c r="I418" s="83"/>
      <c r="J418" s="51" t="s">
        <v>111</v>
      </c>
      <c r="K418" s="84"/>
      <c r="L418" s="48" t="s">
        <v>99</v>
      </c>
      <c r="N418" s="48" t="s">
        <v>100</v>
      </c>
      <c r="O418" s="64"/>
      <c r="P418" s="54">
        <v>45068</v>
      </c>
      <c r="Q418" s="54">
        <v>45096</v>
      </c>
      <c r="R418" s="54">
        <v>45098</v>
      </c>
      <c r="S418" s="85"/>
      <c r="T418" s="86"/>
      <c r="U418" s="54">
        <v>45097</v>
      </c>
      <c r="V418" s="54">
        <v>45099</v>
      </c>
      <c r="W418" s="87"/>
      <c r="X418" s="88" t="s">
        <v>786</v>
      </c>
      <c r="Y418" s="48" t="s">
        <v>785</v>
      </c>
      <c r="Z418" s="48" t="s">
        <v>858</v>
      </c>
      <c r="AA418" s="57" t="str">
        <f t="shared" si="6"/>
        <v>Técnico</v>
      </c>
    </row>
    <row r="419" spans="2:27" ht="3.75" customHeight="1" x14ac:dyDescent="0.25">
      <c r="F419" s="119"/>
      <c r="AA419" s="57" t="str">
        <f t="shared" si="6"/>
        <v/>
      </c>
    </row>
    <row r="420" spans="2:27" x14ac:dyDescent="0.25">
      <c r="B420" s="48" t="s">
        <v>487</v>
      </c>
      <c r="C420" s="59"/>
      <c r="D420" s="49" t="s">
        <v>481</v>
      </c>
      <c r="F420" s="49" t="s">
        <v>366</v>
      </c>
      <c r="G420" s="82"/>
      <c r="H420" s="49" t="s">
        <v>97</v>
      </c>
      <c r="I420" s="83"/>
      <c r="J420" s="51" t="s">
        <v>111</v>
      </c>
      <c r="K420" s="84"/>
      <c r="L420" s="48" t="s">
        <v>99</v>
      </c>
      <c r="N420" s="48" t="s">
        <v>100</v>
      </c>
      <c r="O420" s="64"/>
      <c r="P420" s="54">
        <v>45068</v>
      </c>
      <c r="Q420" s="54">
        <v>45096</v>
      </c>
      <c r="R420" s="54">
        <v>45098</v>
      </c>
      <c r="S420" s="85"/>
      <c r="T420" s="86"/>
      <c r="U420" s="54">
        <v>45072</v>
      </c>
      <c r="V420" s="54">
        <v>45098</v>
      </c>
      <c r="W420" s="87"/>
      <c r="X420" s="88" t="s">
        <v>785</v>
      </c>
      <c r="Y420" s="48" t="s">
        <v>785</v>
      </c>
      <c r="Z420" s="48" t="s">
        <v>858</v>
      </c>
      <c r="AA420" s="57" t="str">
        <f t="shared" si="6"/>
        <v/>
      </c>
    </row>
    <row r="421" spans="2:27" ht="3.75" customHeight="1" x14ac:dyDescent="0.25">
      <c r="F421" s="119"/>
      <c r="AA421" s="57" t="str">
        <f t="shared" si="6"/>
        <v/>
      </c>
    </row>
    <row r="422" spans="2:27" x14ac:dyDescent="0.25">
      <c r="B422" s="48" t="s">
        <v>487</v>
      </c>
      <c r="C422" s="59"/>
      <c r="D422" s="49" t="s">
        <v>481</v>
      </c>
      <c r="F422" s="49" t="s">
        <v>366</v>
      </c>
      <c r="G422" s="82"/>
      <c r="H422" s="49" t="s">
        <v>97</v>
      </c>
      <c r="I422" s="83"/>
      <c r="J422" s="51" t="s">
        <v>111</v>
      </c>
      <c r="K422" s="84"/>
      <c r="L422" s="48" t="s">
        <v>99</v>
      </c>
      <c r="N422" s="48" t="s">
        <v>100</v>
      </c>
      <c r="O422" s="64"/>
      <c r="P422" s="54">
        <v>45068</v>
      </c>
      <c r="Q422" s="54">
        <v>45096</v>
      </c>
      <c r="R422" s="54">
        <v>45098</v>
      </c>
      <c r="S422" s="85"/>
      <c r="T422" s="86"/>
      <c r="U422" s="54">
        <v>45097</v>
      </c>
      <c r="V422" s="54">
        <v>45099</v>
      </c>
      <c r="W422" s="87"/>
      <c r="X422" s="88" t="s">
        <v>786</v>
      </c>
      <c r="Y422" s="48" t="s">
        <v>785</v>
      </c>
      <c r="Z422" s="48" t="s">
        <v>858</v>
      </c>
      <c r="AA422" s="57" t="str">
        <f t="shared" si="6"/>
        <v>Técnico</v>
      </c>
    </row>
    <row r="423" spans="2:27" ht="3.75" customHeight="1" x14ac:dyDescent="0.25">
      <c r="F423" s="119"/>
      <c r="AA423" s="57" t="str">
        <f t="shared" si="6"/>
        <v/>
      </c>
    </row>
    <row r="424" spans="2:27" x14ac:dyDescent="0.25">
      <c r="B424" s="48" t="s">
        <v>488</v>
      </c>
      <c r="C424" s="59"/>
      <c r="D424" s="49" t="s">
        <v>481</v>
      </c>
      <c r="F424" s="49" t="s">
        <v>489</v>
      </c>
      <c r="G424" s="82"/>
      <c r="H424" s="49" t="s">
        <v>97</v>
      </c>
      <c r="I424" s="83"/>
      <c r="J424" s="51" t="s">
        <v>111</v>
      </c>
      <c r="K424" s="84"/>
      <c r="L424" s="48" t="s">
        <v>99</v>
      </c>
      <c r="N424" s="48" t="s">
        <v>100</v>
      </c>
      <c r="O424" s="64"/>
      <c r="P424" s="54">
        <v>45068</v>
      </c>
      <c r="Q424" s="54">
        <v>45096</v>
      </c>
      <c r="R424" s="54">
        <v>45098</v>
      </c>
      <c r="S424" s="85"/>
      <c r="T424" s="86"/>
      <c r="U424" s="54">
        <v>45072</v>
      </c>
      <c r="V424" s="54">
        <v>45099</v>
      </c>
      <c r="W424" s="87"/>
      <c r="X424" s="88" t="s">
        <v>785</v>
      </c>
      <c r="Y424" s="48" t="s">
        <v>785</v>
      </c>
      <c r="Z424" s="48" t="s">
        <v>858</v>
      </c>
      <c r="AA424" s="57" t="str">
        <f t="shared" si="6"/>
        <v/>
      </c>
    </row>
    <row r="425" spans="2:27" ht="3.75" customHeight="1" x14ac:dyDescent="0.25">
      <c r="F425" s="119"/>
      <c r="AA425" s="57" t="str">
        <f t="shared" si="6"/>
        <v/>
      </c>
    </row>
    <row r="426" spans="2:27" s="101" customFormat="1" x14ac:dyDescent="0.25">
      <c r="B426" s="102" t="s">
        <v>488</v>
      </c>
      <c r="C426" s="103"/>
      <c r="D426" s="104" t="s">
        <v>481</v>
      </c>
      <c r="F426" s="104" t="s">
        <v>489</v>
      </c>
      <c r="G426" s="105"/>
      <c r="H426" s="104" t="s">
        <v>97</v>
      </c>
      <c r="I426" s="106"/>
      <c r="J426" s="107" t="s">
        <v>111</v>
      </c>
      <c r="K426" s="108"/>
      <c r="L426" s="102" t="s">
        <v>99</v>
      </c>
      <c r="M426" s="109"/>
      <c r="N426" s="102" t="s">
        <v>100</v>
      </c>
      <c r="O426" s="110"/>
      <c r="P426" s="111">
        <v>45068</v>
      </c>
      <c r="Q426" s="111">
        <v>45096</v>
      </c>
      <c r="R426" s="111">
        <v>45098</v>
      </c>
      <c r="S426" s="112"/>
      <c r="T426" s="113"/>
      <c r="U426" s="111">
        <v>45104</v>
      </c>
      <c r="V426" s="111">
        <v>45112</v>
      </c>
      <c r="W426" s="114"/>
      <c r="X426" s="115" t="s">
        <v>786</v>
      </c>
      <c r="Y426" s="102" t="s">
        <v>786</v>
      </c>
      <c r="Z426" s="102" t="s">
        <v>858</v>
      </c>
      <c r="AA426" s="116" t="str">
        <f t="shared" si="6"/>
        <v>Ambos</v>
      </c>
    </row>
    <row r="427" spans="2:27" ht="3.75" customHeight="1" x14ac:dyDescent="0.25">
      <c r="F427" s="119"/>
      <c r="AA427" s="57" t="str">
        <f t="shared" si="6"/>
        <v/>
      </c>
    </row>
    <row r="428" spans="2:27" x14ac:dyDescent="0.25">
      <c r="B428" s="48" t="s">
        <v>490</v>
      </c>
      <c r="C428" s="59"/>
      <c r="D428" s="49" t="s">
        <v>491</v>
      </c>
      <c r="F428" s="49" t="s">
        <v>492</v>
      </c>
      <c r="G428" s="89"/>
      <c r="H428" s="49" t="s">
        <v>493</v>
      </c>
      <c r="I428" s="83"/>
      <c r="J428" s="51" t="s">
        <v>166</v>
      </c>
      <c r="K428" s="84"/>
      <c r="L428" s="48" t="s">
        <v>99</v>
      </c>
      <c r="N428" s="48" t="s">
        <v>166</v>
      </c>
      <c r="O428" s="64"/>
      <c r="P428" s="54">
        <v>45056</v>
      </c>
      <c r="Q428" s="54">
        <v>45091</v>
      </c>
      <c r="R428" s="54">
        <v>45092</v>
      </c>
      <c r="S428" s="85"/>
      <c r="T428" s="86"/>
      <c r="U428" s="54">
        <v>45090</v>
      </c>
      <c r="V428" s="54">
        <v>45092</v>
      </c>
      <c r="W428" s="87"/>
      <c r="X428" s="88" t="s">
        <v>785</v>
      </c>
      <c r="Y428" s="48" t="s">
        <v>785</v>
      </c>
      <c r="Z428" s="48" t="s">
        <v>860</v>
      </c>
      <c r="AA428" s="57" t="str">
        <f t="shared" si="6"/>
        <v/>
      </c>
    </row>
    <row r="429" spans="2:27" ht="3.75" customHeight="1" x14ac:dyDescent="0.25">
      <c r="F429" s="119"/>
      <c r="AA429" s="57" t="str">
        <f t="shared" si="6"/>
        <v/>
      </c>
    </row>
    <row r="430" spans="2:27" x14ac:dyDescent="0.25">
      <c r="B430" s="48" t="s">
        <v>494</v>
      </c>
      <c r="C430" s="59"/>
      <c r="D430" s="49" t="s">
        <v>306</v>
      </c>
      <c r="F430" s="49" t="s">
        <v>495</v>
      </c>
      <c r="G430" s="82"/>
      <c r="H430" s="49" t="s">
        <v>390</v>
      </c>
      <c r="I430" s="83"/>
      <c r="J430" s="51" t="s">
        <v>105</v>
      </c>
      <c r="K430" s="84"/>
      <c r="L430" s="48" t="s">
        <v>99</v>
      </c>
      <c r="N430" s="48" t="s">
        <v>239</v>
      </c>
      <c r="O430" s="64"/>
      <c r="P430" s="54">
        <v>45076</v>
      </c>
      <c r="Q430" s="54">
        <v>45098</v>
      </c>
      <c r="R430" s="54">
        <v>45100</v>
      </c>
      <c r="S430" s="85"/>
      <c r="T430" s="86"/>
      <c r="U430" s="54">
        <v>45098</v>
      </c>
      <c r="V430" s="54">
        <v>45099</v>
      </c>
      <c r="W430" s="87"/>
      <c r="X430" s="88" t="s">
        <v>785</v>
      </c>
      <c r="Y430" s="48" t="s">
        <v>785</v>
      </c>
      <c r="Z430" s="48" t="s">
        <v>859</v>
      </c>
      <c r="AA430" s="57" t="str">
        <f t="shared" si="6"/>
        <v/>
      </c>
    </row>
    <row r="431" spans="2:27" ht="3.75" customHeight="1" x14ac:dyDescent="0.25">
      <c r="F431" s="119"/>
      <c r="AA431" s="57" t="str">
        <f t="shared" si="6"/>
        <v/>
      </c>
    </row>
    <row r="432" spans="2:27" x14ac:dyDescent="0.25">
      <c r="B432" s="48" t="s">
        <v>496</v>
      </c>
      <c r="C432" s="59"/>
      <c r="D432" s="49" t="s">
        <v>497</v>
      </c>
      <c r="F432" s="49" t="s">
        <v>498</v>
      </c>
      <c r="G432" s="82"/>
      <c r="H432" s="49" t="s">
        <v>499</v>
      </c>
      <c r="I432" s="83"/>
      <c r="J432" s="51" t="s">
        <v>111</v>
      </c>
      <c r="K432" s="84"/>
      <c r="L432" s="48" t="s">
        <v>99</v>
      </c>
      <c r="N432" s="48" t="s">
        <v>239</v>
      </c>
      <c r="O432" s="64"/>
      <c r="P432" s="54">
        <v>45083</v>
      </c>
      <c r="Q432" s="54">
        <v>45105</v>
      </c>
      <c r="R432" s="54">
        <v>45107</v>
      </c>
      <c r="S432" s="85"/>
      <c r="T432" s="86"/>
      <c r="U432" s="54">
        <v>45098</v>
      </c>
      <c r="V432" s="54">
        <v>45107</v>
      </c>
      <c r="W432" s="87"/>
      <c r="X432" s="88" t="s">
        <v>785</v>
      </c>
      <c r="Y432" s="48" t="s">
        <v>785</v>
      </c>
      <c r="Z432" s="48" t="s">
        <v>860</v>
      </c>
      <c r="AA432" s="57" t="str">
        <f t="shared" si="6"/>
        <v/>
      </c>
    </row>
    <row r="433" spans="2:27" ht="3.75" customHeight="1" x14ac:dyDescent="0.25">
      <c r="F433" s="119"/>
      <c r="AA433" s="57" t="str">
        <f t="shared" si="6"/>
        <v/>
      </c>
    </row>
    <row r="434" spans="2:27" x14ac:dyDescent="0.25">
      <c r="B434" s="48" t="s">
        <v>500</v>
      </c>
      <c r="C434" s="59"/>
      <c r="D434" s="49" t="s">
        <v>497</v>
      </c>
      <c r="F434" s="49" t="s">
        <v>501</v>
      </c>
      <c r="G434" s="82"/>
      <c r="H434" s="49" t="s">
        <v>499</v>
      </c>
      <c r="I434" s="83"/>
      <c r="J434" s="51" t="s">
        <v>111</v>
      </c>
      <c r="K434" s="84"/>
      <c r="L434" s="48" t="s">
        <v>99</v>
      </c>
      <c r="N434" s="48" t="s">
        <v>239</v>
      </c>
      <c r="O434" s="64"/>
      <c r="P434" s="54">
        <v>45083</v>
      </c>
      <c r="Q434" s="54">
        <v>45105</v>
      </c>
      <c r="R434" s="54">
        <v>45107</v>
      </c>
      <c r="S434" s="85"/>
      <c r="T434" s="86"/>
      <c r="U434" s="54">
        <v>45098</v>
      </c>
      <c r="V434" s="54">
        <v>45107</v>
      </c>
      <c r="W434" s="87"/>
      <c r="X434" s="88" t="s">
        <v>785</v>
      </c>
      <c r="Y434" s="48" t="s">
        <v>785</v>
      </c>
      <c r="Z434" s="48" t="s">
        <v>860</v>
      </c>
      <c r="AA434" s="57" t="str">
        <f t="shared" si="6"/>
        <v/>
      </c>
    </row>
    <row r="435" spans="2:27" ht="3.75" customHeight="1" x14ac:dyDescent="0.25">
      <c r="F435" s="119"/>
      <c r="AA435" s="57" t="str">
        <f t="shared" si="6"/>
        <v/>
      </c>
    </row>
    <row r="436" spans="2:27" x14ac:dyDescent="0.25">
      <c r="B436" s="48" t="s">
        <v>502</v>
      </c>
      <c r="C436" s="59"/>
      <c r="D436" s="49" t="s">
        <v>497</v>
      </c>
      <c r="F436" s="49" t="s">
        <v>503</v>
      </c>
      <c r="G436" s="82"/>
      <c r="H436" s="49" t="s">
        <v>499</v>
      </c>
      <c r="I436" s="83"/>
      <c r="J436" s="51" t="s">
        <v>111</v>
      </c>
      <c r="K436" s="84"/>
      <c r="L436" s="48" t="s">
        <v>99</v>
      </c>
      <c r="N436" s="48" t="s">
        <v>239</v>
      </c>
      <c r="O436" s="64"/>
      <c r="P436" s="54">
        <v>45083</v>
      </c>
      <c r="Q436" s="54">
        <v>45105</v>
      </c>
      <c r="R436" s="54">
        <v>45107</v>
      </c>
      <c r="S436" s="85"/>
      <c r="T436" s="86"/>
      <c r="U436" s="54">
        <v>45098</v>
      </c>
      <c r="V436" s="54">
        <v>45107</v>
      </c>
      <c r="W436" s="87"/>
      <c r="X436" s="88" t="s">
        <v>785</v>
      </c>
      <c r="Y436" s="48" t="s">
        <v>785</v>
      </c>
      <c r="Z436" s="48" t="s">
        <v>860</v>
      </c>
      <c r="AA436" s="57" t="str">
        <f t="shared" si="6"/>
        <v/>
      </c>
    </row>
    <row r="437" spans="2:27" x14ac:dyDescent="0.25">
      <c r="B437" s="48" t="s">
        <v>504</v>
      </c>
      <c r="C437" s="59"/>
      <c r="D437" s="49" t="s">
        <v>497</v>
      </c>
      <c r="F437" s="49" t="s">
        <v>505</v>
      </c>
      <c r="G437" s="82"/>
      <c r="H437" s="49" t="s">
        <v>506</v>
      </c>
      <c r="I437" s="83"/>
      <c r="J437" s="51" t="s">
        <v>111</v>
      </c>
      <c r="K437" s="84"/>
      <c r="L437" s="48" t="s">
        <v>99</v>
      </c>
      <c r="N437" s="48" t="s">
        <v>239</v>
      </c>
      <c r="O437" s="64"/>
      <c r="P437" s="54">
        <v>45083</v>
      </c>
      <c r="Q437" s="54">
        <v>45105</v>
      </c>
      <c r="R437" s="54">
        <v>45107</v>
      </c>
      <c r="S437" s="85"/>
      <c r="T437" s="86"/>
      <c r="U437" s="54">
        <v>45106</v>
      </c>
      <c r="V437" s="54">
        <v>45107</v>
      </c>
      <c r="W437" s="87"/>
      <c r="X437" s="88" t="s">
        <v>786</v>
      </c>
      <c r="Y437" s="48" t="s">
        <v>785</v>
      </c>
      <c r="Z437" s="48" t="s">
        <v>860</v>
      </c>
      <c r="AA437" s="57" t="str">
        <f t="shared" si="6"/>
        <v>Técnico</v>
      </c>
    </row>
    <row r="438" spans="2:27" ht="3.75" customHeight="1" x14ac:dyDescent="0.25">
      <c r="F438" s="119"/>
      <c r="AA438" s="57" t="str">
        <f t="shared" si="6"/>
        <v/>
      </c>
    </row>
    <row r="439" spans="2:27" x14ac:dyDescent="0.25">
      <c r="B439" s="48" t="s">
        <v>507</v>
      </c>
      <c r="C439" s="59"/>
      <c r="D439" s="49" t="s">
        <v>497</v>
      </c>
      <c r="F439" s="49" t="s">
        <v>508</v>
      </c>
      <c r="G439" s="82"/>
      <c r="H439" s="49" t="s">
        <v>506</v>
      </c>
      <c r="I439" s="83"/>
      <c r="J439" s="51" t="s">
        <v>111</v>
      </c>
      <c r="K439" s="84"/>
      <c r="L439" s="48" t="s">
        <v>99</v>
      </c>
      <c r="N439" s="48" t="s">
        <v>239</v>
      </c>
      <c r="O439" s="64"/>
      <c r="P439" s="54">
        <v>45083</v>
      </c>
      <c r="Q439" s="54">
        <v>45105</v>
      </c>
      <c r="R439" s="54">
        <v>45107</v>
      </c>
      <c r="S439" s="85"/>
      <c r="T439" s="86"/>
      <c r="U439" s="54">
        <v>45106</v>
      </c>
      <c r="V439" s="54">
        <v>45107</v>
      </c>
      <c r="W439" s="87"/>
      <c r="X439" s="88" t="s">
        <v>786</v>
      </c>
      <c r="Y439" s="48" t="s">
        <v>785</v>
      </c>
      <c r="Z439" s="48" t="s">
        <v>860</v>
      </c>
      <c r="AA439" s="57" t="str">
        <f t="shared" si="6"/>
        <v>Técnico</v>
      </c>
    </row>
    <row r="440" spans="2:27" ht="3.75" customHeight="1" x14ac:dyDescent="0.25">
      <c r="F440" s="119"/>
      <c r="AA440" s="57" t="str">
        <f t="shared" si="6"/>
        <v/>
      </c>
    </row>
    <row r="441" spans="2:27" x14ac:dyDescent="0.25">
      <c r="B441" s="48" t="s">
        <v>509</v>
      </c>
      <c r="C441" s="59"/>
      <c r="D441" s="49" t="s">
        <v>497</v>
      </c>
      <c r="F441" s="49" t="s">
        <v>510</v>
      </c>
      <c r="G441" s="82"/>
      <c r="H441" s="49" t="s">
        <v>511</v>
      </c>
      <c r="I441" s="83"/>
      <c r="J441" s="51" t="s">
        <v>111</v>
      </c>
      <c r="K441" s="84"/>
      <c r="L441" s="48" t="s">
        <v>99</v>
      </c>
      <c r="N441" s="48" t="s">
        <v>239</v>
      </c>
      <c r="O441" s="64"/>
      <c r="P441" s="54">
        <v>45083</v>
      </c>
      <c r="Q441" s="54">
        <v>45105</v>
      </c>
      <c r="R441" s="54">
        <v>45107</v>
      </c>
      <c r="S441" s="85"/>
      <c r="T441" s="86"/>
      <c r="U441" s="54">
        <v>45106</v>
      </c>
      <c r="V441" s="54">
        <v>45107</v>
      </c>
      <c r="W441" s="87"/>
      <c r="X441" s="88" t="s">
        <v>786</v>
      </c>
      <c r="Y441" s="48" t="s">
        <v>785</v>
      </c>
      <c r="Z441" s="48" t="s">
        <v>860</v>
      </c>
      <c r="AA441" s="57" t="str">
        <f t="shared" si="6"/>
        <v>Técnico</v>
      </c>
    </row>
    <row r="442" spans="2:27" ht="3.75" customHeight="1" x14ac:dyDescent="0.25">
      <c r="F442" s="119"/>
      <c r="AA442" s="57" t="str">
        <f t="shared" si="6"/>
        <v/>
      </c>
    </row>
    <row r="443" spans="2:27" x14ac:dyDescent="0.25">
      <c r="B443" s="48" t="s">
        <v>512</v>
      </c>
      <c r="C443" s="59"/>
      <c r="D443" s="49" t="s">
        <v>497</v>
      </c>
      <c r="F443" s="49" t="s">
        <v>513</v>
      </c>
      <c r="G443" s="82"/>
      <c r="H443" s="49" t="s">
        <v>511</v>
      </c>
      <c r="I443" s="83"/>
      <c r="J443" s="51" t="s">
        <v>111</v>
      </c>
      <c r="K443" s="84"/>
      <c r="L443" s="48" t="s">
        <v>99</v>
      </c>
      <c r="N443" s="48" t="s">
        <v>239</v>
      </c>
      <c r="O443" s="64"/>
      <c r="P443" s="54">
        <v>45083</v>
      </c>
      <c r="Q443" s="54">
        <v>45105</v>
      </c>
      <c r="R443" s="54">
        <v>45107</v>
      </c>
      <c r="S443" s="85"/>
      <c r="T443" s="86"/>
      <c r="U443" s="54">
        <v>45106</v>
      </c>
      <c r="V443" s="54">
        <v>45107</v>
      </c>
      <c r="W443" s="87"/>
      <c r="X443" s="88" t="s">
        <v>786</v>
      </c>
      <c r="Y443" s="48" t="s">
        <v>785</v>
      </c>
      <c r="Z443" s="48" t="s">
        <v>860</v>
      </c>
      <c r="AA443" s="57" t="str">
        <f t="shared" si="6"/>
        <v>Técnico</v>
      </c>
    </row>
    <row r="444" spans="2:27" ht="3.75" customHeight="1" x14ac:dyDescent="0.25">
      <c r="F444" s="119"/>
      <c r="AA444" s="57" t="str">
        <f t="shared" si="6"/>
        <v/>
      </c>
    </row>
    <row r="445" spans="2:27" s="101" customFormat="1" x14ac:dyDescent="0.25">
      <c r="B445" s="102" t="s">
        <v>514</v>
      </c>
      <c r="C445" s="103"/>
      <c r="D445" s="104" t="s">
        <v>515</v>
      </c>
      <c r="F445" s="104" t="s">
        <v>516</v>
      </c>
      <c r="G445" s="118"/>
      <c r="H445" s="104" t="s">
        <v>517</v>
      </c>
      <c r="I445" s="106"/>
      <c r="J445" s="107" t="s">
        <v>98</v>
      </c>
      <c r="K445" s="108"/>
      <c r="L445" s="102" t="s">
        <v>99</v>
      </c>
      <c r="M445" s="109"/>
      <c r="N445" s="102" t="s">
        <v>239</v>
      </c>
      <c r="O445" s="110"/>
      <c r="P445" s="111">
        <v>45078</v>
      </c>
      <c r="Q445" s="111">
        <v>45091</v>
      </c>
      <c r="R445" s="111">
        <v>45093</v>
      </c>
      <c r="S445" s="112"/>
      <c r="T445" s="113"/>
      <c r="U445" s="111">
        <v>45091</v>
      </c>
      <c r="V445" s="111">
        <v>45096</v>
      </c>
      <c r="W445" s="114"/>
      <c r="X445" s="115" t="s">
        <v>785</v>
      </c>
      <c r="Y445" s="102" t="s">
        <v>786</v>
      </c>
      <c r="Z445" s="102" t="s">
        <v>862</v>
      </c>
      <c r="AA445" s="116" t="str">
        <f t="shared" si="6"/>
        <v>REP</v>
      </c>
    </row>
    <row r="446" spans="2:27" ht="3.75" customHeight="1" x14ac:dyDescent="0.25">
      <c r="F446" s="119"/>
      <c r="AA446" s="57" t="str">
        <f t="shared" si="6"/>
        <v/>
      </c>
    </row>
    <row r="447" spans="2:27" s="101" customFormat="1" x14ac:dyDescent="0.25">
      <c r="B447" s="102" t="s">
        <v>518</v>
      </c>
      <c r="C447" s="103"/>
      <c r="D447" s="104" t="s">
        <v>519</v>
      </c>
      <c r="F447" s="104" t="s">
        <v>520</v>
      </c>
      <c r="G447" s="105"/>
      <c r="H447" s="104" t="s">
        <v>353</v>
      </c>
      <c r="I447" s="106"/>
      <c r="J447" s="107" t="s">
        <v>166</v>
      </c>
      <c r="K447" s="108"/>
      <c r="L447" s="102" t="s">
        <v>99</v>
      </c>
      <c r="M447" s="109"/>
      <c r="N447" s="102" t="s">
        <v>239</v>
      </c>
      <c r="O447" s="110"/>
      <c r="P447" s="111">
        <v>45057</v>
      </c>
      <c r="Q447" s="111">
        <v>45082</v>
      </c>
      <c r="R447" s="111">
        <v>45084</v>
      </c>
      <c r="S447" s="112"/>
      <c r="T447" s="113"/>
      <c r="U447" s="111">
        <v>45092</v>
      </c>
      <c r="V447" s="111">
        <v>45097</v>
      </c>
      <c r="W447" s="114"/>
      <c r="X447" s="115" t="s">
        <v>786</v>
      </c>
      <c r="Y447" s="102" t="s">
        <v>786</v>
      </c>
      <c r="Z447" s="102" t="s">
        <v>860</v>
      </c>
      <c r="AA447" s="116" t="str">
        <f t="shared" si="6"/>
        <v>Ambos</v>
      </c>
    </row>
    <row r="448" spans="2:27" ht="3.75" customHeight="1" x14ac:dyDescent="0.25">
      <c r="F448" s="119"/>
      <c r="AA448" s="57" t="str">
        <f t="shared" si="6"/>
        <v/>
      </c>
    </row>
    <row r="449" spans="2:27" x14ac:dyDescent="0.25">
      <c r="B449" s="48" t="s">
        <v>521</v>
      </c>
      <c r="C449" s="59"/>
      <c r="D449" s="49" t="s">
        <v>522</v>
      </c>
      <c r="F449" s="49" t="s">
        <v>523</v>
      </c>
      <c r="G449" s="82"/>
      <c r="H449" s="49" t="s">
        <v>243</v>
      </c>
      <c r="I449" s="83"/>
      <c r="J449" s="51" t="s">
        <v>166</v>
      </c>
      <c r="K449" s="84"/>
      <c r="L449" s="48" t="s">
        <v>99</v>
      </c>
      <c r="N449" s="48" t="s">
        <v>100</v>
      </c>
      <c r="O449" s="64"/>
      <c r="P449" s="54">
        <v>45064</v>
      </c>
      <c r="Q449" s="54">
        <v>45104</v>
      </c>
      <c r="R449" s="54">
        <v>45106</v>
      </c>
      <c r="S449" s="85"/>
      <c r="T449" s="86"/>
      <c r="U449" s="54">
        <v>45100</v>
      </c>
      <c r="V449" s="54">
        <v>45104</v>
      </c>
      <c r="W449" s="87"/>
      <c r="X449" s="88" t="s">
        <v>785</v>
      </c>
      <c r="Y449" s="48" t="s">
        <v>785</v>
      </c>
      <c r="Z449" s="48" t="s">
        <v>859</v>
      </c>
      <c r="AA449" s="57" t="str">
        <f t="shared" si="6"/>
        <v/>
      </c>
    </row>
    <row r="450" spans="2:27" ht="3.75" customHeight="1" x14ac:dyDescent="0.25">
      <c r="F450" s="119"/>
      <c r="AA450" s="57" t="str">
        <f t="shared" si="6"/>
        <v/>
      </c>
    </row>
    <row r="451" spans="2:27" x14ac:dyDescent="0.25">
      <c r="B451" s="48" t="s">
        <v>524</v>
      </c>
      <c r="C451" s="59"/>
      <c r="D451" s="49" t="s">
        <v>525</v>
      </c>
      <c r="F451" s="49" t="s">
        <v>274</v>
      </c>
      <c r="G451" s="82"/>
      <c r="H451" s="49" t="s">
        <v>526</v>
      </c>
      <c r="I451" s="83"/>
      <c r="J451" s="51" t="s">
        <v>239</v>
      </c>
      <c r="K451" s="84"/>
      <c r="L451" s="48" t="s">
        <v>99</v>
      </c>
      <c r="N451" s="48" t="s">
        <v>239</v>
      </c>
      <c r="O451" s="64"/>
      <c r="P451" s="54">
        <v>45075</v>
      </c>
      <c r="Q451" s="54">
        <v>45097</v>
      </c>
      <c r="R451" s="54">
        <v>45099</v>
      </c>
      <c r="S451" s="85"/>
      <c r="T451" s="86"/>
      <c r="U451" s="54">
        <v>45092</v>
      </c>
      <c r="V451" s="54">
        <v>45098</v>
      </c>
      <c r="W451" s="87"/>
      <c r="X451" s="88" t="s">
        <v>785</v>
      </c>
      <c r="Y451" s="48" t="s">
        <v>785</v>
      </c>
      <c r="Z451" s="48" t="s">
        <v>860</v>
      </c>
      <c r="AA451" s="57" t="str">
        <f t="shared" si="6"/>
        <v/>
      </c>
    </row>
    <row r="452" spans="2:27" ht="3.75" customHeight="1" x14ac:dyDescent="0.25">
      <c r="F452" s="119"/>
      <c r="AA452" s="57" t="str">
        <f t="shared" si="6"/>
        <v/>
      </c>
    </row>
    <row r="453" spans="2:27" x14ac:dyDescent="0.25">
      <c r="B453" s="48" t="s">
        <v>527</v>
      </c>
      <c r="C453" s="59"/>
      <c r="D453" s="49" t="s">
        <v>525</v>
      </c>
      <c r="F453" s="49" t="s">
        <v>274</v>
      </c>
      <c r="G453" s="82"/>
      <c r="H453" s="49" t="s">
        <v>528</v>
      </c>
      <c r="I453" s="83"/>
      <c r="J453" s="51" t="s">
        <v>239</v>
      </c>
      <c r="K453" s="84"/>
      <c r="L453" s="48" t="s">
        <v>99</v>
      </c>
      <c r="N453" s="48" t="s">
        <v>239</v>
      </c>
      <c r="O453" s="64"/>
      <c r="P453" s="54">
        <v>45075</v>
      </c>
      <c r="Q453" s="54">
        <v>45097</v>
      </c>
      <c r="R453" s="54">
        <v>45099</v>
      </c>
      <c r="S453" s="85"/>
      <c r="T453" s="86"/>
      <c r="U453" s="54">
        <v>45091</v>
      </c>
      <c r="V453" s="54">
        <v>45097</v>
      </c>
      <c r="W453" s="87"/>
      <c r="X453" s="88" t="s">
        <v>785</v>
      </c>
      <c r="Y453" s="48" t="s">
        <v>785</v>
      </c>
      <c r="Z453" s="48" t="s">
        <v>860</v>
      </c>
      <c r="AA453" s="57" t="str">
        <f t="shared" si="6"/>
        <v/>
      </c>
    </row>
    <row r="454" spans="2:27" ht="3.75" customHeight="1" x14ac:dyDescent="0.25">
      <c r="F454" s="119"/>
      <c r="AA454" s="57" t="str">
        <f t="shared" si="6"/>
        <v/>
      </c>
    </row>
    <row r="455" spans="2:27" s="101" customFormat="1" x14ac:dyDescent="0.25">
      <c r="B455" s="102" t="s">
        <v>529</v>
      </c>
      <c r="C455" s="103"/>
      <c r="D455" s="104" t="s">
        <v>530</v>
      </c>
      <c r="F455" s="104" t="s">
        <v>531</v>
      </c>
      <c r="G455" s="105"/>
      <c r="H455" s="104" t="s">
        <v>532</v>
      </c>
      <c r="I455" s="106"/>
      <c r="J455" s="107" t="s">
        <v>105</v>
      </c>
      <c r="K455" s="108"/>
      <c r="L455" s="102" t="s">
        <v>99</v>
      </c>
      <c r="M455" s="109"/>
      <c r="N455" s="102" t="s">
        <v>100</v>
      </c>
      <c r="O455" s="110"/>
      <c r="P455" s="111">
        <v>45069</v>
      </c>
      <c r="Q455" s="111">
        <v>45089</v>
      </c>
      <c r="R455" s="111">
        <v>45091</v>
      </c>
      <c r="S455" s="112"/>
      <c r="T455" s="113"/>
      <c r="U455" s="111">
        <v>45090</v>
      </c>
      <c r="V455" s="111">
        <v>45097</v>
      </c>
      <c r="W455" s="114"/>
      <c r="X455" s="115" t="s">
        <v>786</v>
      </c>
      <c r="Y455" s="102" t="s">
        <v>786</v>
      </c>
      <c r="Z455" s="102" t="s">
        <v>859</v>
      </c>
      <c r="AA455" s="116" t="str">
        <f t="shared" si="6"/>
        <v>Ambos</v>
      </c>
    </row>
    <row r="456" spans="2:27" ht="3.75" customHeight="1" x14ac:dyDescent="0.25">
      <c r="F456" s="119"/>
      <c r="AA456" s="57" t="str">
        <f t="shared" si="6"/>
        <v/>
      </c>
    </row>
    <row r="457" spans="2:27" x14ac:dyDescent="0.25">
      <c r="B457" s="48" t="s">
        <v>529</v>
      </c>
      <c r="C457" s="59"/>
      <c r="D457" s="49" t="s">
        <v>530</v>
      </c>
      <c r="F457" s="49" t="s">
        <v>531</v>
      </c>
      <c r="G457" s="82"/>
      <c r="H457" s="49" t="s">
        <v>532</v>
      </c>
      <c r="I457" s="83"/>
      <c r="J457" s="51" t="s">
        <v>105</v>
      </c>
      <c r="K457" s="84"/>
      <c r="L457" s="48" t="s">
        <v>99</v>
      </c>
      <c r="N457" s="48" t="s">
        <v>100</v>
      </c>
      <c r="O457" s="64"/>
      <c r="P457" s="54">
        <v>45069</v>
      </c>
      <c r="Q457" s="54">
        <v>45096</v>
      </c>
      <c r="R457" s="54">
        <v>45098</v>
      </c>
      <c r="S457" s="85"/>
      <c r="T457" s="86"/>
      <c r="U457" s="54">
        <v>45090</v>
      </c>
      <c r="V457" s="54">
        <v>45097</v>
      </c>
      <c r="W457" s="87"/>
      <c r="X457" s="88" t="s">
        <v>785</v>
      </c>
      <c r="Y457" s="48" t="s">
        <v>785</v>
      </c>
      <c r="Z457" s="48" t="s">
        <v>859</v>
      </c>
      <c r="AA457" s="57" t="str">
        <f t="shared" si="6"/>
        <v/>
      </c>
    </row>
    <row r="458" spans="2:27" ht="3.75" customHeight="1" x14ac:dyDescent="0.25">
      <c r="F458" s="119"/>
      <c r="AA458" s="57" t="str">
        <f t="shared" si="6"/>
        <v/>
      </c>
    </row>
    <row r="459" spans="2:27" x14ac:dyDescent="0.25">
      <c r="B459" s="48" t="s">
        <v>529</v>
      </c>
      <c r="C459" s="59"/>
      <c r="D459" s="49" t="s">
        <v>530</v>
      </c>
      <c r="F459" s="49" t="s">
        <v>531</v>
      </c>
      <c r="G459" s="82"/>
      <c r="H459" s="49" t="s">
        <v>532</v>
      </c>
      <c r="I459" s="83"/>
      <c r="J459" s="51" t="s">
        <v>105</v>
      </c>
      <c r="K459" s="84"/>
      <c r="L459" s="48" t="s">
        <v>99</v>
      </c>
      <c r="N459" s="48" t="s">
        <v>100</v>
      </c>
      <c r="O459" s="64"/>
      <c r="P459" s="54">
        <v>45069</v>
      </c>
      <c r="Q459" s="54">
        <v>45096</v>
      </c>
      <c r="R459" s="54">
        <v>45098</v>
      </c>
      <c r="S459" s="85"/>
      <c r="T459" s="86"/>
      <c r="U459" s="54">
        <v>45092</v>
      </c>
      <c r="V459" s="54">
        <v>45097</v>
      </c>
      <c r="W459" s="87"/>
      <c r="X459" s="88" t="s">
        <v>785</v>
      </c>
      <c r="Y459" s="48" t="s">
        <v>785</v>
      </c>
      <c r="Z459" s="48" t="s">
        <v>859</v>
      </c>
      <c r="AA459" s="57" t="str">
        <f t="shared" si="6"/>
        <v/>
      </c>
    </row>
    <row r="460" spans="2:27" ht="3.75" customHeight="1" x14ac:dyDescent="0.25">
      <c r="F460" s="119"/>
      <c r="AA460" s="57" t="str">
        <f t="shared" ref="AA460:AA523" si="7">IFERROR(
IF(AND(X460="Não",Y460="Sim"),"REP",
IF(AND(X460="Sim",Y460="Não"),"Técnico",
IF(AND(X460="Sim",Y460="Sim"),"Ambos",""))),
"")</f>
        <v/>
      </c>
    </row>
    <row r="461" spans="2:27" s="101" customFormat="1" x14ac:dyDescent="0.25">
      <c r="B461" s="102" t="s">
        <v>533</v>
      </c>
      <c r="C461" s="103"/>
      <c r="D461" s="104" t="s">
        <v>534</v>
      </c>
      <c r="F461" s="104" t="s">
        <v>535</v>
      </c>
      <c r="G461" s="105"/>
      <c r="H461" s="104" t="s">
        <v>536</v>
      </c>
      <c r="I461" s="106"/>
      <c r="J461" s="107" t="s">
        <v>239</v>
      </c>
      <c r="K461" s="108"/>
      <c r="L461" s="102" t="s">
        <v>99</v>
      </c>
      <c r="M461" s="109"/>
      <c r="N461" s="102" t="s">
        <v>239</v>
      </c>
      <c r="O461" s="110"/>
      <c r="P461" s="111">
        <v>45069</v>
      </c>
      <c r="Q461" s="111">
        <v>45096</v>
      </c>
      <c r="R461" s="111">
        <v>45098</v>
      </c>
      <c r="S461" s="112"/>
      <c r="T461" s="113"/>
      <c r="U461" s="111">
        <v>45110</v>
      </c>
      <c r="V461" s="111">
        <v>45111</v>
      </c>
      <c r="W461" s="114"/>
      <c r="X461" s="115" t="s">
        <v>786</v>
      </c>
      <c r="Y461" s="102" t="s">
        <v>786</v>
      </c>
      <c r="Z461" s="102" t="s">
        <v>860</v>
      </c>
      <c r="AA461" s="116" t="str">
        <f t="shared" si="7"/>
        <v>Ambos</v>
      </c>
    </row>
    <row r="462" spans="2:27" ht="3.75" customHeight="1" x14ac:dyDescent="0.25">
      <c r="F462" s="119"/>
      <c r="AA462" s="57" t="str">
        <f t="shared" si="7"/>
        <v/>
      </c>
    </row>
    <row r="463" spans="2:27" s="101" customFormat="1" x14ac:dyDescent="0.25">
      <c r="B463" s="102" t="s">
        <v>537</v>
      </c>
      <c r="C463" s="103"/>
      <c r="D463" s="104" t="s">
        <v>534</v>
      </c>
      <c r="F463" s="104" t="s">
        <v>538</v>
      </c>
      <c r="G463" s="105"/>
      <c r="H463" s="104" t="s">
        <v>539</v>
      </c>
      <c r="I463" s="106"/>
      <c r="J463" s="107" t="s">
        <v>239</v>
      </c>
      <c r="K463" s="108"/>
      <c r="L463" s="102" t="s">
        <v>99</v>
      </c>
      <c r="M463" s="109"/>
      <c r="N463" s="102" t="s">
        <v>239</v>
      </c>
      <c r="O463" s="110"/>
      <c r="P463" s="111">
        <v>45069</v>
      </c>
      <c r="Q463" s="111">
        <v>45096</v>
      </c>
      <c r="R463" s="111">
        <v>45098</v>
      </c>
      <c r="S463" s="112"/>
      <c r="T463" s="113"/>
      <c r="U463" s="111">
        <v>45107</v>
      </c>
      <c r="V463" s="111">
        <v>45111</v>
      </c>
      <c r="W463" s="114"/>
      <c r="X463" s="115" t="s">
        <v>786</v>
      </c>
      <c r="Y463" s="102" t="s">
        <v>786</v>
      </c>
      <c r="Z463" s="102" t="s">
        <v>860</v>
      </c>
      <c r="AA463" s="116" t="str">
        <f t="shared" si="7"/>
        <v>Ambos</v>
      </c>
    </row>
    <row r="464" spans="2:27" ht="3.75" customHeight="1" x14ac:dyDescent="0.25">
      <c r="F464" s="119"/>
      <c r="AA464" s="57" t="str">
        <f t="shared" si="7"/>
        <v/>
      </c>
    </row>
    <row r="465" spans="2:27" x14ac:dyDescent="0.25">
      <c r="B465" s="48" t="s">
        <v>540</v>
      </c>
      <c r="C465" s="59"/>
      <c r="D465" s="49" t="s">
        <v>534</v>
      </c>
      <c r="F465" s="49" t="s">
        <v>535</v>
      </c>
      <c r="G465" s="82"/>
      <c r="H465" s="49" t="s">
        <v>541</v>
      </c>
      <c r="I465" s="83"/>
      <c r="J465" s="51" t="s">
        <v>239</v>
      </c>
      <c r="K465" s="84"/>
      <c r="L465" s="48" t="s">
        <v>99</v>
      </c>
      <c r="N465" s="48" t="s">
        <v>239</v>
      </c>
      <c r="O465" s="64"/>
      <c r="P465" s="54">
        <v>45069</v>
      </c>
      <c r="Q465" s="54">
        <v>45096</v>
      </c>
      <c r="R465" s="54">
        <v>45098</v>
      </c>
      <c r="S465" s="85"/>
      <c r="T465" s="86"/>
      <c r="U465" s="54">
        <v>45097</v>
      </c>
      <c r="V465" s="54">
        <v>45099</v>
      </c>
      <c r="W465" s="87"/>
      <c r="X465" s="88" t="s">
        <v>786</v>
      </c>
      <c r="Y465" s="48" t="s">
        <v>785</v>
      </c>
      <c r="Z465" s="48" t="s">
        <v>860</v>
      </c>
      <c r="AA465" s="57" t="str">
        <f t="shared" si="7"/>
        <v>Técnico</v>
      </c>
    </row>
    <row r="466" spans="2:27" ht="3.75" customHeight="1" x14ac:dyDescent="0.25">
      <c r="F466" s="119"/>
      <c r="AA466" s="57" t="str">
        <f t="shared" si="7"/>
        <v/>
      </c>
    </row>
    <row r="467" spans="2:27" s="101" customFormat="1" x14ac:dyDescent="0.25">
      <c r="B467" s="102" t="s">
        <v>542</v>
      </c>
      <c r="C467" s="103"/>
      <c r="D467" s="104" t="s">
        <v>543</v>
      </c>
      <c r="F467" s="104" t="s">
        <v>544</v>
      </c>
      <c r="G467" s="105"/>
      <c r="H467" s="104" t="s">
        <v>331</v>
      </c>
      <c r="I467" s="106"/>
      <c r="J467" s="107" t="s">
        <v>166</v>
      </c>
      <c r="K467" s="108"/>
      <c r="L467" s="102" t="s">
        <v>99</v>
      </c>
      <c r="M467" s="109"/>
      <c r="N467" s="102" t="s">
        <v>100</v>
      </c>
      <c r="O467" s="110"/>
      <c r="P467" s="111">
        <v>45071</v>
      </c>
      <c r="Q467" s="111">
        <v>45077</v>
      </c>
      <c r="R467" s="111">
        <v>45079</v>
      </c>
      <c r="S467" s="112"/>
      <c r="T467" s="113"/>
      <c r="U467" s="111">
        <v>45079</v>
      </c>
      <c r="V467" s="111">
        <v>45082</v>
      </c>
      <c r="W467" s="114"/>
      <c r="X467" s="115" t="s">
        <v>786</v>
      </c>
      <c r="Y467" s="102" t="s">
        <v>786</v>
      </c>
      <c r="Z467" s="102" t="s">
        <v>859</v>
      </c>
      <c r="AA467" s="116" t="str">
        <f t="shared" si="7"/>
        <v>Ambos</v>
      </c>
    </row>
    <row r="468" spans="2:27" ht="3.75" customHeight="1" x14ac:dyDescent="0.25">
      <c r="F468" s="119"/>
      <c r="AA468" s="57" t="str">
        <f t="shared" si="7"/>
        <v/>
      </c>
    </row>
    <row r="469" spans="2:27" x14ac:dyDescent="0.25">
      <c r="B469" s="48" t="s">
        <v>545</v>
      </c>
      <c r="C469" s="59"/>
      <c r="D469" s="49" t="s">
        <v>546</v>
      </c>
      <c r="F469" s="49" t="s">
        <v>547</v>
      </c>
      <c r="G469" s="82"/>
      <c r="H469" s="49" t="s">
        <v>331</v>
      </c>
      <c r="I469" s="83"/>
      <c r="J469" s="51" t="s">
        <v>166</v>
      </c>
      <c r="K469" s="84"/>
      <c r="L469" s="48" t="s">
        <v>99</v>
      </c>
      <c r="N469" s="48" t="s">
        <v>100</v>
      </c>
      <c r="O469" s="64"/>
      <c r="P469" s="54">
        <v>45071</v>
      </c>
      <c r="Q469" s="54">
        <v>45082</v>
      </c>
      <c r="R469" s="54">
        <v>45084</v>
      </c>
      <c r="S469" s="85"/>
      <c r="T469" s="86"/>
      <c r="U469" s="54">
        <v>45082</v>
      </c>
      <c r="V469" s="54">
        <v>45084</v>
      </c>
      <c r="W469" s="87"/>
      <c r="X469" s="88" t="s">
        <v>785</v>
      </c>
      <c r="Y469" s="48" t="s">
        <v>785</v>
      </c>
      <c r="Z469" s="48" t="s">
        <v>859</v>
      </c>
      <c r="AA469" s="57" t="str">
        <f t="shared" si="7"/>
        <v/>
      </c>
    </row>
    <row r="470" spans="2:27" ht="3.75" customHeight="1" x14ac:dyDescent="0.25">
      <c r="F470" s="119"/>
      <c r="AA470" s="57" t="str">
        <f t="shared" si="7"/>
        <v/>
      </c>
    </row>
    <row r="471" spans="2:27" x14ac:dyDescent="0.25">
      <c r="B471" s="48" t="s">
        <v>548</v>
      </c>
      <c r="C471" s="59"/>
      <c r="D471" s="49" t="s">
        <v>549</v>
      </c>
      <c r="F471" s="49" t="s">
        <v>550</v>
      </c>
      <c r="G471" s="82"/>
      <c r="H471" s="49" t="s">
        <v>331</v>
      </c>
      <c r="I471" s="83"/>
      <c r="J471" s="51" t="s">
        <v>166</v>
      </c>
      <c r="K471" s="84"/>
      <c r="L471" s="48" t="s">
        <v>99</v>
      </c>
      <c r="N471" s="48" t="s">
        <v>100</v>
      </c>
      <c r="O471" s="64"/>
      <c r="P471" s="54">
        <v>45071</v>
      </c>
      <c r="Q471" s="54">
        <v>45082</v>
      </c>
      <c r="R471" s="54">
        <v>45084</v>
      </c>
      <c r="S471" s="85"/>
      <c r="T471" s="86"/>
      <c r="U471" s="54">
        <v>45082</v>
      </c>
      <c r="V471" s="54">
        <v>45084</v>
      </c>
      <c r="W471" s="87"/>
      <c r="X471" s="88" t="s">
        <v>785</v>
      </c>
      <c r="Y471" s="48" t="s">
        <v>785</v>
      </c>
      <c r="Z471" s="48" t="s">
        <v>859</v>
      </c>
      <c r="AA471" s="57" t="str">
        <f t="shared" si="7"/>
        <v/>
      </c>
    </row>
    <row r="472" spans="2:27" ht="3.75" customHeight="1" x14ac:dyDescent="0.25">
      <c r="F472" s="119"/>
      <c r="AA472" s="57" t="str">
        <f t="shared" si="7"/>
        <v/>
      </c>
    </row>
    <row r="473" spans="2:27" s="101" customFormat="1" x14ac:dyDescent="0.25">
      <c r="B473" s="102" t="s">
        <v>551</v>
      </c>
      <c r="C473" s="103"/>
      <c r="D473" s="104" t="s">
        <v>552</v>
      </c>
      <c r="F473" s="104" t="s">
        <v>553</v>
      </c>
      <c r="G473" s="105"/>
      <c r="H473" s="104" t="s">
        <v>331</v>
      </c>
      <c r="I473" s="106"/>
      <c r="J473" s="107" t="s">
        <v>166</v>
      </c>
      <c r="K473" s="108"/>
      <c r="L473" s="102" t="s">
        <v>99</v>
      </c>
      <c r="M473" s="109"/>
      <c r="N473" s="102" t="s">
        <v>239</v>
      </c>
      <c r="O473" s="110"/>
      <c r="P473" s="111">
        <v>45078</v>
      </c>
      <c r="Q473" s="111">
        <v>45086</v>
      </c>
      <c r="R473" s="111">
        <v>45090</v>
      </c>
      <c r="S473" s="112"/>
      <c r="T473" s="113"/>
      <c r="U473" s="111">
        <v>45091</v>
      </c>
      <c r="V473" s="111">
        <v>45097</v>
      </c>
      <c r="W473" s="114"/>
      <c r="X473" s="115" t="s">
        <v>786</v>
      </c>
      <c r="Y473" s="102" t="s">
        <v>786</v>
      </c>
      <c r="Z473" s="102" t="s">
        <v>859</v>
      </c>
      <c r="AA473" s="116" t="str">
        <f t="shared" si="7"/>
        <v>Ambos</v>
      </c>
    </row>
    <row r="474" spans="2:27" ht="3.75" customHeight="1" x14ac:dyDescent="0.25">
      <c r="F474" s="119"/>
      <c r="AA474" s="57" t="str">
        <f t="shared" si="7"/>
        <v/>
      </c>
    </row>
    <row r="475" spans="2:27" x14ac:dyDescent="0.25">
      <c r="B475" s="48" t="s">
        <v>554</v>
      </c>
      <c r="C475" s="59"/>
      <c r="D475" s="49" t="s">
        <v>555</v>
      </c>
      <c r="F475" s="49" t="s">
        <v>556</v>
      </c>
      <c r="G475" s="82"/>
      <c r="H475" s="49" t="s">
        <v>331</v>
      </c>
      <c r="I475" s="83"/>
      <c r="J475" s="51" t="s">
        <v>166</v>
      </c>
      <c r="K475" s="84"/>
      <c r="L475" s="48" t="s">
        <v>99</v>
      </c>
      <c r="N475" s="48" t="s">
        <v>239</v>
      </c>
      <c r="O475" s="64"/>
      <c r="P475" s="54">
        <v>45078</v>
      </c>
      <c r="Q475" s="54">
        <v>45091</v>
      </c>
      <c r="R475" s="54">
        <v>45093</v>
      </c>
      <c r="S475" s="85"/>
      <c r="T475" s="86"/>
      <c r="U475" s="54">
        <v>45090</v>
      </c>
      <c r="V475" s="54">
        <v>45093</v>
      </c>
      <c r="W475" s="87"/>
      <c r="X475" s="88" t="s">
        <v>785</v>
      </c>
      <c r="Y475" s="48" t="s">
        <v>785</v>
      </c>
      <c r="Z475" s="48" t="s">
        <v>859</v>
      </c>
      <c r="AA475" s="57" t="str">
        <f t="shared" si="7"/>
        <v/>
      </c>
    </row>
    <row r="476" spans="2:27" ht="3.75" customHeight="1" x14ac:dyDescent="0.25">
      <c r="F476" s="119"/>
      <c r="AA476" s="57" t="str">
        <f t="shared" si="7"/>
        <v/>
      </c>
    </row>
    <row r="477" spans="2:27" x14ac:dyDescent="0.25">
      <c r="B477" s="48" t="s">
        <v>557</v>
      </c>
      <c r="C477" s="59"/>
      <c r="D477" s="49" t="s">
        <v>546</v>
      </c>
      <c r="F477" s="49" t="s">
        <v>558</v>
      </c>
      <c r="G477" s="82"/>
      <c r="H477" s="49" t="s">
        <v>153</v>
      </c>
      <c r="I477" s="83"/>
      <c r="J477" s="51" t="s">
        <v>166</v>
      </c>
      <c r="K477" s="84"/>
      <c r="L477" s="48" t="s">
        <v>99</v>
      </c>
      <c r="N477" s="48" t="s">
        <v>239</v>
      </c>
      <c r="O477" s="64"/>
      <c r="P477" s="54">
        <v>45078</v>
      </c>
      <c r="Q477" s="54">
        <v>45091</v>
      </c>
      <c r="R477" s="54">
        <v>45093</v>
      </c>
      <c r="S477" s="85"/>
      <c r="T477" s="86"/>
      <c r="U477" s="54">
        <v>45090</v>
      </c>
      <c r="V477" s="54">
        <v>45093</v>
      </c>
      <c r="W477" s="87"/>
      <c r="X477" s="88" t="s">
        <v>785</v>
      </c>
      <c r="Y477" s="48" t="s">
        <v>785</v>
      </c>
      <c r="Z477" s="48" t="s">
        <v>859</v>
      </c>
      <c r="AA477" s="57" t="str">
        <f t="shared" si="7"/>
        <v/>
      </c>
    </row>
    <row r="478" spans="2:27" ht="3.75" customHeight="1" x14ac:dyDescent="0.25">
      <c r="F478" s="119"/>
      <c r="AA478" s="57" t="str">
        <f t="shared" si="7"/>
        <v/>
      </c>
    </row>
    <row r="479" spans="2:27" s="101" customFormat="1" x14ac:dyDescent="0.25">
      <c r="B479" s="102" t="s">
        <v>559</v>
      </c>
      <c r="C479" s="103"/>
      <c r="D479" s="104" t="s">
        <v>560</v>
      </c>
      <c r="F479" s="104" t="s">
        <v>561</v>
      </c>
      <c r="G479" s="105"/>
      <c r="H479" s="104" t="s">
        <v>562</v>
      </c>
      <c r="I479" s="106"/>
      <c r="J479" s="107" t="s">
        <v>166</v>
      </c>
      <c r="K479" s="108"/>
      <c r="L479" s="102" t="s">
        <v>99</v>
      </c>
      <c r="M479" s="109"/>
      <c r="N479" s="102" t="s">
        <v>100</v>
      </c>
      <c r="O479" s="110"/>
      <c r="P479" s="111">
        <v>45062</v>
      </c>
      <c r="Q479" s="111">
        <v>45082</v>
      </c>
      <c r="R479" s="111">
        <v>45084</v>
      </c>
      <c r="S479" s="112"/>
      <c r="T479" s="113"/>
      <c r="U479" s="111">
        <v>45072</v>
      </c>
      <c r="V479" s="111">
        <v>45090</v>
      </c>
      <c r="W479" s="114"/>
      <c r="X479" s="115" t="s">
        <v>785</v>
      </c>
      <c r="Y479" s="102" t="s">
        <v>786</v>
      </c>
      <c r="Z479" s="102" t="s">
        <v>860</v>
      </c>
      <c r="AA479" s="116" t="str">
        <f t="shared" si="7"/>
        <v>REP</v>
      </c>
    </row>
    <row r="480" spans="2:27" ht="3.75" customHeight="1" x14ac:dyDescent="0.25">
      <c r="F480" s="119"/>
      <c r="AA480" s="57" t="str">
        <f t="shared" si="7"/>
        <v/>
      </c>
    </row>
    <row r="481" spans="2:27" s="101" customFormat="1" x14ac:dyDescent="0.25">
      <c r="B481" s="102" t="s">
        <v>559</v>
      </c>
      <c r="C481" s="103"/>
      <c r="D481" s="104" t="s">
        <v>560</v>
      </c>
      <c r="F481" s="104" t="s">
        <v>561</v>
      </c>
      <c r="G481" s="105"/>
      <c r="H481" s="104" t="s">
        <v>562</v>
      </c>
      <c r="I481" s="106"/>
      <c r="J481" s="107" t="s">
        <v>166</v>
      </c>
      <c r="K481" s="108"/>
      <c r="L481" s="102" t="s">
        <v>99</v>
      </c>
      <c r="M481" s="109"/>
      <c r="N481" s="102" t="s">
        <v>100</v>
      </c>
      <c r="O481" s="110"/>
      <c r="P481" s="111">
        <v>45062</v>
      </c>
      <c r="Q481" s="111">
        <v>45082</v>
      </c>
      <c r="R481" s="111">
        <v>45084</v>
      </c>
      <c r="S481" s="112"/>
      <c r="T481" s="113"/>
      <c r="U481" s="111">
        <v>45085</v>
      </c>
      <c r="V481" s="111">
        <v>45090</v>
      </c>
      <c r="W481" s="114"/>
      <c r="X481" s="115" t="s">
        <v>786</v>
      </c>
      <c r="Y481" s="102" t="s">
        <v>786</v>
      </c>
      <c r="Z481" s="102" t="s">
        <v>860</v>
      </c>
      <c r="AA481" s="116" t="str">
        <f t="shared" si="7"/>
        <v>Ambos</v>
      </c>
    </row>
    <row r="482" spans="2:27" ht="3.75" customHeight="1" x14ac:dyDescent="0.25">
      <c r="F482" s="119"/>
      <c r="AA482" s="57" t="str">
        <f t="shared" si="7"/>
        <v/>
      </c>
    </row>
    <row r="483" spans="2:27" s="101" customFormat="1" x14ac:dyDescent="0.25">
      <c r="B483" s="102" t="s">
        <v>563</v>
      </c>
      <c r="C483" s="103"/>
      <c r="D483" s="104" t="s">
        <v>564</v>
      </c>
      <c r="F483" s="104" t="s">
        <v>565</v>
      </c>
      <c r="G483" s="105"/>
      <c r="H483" s="104" t="s">
        <v>157</v>
      </c>
      <c r="I483" s="106"/>
      <c r="J483" s="107" t="s">
        <v>98</v>
      </c>
      <c r="K483" s="108"/>
      <c r="L483" s="102" t="s">
        <v>99</v>
      </c>
      <c r="M483" s="109"/>
      <c r="N483" s="102" t="s">
        <v>100</v>
      </c>
      <c r="O483" s="110"/>
      <c r="P483" s="111">
        <v>45072</v>
      </c>
      <c r="Q483" s="111">
        <v>45105</v>
      </c>
      <c r="R483" s="111">
        <v>45107</v>
      </c>
      <c r="S483" s="112"/>
      <c r="T483" s="113"/>
      <c r="U483" s="111">
        <v>45111</v>
      </c>
      <c r="V483" s="111">
        <v>45112</v>
      </c>
      <c r="W483" s="114"/>
      <c r="X483" s="115" t="s">
        <v>786</v>
      </c>
      <c r="Y483" s="102" t="s">
        <v>786</v>
      </c>
      <c r="Z483" s="102" t="s">
        <v>860</v>
      </c>
      <c r="AA483" s="116" t="str">
        <f t="shared" si="7"/>
        <v>Ambos</v>
      </c>
    </row>
    <row r="484" spans="2:27" ht="3.75" customHeight="1" x14ac:dyDescent="0.25">
      <c r="F484" s="119"/>
      <c r="AA484" s="57" t="str">
        <f t="shared" si="7"/>
        <v/>
      </c>
    </row>
    <row r="485" spans="2:27" x14ac:dyDescent="0.25">
      <c r="B485" s="48" t="s">
        <v>566</v>
      </c>
      <c r="C485" s="59"/>
      <c r="D485" s="49" t="s">
        <v>567</v>
      </c>
      <c r="F485" s="49" t="s">
        <v>568</v>
      </c>
      <c r="G485" s="82"/>
      <c r="H485" s="49" t="s">
        <v>97</v>
      </c>
      <c r="I485" s="83"/>
      <c r="J485" s="51" t="s">
        <v>166</v>
      </c>
      <c r="K485" s="84"/>
      <c r="L485" s="48" t="s">
        <v>99</v>
      </c>
      <c r="N485" s="48" t="s">
        <v>100</v>
      </c>
      <c r="O485" s="64"/>
      <c r="P485" s="54">
        <v>45061</v>
      </c>
      <c r="Q485" s="54">
        <v>45089</v>
      </c>
      <c r="R485" s="54">
        <v>45091</v>
      </c>
      <c r="S485" s="85"/>
      <c r="T485" s="86"/>
      <c r="U485" s="54">
        <v>45075</v>
      </c>
      <c r="V485" s="54">
        <v>45079</v>
      </c>
      <c r="W485" s="87"/>
      <c r="X485" s="88" t="s">
        <v>785</v>
      </c>
      <c r="Y485" s="48" t="s">
        <v>785</v>
      </c>
      <c r="Z485" s="48" t="s">
        <v>858</v>
      </c>
      <c r="AA485" s="57" t="str">
        <f t="shared" si="7"/>
        <v/>
      </c>
    </row>
    <row r="486" spans="2:27" ht="3.75" customHeight="1" x14ac:dyDescent="0.25">
      <c r="F486" s="119"/>
      <c r="AA486" s="57" t="str">
        <f t="shared" si="7"/>
        <v/>
      </c>
    </row>
    <row r="487" spans="2:27" x14ac:dyDescent="0.25">
      <c r="B487" s="48" t="s">
        <v>569</v>
      </c>
      <c r="C487" s="59"/>
      <c r="D487" s="49" t="s">
        <v>567</v>
      </c>
      <c r="F487" s="49" t="s">
        <v>568</v>
      </c>
      <c r="G487" s="82"/>
      <c r="H487" s="49" t="s">
        <v>97</v>
      </c>
      <c r="I487" s="83"/>
      <c r="J487" s="51" t="s">
        <v>166</v>
      </c>
      <c r="K487" s="84"/>
      <c r="L487" s="48" t="s">
        <v>99</v>
      </c>
      <c r="N487" s="48" t="s">
        <v>100</v>
      </c>
      <c r="O487" s="64"/>
      <c r="P487" s="54">
        <v>45061</v>
      </c>
      <c r="Q487" s="54">
        <v>45089</v>
      </c>
      <c r="R487" s="54">
        <v>45091</v>
      </c>
      <c r="S487" s="85"/>
      <c r="T487" s="86"/>
      <c r="U487" s="54">
        <v>45076</v>
      </c>
      <c r="V487" s="54">
        <v>45079</v>
      </c>
      <c r="W487" s="87"/>
      <c r="X487" s="88" t="s">
        <v>785</v>
      </c>
      <c r="Y487" s="48" t="s">
        <v>785</v>
      </c>
      <c r="Z487" s="48" t="s">
        <v>858</v>
      </c>
      <c r="AA487" s="57" t="str">
        <f t="shared" si="7"/>
        <v/>
      </c>
    </row>
    <row r="488" spans="2:27" ht="3.75" customHeight="1" x14ac:dyDescent="0.25">
      <c r="F488" s="119"/>
      <c r="AA488" s="57" t="str">
        <f t="shared" si="7"/>
        <v/>
      </c>
    </row>
    <row r="489" spans="2:27" x14ac:dyDescent="0.25">
      <c r="B489" s="48" t="s">
        <v>570</v>
      </c>
      <c r="C489" s="59"/>
      <c r="D489" s="49" t="s">
        <v>567</v>
      </c>
      <c r="F489" s="49" t="s">
        <v>571</v>
      </c>
      <c r="G489" s="82"/>
      <c r="H489" s="49" t="s">
        <v>97</v>
      </c>
      <c r="I489" s="83"/>
      <c r="J489" s="51" t="s">
        <v>166</v>
      </c>
      <c r="K489" s="84"/>
      <c r="L489" s="48" t="s">
        <v>99</v>
      </c>
      <c r="N489" s="48" t="s">
        <v>100</v>
      </c>
      <c r="O489" s="64"/>
      <c r="P489" s="54">
        <v>45061</v>
      </c>
      <c r="Q489" s="54">
        <v>45089</v>
      </c>
      <c r="R489" s="54">
        <v>45091</v>
      </c>
      <c r="S489" s="85"/>
      <c r="T489" s="86"/>
      <c r="U489" s="54">
        <v>45076</v>
      </c>
      <c r="V489" s="54">
        <v>45079</v>
      </c>
      <c r="W489" s="87"/>
      <c r="X489" s="88" t="s">
        <v>785</v>
      </c>
      <c r="Y489" s="48" t="s">
        <v>785</v>
      </c>
      <c r="Z489" s="48" t="s">
        <v>858</v>
      </c>
      <c r="AA489" s="57" t="str">
        <f t="shared" si="7"/>
        <v/>
      </c>
    </row>
    <row r="490" spans="2:27" ht="3.75" customHeight="1" x14ac:dyDescent="0.25">
      <c r="F490" s="119"/>
      <c r="AA490" s="57" t="str">
        <f t="shared" si="7"/>
        <v/>
      </c>
    </row>
    <row r="491" spans="2:27" x14ac:dyDescent="0.25">
      <c r="B491" s="48" t="s">
        <v>572</v>
      </c>
      <c r="C491" s="59"/>
      <c r="D491" s="49" t="s">
        <v>567</v>
      </c>
      <c r="F491" s="49" t="s">
        <v>573</v>
      </c>
      <c r="G491" s="82"/>
      <c r="H491" s="49" t="s">
        <v>97</v>
      </c>
      <c r="I491" s="83"/>
      <c r="J491" s="51" t="s">
        <v>166</v>
      </c>
      <c r="K491" s="84"/>
      <c r="L491" s="48" t="s">
        <v>99</v>
      </c>
      <c r="N491" s="48" t="s">
        <v>100</v>
      </c>
      <c r="O491" s="64"/>
      <c r="P491" s="54">
        <v>45061</v>
      </c>
      <c r="Q491" s="54">
        <v>45089</v>
      </c>
      <c r="R491" s="54">
        <v>45091</v>
      </c>
      <c r="S491" s="85"/>
      <c r="T491" s="86"/>
      <c r="U491" s="54">
        <v>45075</v>
      </c>
      <c r="V491" s="54">
        <v>45079</v>
      </c>
      <c r="W491" s="87"/>
      <c r="X491" s="88" t="s">
        <v>785</v>
      </c>
      <c r="Y491" s="48" t="s">
        <v>785</v>
      </c>
      <c r="Z491" s="48" t="s">
        <v>858</v>
      </c>
      <c r="AA491" s="57" t="str">
        <f t="shared" si="7"/>
        <v/>
      </c>
    </row>
    <row r="492" spans="2:27" ht="3.75" customHeight="1" x14ac:dyDescent="0.25">
      <c r="F492" s="119"/>
      <c r="AA492" s="57" t="str">
        <f t="shared" si="7"/>
        <v/>
      </c>
    </row>
    <row r="493" spans="2:27" x14ac:dyDescent="0.25">
      <c r="B493" s="48" t="s">
        <v>574</v>
      </c>
      <c r="C493" s="59"/>
      <c r="D493" s="49" t="s">
        <v>567</v>
      </c>
      <c r="F493" s="49" t="s">
        <v>575</v>
      </c>
      <c r="G493" s="82"/>
      <c r="H493" s="49" t="s">
        <v>97</v>
      </c>
      <c r="I493" s="83"/>
      <c r="J493" s="51" t="s">
        <v>166</v>
      </c>
      <c r="K493" s="84"/>
      <c r="L493" s="48" t="s">
        <v>99</v>
      </c>
      <c r="N493" s="48" t="s">
        <v>100</v>
      </c>
      <c r="O493" s="64"/>
      <c r="P493" s="54">
        <v>45061</v>
      </c>
      <c r="Q493" s="54">
        <v>45089</v>
      </c>
      <c r="R493" s="54">
        <v>45091</v>
      </c>
      <c r="S493" s="85"/>
      <c r="T493" s="86"/>
      <c r="U493" s="54">
        <v>45076</v>
      </c>
      <c r="V493" s="54">
        <v>45079</v>
      </c>
      <c r="W493" s="87"/>
      <c r="X493" s="88" t="s">
        <v>785</v>
      </c>
      <c r="Y493" s="48" t="s">
        <v>785</v>
      </c>
      <c r="Z493" s="48" t="s">
        <v>858</v>
      </c>
      <c r="AA493" s="57" t="str">
        <f t="shared" si="7"/>
        <v/>
      </c>
    </row>
    <row r="494" spans="2:27" ht="3.75" customHeight="1" x14ac:dyDescent="0.25">
      <c r="F494" s="119"/>
      <c r="AA494" s="57" t="str">
        <f t="shared" si="7"/>
        <v/>
      </c>
    </row>
    <row r="495" spans="2:27" x14ac:dyDescent="0.25">
      <c r="B495" s="48" t="s">
        <v>576</v>
      </c>
      <c r="C495" s="59"/>
      <c r="D495" s="49" t="s">
        <v>567</v>
      </c>
      <c r="F495" s="49" t="s">
        <v>575</v>
      </c>
      <c r="G495" s="82"/>
      <c r="H495" s="49" t="s">
        <v>97</v>
      </c>
      <c r="I495" s="83"/>
      <c r="J495" s="51" t="s">
        <v>166</v>
      </c>
      <c r="K495" s="84"/>
      <c r="L495" s="48" t="s">
        <v>99</v>
      </c>
      <c r="N495" s="48" t="s">
        <v>100</v>
      </c>
      <c r="O495" s="64"/>
      <c r="P495" s="54">
        <v>45061</v>
      </c>
      <c r="Q495" s="54">
        <v>45089</v>
      </c>
      <c r="R495" s="54">
        <v>45091</v>
      </c>
      <c r="S495" s="85"/>
      <c r="T495" s="86"/>
      <c r="U495" s="54">
        <v>45079</v>
      </c>
      <c r="V495" s="54">
        <v>45079</v>
      </c>
      <c r="W495" s="87"/>
      <c r="X495" s="88" t="s">
        <v>785</v>
      </c>
      <c r="Y495" s="48" t="s">
        <v>785</v>
      </c>
      <c r="Z495" s="48" t="s">
        <v>858</v>
      </c>
      <c r="AA495" s="57" t="str">
        <f t="shared" si="7"/>
        <v/>
      </c>
    </row>
    <row r="496" spans="2:27" ht="3.75" customHeight="1" x14ac:dyDescent="0.25">
      <c r="F496" s="119"/>
      <c r="AA496" s="57" t="str">
        <f t="shared" si="7"/>
        <v/>
      </c>
    </row>
    <row r="497" spans="2:27" x14ac:dyDescent="0.25">
      <c r="B497" s="48" t="s">
        <v>577</v>
      </c>
      <c r="C497" s="59"/>
      <c r="D497" s="49" t="s">
        <v>567</v>
      </c>
      <c r="F497" s="49" t="s">
        <v>578</v>
      </c>
      <c r="G497" s="82"/>
      <c r="H497" s="49" t="s">
        <v>97</v>
      </c>
      <c r="I497" s="83"/>
      <c r="J497" s="51" t="s">
        <v>166</v>
      </c>
      <c r="K497" s="84"/>
      <c r="L497" s="48" t="s">
        <v>99</v>
      </c>
      <c r="N497" s="48" t="s">
        <v>100</v>
      </c>
      <c r="O497" s="64"/>
      <c r="P497" s="54">
        <v>45061</v>
      </c>
      <c r="Q497" s="54">
        <v>45089</v>
      </c>
      <c r="R497" s="54">
        <v>45091</v>
      </c>
      <c r="S497" s="85"/>
      <c r="T497" s="86"/>
      <c r="U497" s="54">
        <v>45075</v>
      </c>
      <c r="V497" s="54">
        <v>45079</v>
      </c>
      <c r="W497" s="87"/>
      <c r="X497" s="88" t="s">
        <v>785</v>
      </c>
      <c r="Y497" s="48" t="s">
        <v>785</v>
      </c>
      <c r="Z497" s="48" t="s">
        <v>858</v>
      </c>
      <c r="AA497" s="57" t="str">
        <f t="shared" si="7"/>
        <v/>
      </c>
    </row>
    <row r="498" spans="2:27" ht="3.75" customHeight="1" x14ac:dyDescent="0.25">
      <c r="F498" s="119"/>
      <c r="AA498" s="57" t="str">
        <f t="shared" si="7"/>
        <v/>
      </c>
    </row>
    <row r="499" spans="2:27" x14ac:dyDescent="0.25">
      <c r="B499" s="48" t="s">
        <v>579</v>
      </c>
      <c r="C499" s="59"/>
      <c r="D499" s="49" t="s">
        <v>567</v>
      </c>
      <c r="F499" s="49" t="s">
        <v>578</v>
      </c>
      <c r="G499" s="82"/>
      <c r="H499" s="49" t="s">
        <v>97</v>
      </c>
      <c r="I499" s="83"/>
      <c r="J499" s="51" t="s">
        <v>166</v>
      </c>
      <c r="K499" s="84"/>
      <c r="L499" s="48" t="s">
        <v>99</v>
      </c>
      <c r="N499" s="48" t="s">
        <v>100</v>
      </c>
      <c r="O499" s="64"/>
      <c r="P499" s="54">
        <v>45061</v>
      </c>
      <c r="Q499" s="54">
        <v>45089</v>
      </c>
      <c r="R499" s="54">
        <v>45091</v>
      </c>
      <c r="S499" s="85"/>
      <c r="T499" s="86"/>
      <c r="U499" s="54">
        <v>45075</v>
      </c>
      <c r="V499" s="54">
        <v>45079</v>
      </c>
      <c r="W499" s="87"/>
      <c r="X499" s="88" t="s">
        <v>785</v>
      </c>
      <c r="Y499" s="48" t="s">
        <v>785</v>
      </c>
      <c r="Z499" s="48" t="s">
        <v>858</v>
      </c>
      <c r="AA499" s="57" t="str">
        <f t="shared" si="7"/>
        <v/>
      </c>
    </row>
    <row r="500" spans="2:27" ht="3.75" customHeight="1" x14ac:dyDescent="0.25">
      <c r="F500" s="119"/>
      <c r="AA500" s="57" t="str">
        <f t="shared" si="7"/>
        <v/>
      </c>
    </row>
    <row r="501" spans="2:27" x14ac:dyDescent="0.25">
      <c r="B501" s="48" t="s">
        <v>580</v>
      </c>
      <c r="C501" s="59"/>
      <c r="D501" s="49" t="s">
        <v>567</v>
      </c>
      <c r="F501" s="49" t="s">
        <v>568</v>
      </c>
      <c r="G501" s="82"/>
      <c r="H501" s="49" t="s">
        <v>97</v>
      </c>
      <c r="I501" s="83"/>
      <c r="J501" s="51" t="s">
        <v>166</v>
      </c>
      <c r="K501" s="84"/>
      <c r="L501" s="48" t="s">
        <v>99</v>
      </c>
      <c r="N501" s="48" t="s">
        <v>100</v>
      </c>
      <c r="O501" s="64"/>
      <c r="P501" s="54">
        <v>45061</v>
      </c>
      <c r="Q501" s="54">
        <v>45089</v>
      </c>
      <c r="R501" s="54">
        <v>45091</v>
      </c>
      <c r="S501" s="85"/>
      <c r="T501" s="86"/>
      <c r="U501" s="54">
        <v>45075</v>
      </c>
      <c r="V501" s="54">
        <v>45079</v>
      </c>
      <c r="W501" s="87"/>
      <c r="X501" s="88" t="s">
        <v>785</v>
      </c>
      <c r="Y501" s="48" t="s">
        <v>785</v>
      </c>
      <c r="Z501" s="48" t="s">
        <v>858</v>
      </c>
      <c r="AA501" s="57" t="str">
        <f t="shared" si="7"/>
        <v/>
      </c>
    </row>
    <row r="502" spans="2:27" ht="3.75" customHeight="1" x14ac:dyDescent="0.25">
      <c r="F502" s="119"/>
      <c r="AA502" s="57" t="str">
        <f t="shared" si="7"/>
        <v/>
      </c>
    </row>
    <row r="503" spans="2:27" x14ac:dyDescent="0.25">
      <c r="B503" s="48" t="s">
        <v>581</v>
      </c>
      <c r="C503" s="59"/>
      <c r="D503" s="49" t="s">
        <v>567</v>
      </c>
      <c r="F503" s="49" t="s">
        <v>568</v>
      </c>
      <c r="G503" s="82"/>
      <c r="H503" s="49" t="s">
        <v>97</v>
      </c>
      <c r="I503" s="83"/>
      <c r="J503" s="51" t="s">
        <v>166</v>
      </c>
      <c r="K503" s="84"/>
      <c r="L503" s="48" t="s">
        <v>99</v>
      </c>
      <c r="N503" s="48" t="s">
        <v>100</v>
      </c>
      <c r="O503" s="64"/>
      <c r="P503" s="54">
        <v>45061</v>
      </c>
      <c r="Q503" s="54">
        <v>45089</v>
      </c>
      <c r="R503" s="54">
        <v>45091</v>
      </c>
      <c r="S503" s="85"/>
      <c r="T503" s="86"/>
      <c r="U503" s="54">
        <v>45076</v>
      </c>
      <c r="V503" s="54">
        <v>45079</v>
      </c>
      <c r="W503" s="87"/>
      <c r="X503" s="88" t="s">
        <v>785</v>
      </c>
      <c r="Y503" s="48" t="s">
        <v>785</v>
      </c>
      <c r="Z503" s="48" t="s">
        <v>858</v>
      </c>
      <c r="AA503" s="57" t="str">
        <f t="shared" si="7"/>
        <v/>
      </c>
    </row>
    <row r="504" spans="2:27" ht="3.75" customHeight="1" x14ac:dyDescent="0.25">
      <c r="F504" s="119"/>
      <c r="AA504" s="57" t="str">
        <f t="shared" si="7"/>
        <v/>
      </c>
    </row>
    <row r="505" spans="2:27" s="101" customFormat="1" x14ac:dyDescent="0.25">
      <c r="B505" s="102" t="s">
        <v>582</v>
      </c>
      <c r="C505" s="103"/>
      <c r="D505" s="104" t="s">
        <v>265</v>
      </c>
      <c r="F505" s="104" t="s">
        <v>583</v>
      </c>
      <c r="G505" s="105"/>
      <c r="H505" s="104" t="s">
        <v>180</v>
      </c>
      <c r="I505" s="106"/>
      <c r="J505" s="107" t="s">
        <v>105</v>
      </c>
      <c r="K505" s="108"/>
      <c r="L505" s="102" t="s">
        <v>99</v>
      </c>
      <c r="M505" s="109"/>
      <c r="N505" s="102" t="s">
        <v>100</v>
      </c>
      <c r="O505" s="110"/>
      <c r="P505" s="111">
        <v>45075</v>
      </c>
      <c r="Q505" s="111">
        <v>45105</v>
      </c>
      <c r="R505" s="111">
        <v>45107</v>
      </c>
      <c r="S505" s="112"/>
      <c r="T505" s="113"/>
      <c r="U505" s="111">
        <v>45105</v>
      </c>
      <c r="V505" s="111">
        <v>45112</v>
      </c>
      <c r="W505" s="114"/>
      <c r="X505" s="115" t="s">
        <v>785</v>
      </c>
      <c r="Y505" s="102" t="s">
        <v>786</v>
      </c>
      <c r="Z505" s="102" t="s">
        <v>859</v>
      </c>
      <c r="AA505" s="116" t="str">
        <f t="shared" si="7"/>
        <v>REP</v>
      </c>
    </row>
    <row r="506" spans="2:27" ht="3.75" customHeight="1" x14ac:dyDescent="0.25">
      <c r="F506" s="119"/>
      <c r="AA506" s="57" t="str">
        <f t="shared" si="7"/>
        <v/>
      </c>
    </row>
    <row r="507" spans="2:27" s="101" customFormat="1" x14ac:dyDescent="0.25">
      <c r="B507" s="102" t="s">
        <v>582</v>
      </c>
      <c r="C507" s="103"/>
      <c r="D507" s="104" t="s">
        <v>265</v>
      </c>
      <c r="F507" s="104" t="s">
        <v>583</v>
      </c>
      <c r="G507" s="105"/>
      <c r="H507" s="104" t="s">
        <v>180</v>
      </c>
      <c r="I507" s="106"/>
      <c r="J507" s="107" t="s">
        <v>105</v>
      </c>
      <c r="K507" s="108"/>
      <c r="L507" s="102" t="s">
        <v>99</v>
      </c>
      <c r="M507" s="109"/>
      <c r="N507" s="102" t="s">
        <v>100</v>
      </c>
      <c r="O507" s="110"/>
      <c r="P507" s="111">
        <v>45075</v>
      </c>
      <c r="Q507" s="111">
        <v>45105</v>
      </c>
      <c r="R507" s="111">
        <v>45107</v>
      </c>
      <c r="S507" s="112"/>
      <c r="T507" s="113"/>
      <c r="U507" s="111">
        <v>45103</v>
      </c>
      <c r="V507" s="111">
        <v>45112</v>
      </c>
      <c r="W507" s="114"/>
      <c r="X507" s="115" t="s">
        <v>785</v>
      </c>
      <c r="Y507" s="102" t="s">
        <v>786</v>
      </c>
      <c r="Z507" s="102" t="s">
        <v>859</v>
      </c>
      <c r="AA507" s="116" t="str">
        <f t="shared" si="7"/>
        <v>REP</v>
      </c>
    </row>
    <row r="508" spans="2:27" ht="3.75" customHeight="1" x14ac:dyDescent="0.25">
      <c r="F508" s="119"/>
      <c r="AA508" s="57" t="str">
        <f t="shared" si="7"/>
        <v/>
      </c>
    </row>
    <row r="509" spans="2:27" s="101" customFormat="1" x14ac:dyDescent="0.25">
      <c r="B509" s="102" t="s">
        <v>584</v>
      </c>
      <c r="C509" s="103"/>
      <c r="D509" s="104" t="s">
        <v>585</v>
      </c>
      <c r="F509" s="104" t="s">
        <v>586</v>
      </c>
      <c r="G509" s="105"/>
      <c r="H509" s="104" t="s">
        <v>587</v>
      </c>
      <c r="I509" s="106"/>
      <c r="J509" s="107" t="s">
        <v>166</v>
      </c>
      <c r="K509" s="108"/>
      <c r="L509" s="102" t="s">
        <v>99</v>
      </c>
      <c r="M509" s="109"/>
      <c r="N509" s="102" t="s">
        <v>239</v>
      </c>
      <c r="O509" s="110"/>
      <c r="P509" s="111">
        <v>45068</v>
      </c>
      <c r="Q509" s="111">
        <v>45089</v>
      </c>
      <c r="R509" s="111">
        <v>45091</v>
      </c>
      <c r="S509" s="112"/>
      <c r="T509" s="113"/>
      <c r="U509" s="111">
        <v>45096</v>
      </c>
      <c r="V509" s="111">
        <v>45096</v>
      </c>
      <c r="W509" s="114"/>
      <c r="X509" s="115" t="s">
        <v>786</v>
      </c>
      <c r="Y509" s="102" t="s">
        <v>786</v>
      </c>
      <c r="Z509" s="102" t="s">
        <v>859</v>
      </c>
      <c r="AA509" s="116" t="str">
        <f t="shared" si="7"/>
        <v>Ambos</v>
      </c>
    </row>
    <row r="510" spans="2:27" s="101" customFormat="1" x14ac:dyDescent="0.25">
      <c r="B510" s="102" t="s">
        <v>588</v>
      </c>
      <c r="C510" s="103"/>
      <c r="D510" s="104" t="s">
        <v>589</v>
      </c>
      <c r="F510" s="104" t="s">
        <v>590</v>
      </c>
      <c r="G510" s="105"/>
      <c r="H510" s="104" t="s">
        <v>591</v>
      </c>
      <c r="I510" s="106"/>
      <c r="J510" s="107" t="s">
        <v>98</v>
      </c>
      <c r="K510" s="108"/>
      <c r="L510" s="102" t="s">
        <v>99</v>
      </c>
      <c r="M510" s="109"/>
      <c r="N510" s="102" t="s">
        <v>100</v>
      </c>
      <c r="O510" s="110"/>
      <c r="P510" s="111">
        <v>45070</v>
      </c>
      <c r="Q510" s="111">
        <v>45091</v>
      </c>
      <c r="R510" s="111">
        <v>45093</v>
      </c>
      <c r="S510" s="112"/>
      <c r="T510" s="113"/>
      <c r="U510" s="111">
        <v>45082</v>
      </c>
      <c r="V510" s="111">
        <v>45097</v>
      </c>
      <c r="W510" s="114"/>
      <c r="X510" s="115" t="s">
        <v>785</v>
      </c>
      <c r="Y510" s="102" t="s">
        <v>786</v>
      </c>
      <c r="Z510" s="102" t="s">
        <v>860</v>
      </c>
      <c r="AA510" s="116" t="str">
        <f t="shared" si="7"/>
        <v>REP</v>
      </c>
    </row>
    <row r="511" spans="2:27" ht="3.75" customHeight="1" x14ac:dyDescent="0.25">
      <c r="F511" s="119"/>
      <c r="AA511" s="57" t="str">
        <f t="shared" si="7"/>
        <v/>
      </c>
    </row>
    <row r="512" spans="2:27" s="101" customFormat="1" x14ac:dyDescent="0.25">
      <c r="B512" s="102" t="s">
        <v>592</v>
      </c>
      <c r="C512" s="103"/>
      <c r="D512" s="104" t="s">
        <v>589</v>
      </c>
      <c r="F512" s="104" t="s">
        <v>590</v>
      </c>
      <c r="G512" s="105"/>
      <c r="H512" s="104" t="s">
        <v>591</v>
      </c>
      <c r="I512" s="106"/>
      <c r="J512" s="107" t="s">
        <v>98</v>
      </c>
      <c r="K512" s="108"/>
      <c r="L512" s="102" t="s">
        <v>99</v>
      </c>
      <c r="M512" s="109"/>
      <c r="N512" s="102" t="s">
        <v>100</v>
      </c>
      <c r="O512" s="110"/>
      <c r="P512" s="111">
        <v>45070</v>
      </c>
      <c r="Q512" s="111">
        <v>45091</v>
      </c>
      <c r="R512" s="111">
        <v>45093</v>
      </c>
      <c r="S512" s="112"/>
      <c r="T512" s="113"/>
      <c r="U512" s="111">
        <v>45082</v>
      </c>
      <c r="V512" s="111">
        <v>45097</v>
      </c>
      <c r="W512" s="114"/>
      <c r="X512" s="115" t="s">
        <v>785</v>
      </c>
      <c r="Y512" s="102" t="s">
        <v>786</v>
      </c>
      <c r="Z512" s="102" t="s">
        <v>860</v>
      </c>
      <c r="AA512" s="116" t="str">
        <f t="shared" si="7"/>
        <v>REP</v>
      </c>
    </row>
    <row r="513" spans="2:27" ht="3.75" customHeight="1" x14ac:dyDescent="0.25">
      <c r="F513" s="119"/>
      <c r="AA513" s="57" t="str">
        <f t="shared" si="7"/>
        <v/>
      </c>
    </row>
    <row r="514" spans="2:27" x14ac:dyDescent="0.25">
      <c r="B514" s="48" t="s">
        <v>593</v>
      </c>
      <c r="C514" s="59"/>
      <c r="D514" s="49" t="s">
        <v>594</v>
      </c>
      <c r="F514" s="49" t="s">
        <v>595</v>
      </c>
      <c r="G514" s="82"/>
      <c r="H514" s="49" t="s">
        <v>596</v>
      </c>
      <c r="I514" s="83"/>
      <c r="J514" s="51" t="s">
        <v>105</v>
      </c>
      <c r="K514" s="84"/>
      <c r="L514" s="48" t="s">
        <v>99</v>
      </c>
      <c r="N514" s="48" t="s">
        <v>100</v>
      </c>
      <c r="O514" s="64"/>
      <c r="P514" s="54">
        <v>45068</v>
      </c>
      <c r="Q514" s="54">
        <v>45096</v>
      </c>
      <c r="R514" s="54">
        <v>45098</v>
      </c>
      <c r="S514" s="85"/>
      <c r="T514" s="86"/>
      <c r="U514" s="54">
        <v>45098</v>
      </c>
      <c r="V514" s="54">
        <v>45100</v>
      </c>
      <c r="W514" s="87"/>
      <c r="X514" s="88" t="s">
        <v>786</v>
      </c>
      <c r="Y514" s="48" t="s">
        <v>785</v>
      </c>
      <c r="Z514" s="48" t="s">
        <v>859</v>
      </c>
      <c r="AA514" s="57" t="str">
        <f t="shared" si="7"/>
        <v>Técnico</v>
      </c>
    </row>
    <row r="515" spans="2:27" ht="3.75" customHeight="1" x14ac:dyDescent="0.25">
      <c r="F515" s="119"/>
      <c r="AA515" s="57" t="str">
        <f t="shared" si="7"/>
        <v/>
      </c>
    </row>
    <row r="516" spans="2:27" x14ac:dyDescent="0.25">
      <c r="B516" s="48" t="s">
        <v>597</v>
      </c>
      <c r="C516" s="59"/>
      <c r="D516" s="49" t="s">
        <v>598</v>
      </c>
      <c r="F516" s="49" t="s">
        <v>595</v>
      </c>
      <c r="G516" s="82"/>
      <c r="H516" s="49" t="s">
        <v>599</v>
      </c>
      <c r="I516" s="83"/>
      <c r="J516" s="51" t="s">
        <v>105</v>
      </c>
      <c r="K516" s="84"/>
      <c r="L516" s="48" t="s">
        <v>99</v>
      </c>
      <c r="N516" s="48" t="s">
        <v>100</v>
      </c>
      <c r="O516" s="64"/>
      <c r="P516" s="54">
        <v>45068</v>
      </c>
      <c r="Q516" s="54">
        <v>45096</v>
      </c>
      <c r="R516" s="54">
        <v>45098</v>
      </c>
      <c r="S516" s="85"/>
      <c r="T516" s="86"/>
      <c r="U516" s="54">
        <v>45098</v>
      </c>
      <c r="V516" s="54">
        <v>45100</v>
      </c>
      <c r="W516" s="87"/>
      <c r="X516" s="88" t="s">
        <v>786</v>
      </c>
      <c r="Y516" s="48" t="s">
        <v>785</v>
      </c>
      <c r="Z516" s="48" t="s">
        <v>859</v>
      </c>
      <c r="AA516" s="57" t="str">
        <f t="shared" si="7"/>
        <v>Técnico</v>
      </c>
    </row>
    <row r="517" spans="2:27" ht="3.75" customHeight="1" x14ac:dyDescent="0.25">
      <c r="F517" s="119"/>
      <c r="AA517" s="57" t="str">
        <f t="shared" si="7"/>
        <v/>
      </c>
    </row>
    <row r="518" spans="2:27" x14ac:dyDescent="0.25">
      <c r="B518" s="48" t="s">
        <v>600</v>
      </c>
      <c r="C518" s="59"/>
      <c r="D518" s="49" t="s">
        <v>598</v>
      </c>
      <c r="F518" s="49" t="s">
        <v>595</v>
      </c>
      <c r="G518" s="82"/>
      <c r="H518" s="49" t="s">
        <v>596</v>
      </c>
      <c r="I518" s="83"/>
      <c r="J518" s="51" t="s">
        <v>105</v>
      </c>
      <c r="K518" s="84"/>
      <c r="L518" s="48" t="s">
        <v>99</v>
      </c>
      <c r="N518" s="48" t="s">
        <v>100</v>
      </c>
      <c r="O518" s="64"/>
      <c r="P518" s="54">
        <v>45068</v>
      </c>
      <c r="Q518" s="54">
        <v>45096</v>
      </c>
      <c r="R518" s="54">
        <v>45098</v>
      </c>
      <c r="S518" s="85"/>
      <c r="T518" s="86"/>
      <c r="U518" s="54">
        <v>45098</v>
      </c>
      <c r="V518" s="54">
        <v>45100</v>
      </c>
      <c r="W518" s="87"/>
      <c r="X518" s="88" t="s">
        <v>786</v>
      </c>
      <c r="Y518" s="48" t="s">
        <v>785</v>
      </c>
      <c r="Z518" s="48" t="s">
        <v>859</v>
      </c>
      <c r="AA518" s="57" t="str">
        <f t="shared" si="7"/>
        <v>Técnico</v>
      </c>
    </row>
    <row r="519" spans="2:27" ht="3.75" customHeight="1" x14ac:dyDescent="0.25">
      <c r="F519" s="119"/>
      <c r="AA519" s="57" t="str">
        <f t="shared" si="7"/>
        <v/>
      </c>
    </row>
    <row r="520" spans="2:27" x14ac:dyDescent="0.25">
      <c r="B520" s="48" t="s">
        <v>601</v>
      </c>
      <c r="C520" s="59"/>
      <c r="D520" s="49" t="s">
        <v>602</v>
      </c>
      <c r="F520" s="49" t="s">
        <v>595</v>
      </c>
      <c r="G520" s="82"/>
      <c r="H520" s="49" t="s">
        <v>599</v>
      </c>
      <c r="I520" s="83"/>
      <c r="J520" s="51" t="s">
        <v>105</v>
      </c>
      <c r="K520" s="84"/>
      <c r="L520" s="48" t="s">
        <v>99</v>
      </c>
      <c r="N520" s="48" t="s">
        <v>100</v>
      </c>
      <c r="O520" s="64"/>
      <c r="P520" s="54">
        <v>45068</v>
      </c>
      <c r="Q520" s="54">
        <v>45096</v>
      </c>
      <c r="R520" s="54">
        <v>45098</v>
      </c>
      <c r="S520" s="85"/>
      <c r="T520" s="86"/>
      <c r="U520" s="54">
        <v>45099</v>
      </c>
      <c r="V520" s="54">
        <v>45100</v>
      </c>
      <c r="W520" s="87"/>
      <c r="X520" s="88" t="s">
        <v>786</v>
      </c>
      <c r="Y520" s="48" t="s">
        <v>785</v>
      </c>
      <c r="Z520" s="48" t="s">
        <v>859</v>
      </c>
      <c r="AA520" s="57" t="str">
        <f t="shared" si="7"/>
        <v>Técnico</v>
      </c>
    </row>
    <row r="521" spans="2:27" ht="3.75" customHeight="1" x14ac:dyDescent="0.25">
      <c r="F521" s="119"/>
      <c r="AA521" s="57" t="str">
        <f t="shared" si="7"/>
        <v/>
      </c>
    </row>
    <row r="522" spans="2:27" x14ac:dyDescent="0.25">
      <c r="B522" s="48" t="s">
        <v>603</v>
      </c>
      <c r="C522" s="59"/>
      <c r="D522" s="49" t="s">
        <v>604</v>
      </c>
      <c r="F522" s="49" t="s">
        <v>595</v>
      </c>
      <c r="G522" s="82"/>
      <c r="H522" s="49" t="s">
        <v>596</v>
      </c>
      <c r="I522" s="83"/>
      <c r="J522" s="51" t="s">
        <v>105</v>
      </c>
      <c r="K522" s="84"/>
      <c r="L522" s="48" t="s">
        <v>99</v>
      </c>
      <c r="N522" s="48" t="s">
        <v>100</v>
      </c>
      <c r="O522" s="64"/>
      <c r="P522" s="54">
        <v>45068</v>
      </c>
      <c r="Q522" s="54">
        <v>45096</v>
      </c>
      <c r="R522" s="54">
        <v>45098</v>
      </c>
      <c r="S522" s="85"/>
      <c r="T522" s="86"/>
      <c r="U522" s="54">
        <v>45099</v>
      </c>
      <c r="V522" s="54">
        <v>45100</v>
      </c>
      <c r="W522" s="87"/>
      <c r="X522" s="88" t="s">
        <v>786</v>
      </c>
      <c r="Y522" s="48" t="s">
        <v>785</v>
      </c>
      <c r="Z522" s="48" t="s">
        <v>859</v>
      </c>
      <c r="AA522" s="57" t="str">
        <f t="shared" si="7"/>
        <v>Técnico</v>
      </c>
    </row>
    <row r="523" spans="2:27" ht="3.75" customHeight="1" x14ac:dyDescent="0.25">
      <c r="F523" s="119"/>
      <c r="AA523" s="57" t="str">
        <f t="shared" si="7"/>
        <v/>
      </c>
    </row>
    <row r="524" spans="2:27" x14ac:dyDescent="0.25">
      <c r="B524" s="48" t="s">
        <v>605</v>
      </c>
      <c r="C524" s="59"/>
      <c r="D524" s="49" t="s">
        <v>598</v>
      </c>
      <c r="F524" s="49" t="s">
        <v>595</v>
      </c>
      <c r="G524" s="82"/>
      <c r="H524" s="49" t="s">
        <v>599</v>
      </c>
      <c r="I524" s="83"/>
      <c r="J524" s="51" t="s">
        <v>105</v>
      </c>
      <c r="K524" s="84"/>
      <c r="L524" s="48" t="s">
        <v>99</v>
      </c>
      <c r="N524" s="48" t="s">
        <v>100</v>
      </c>
      <c r="O524" s="64"/>
      <c r="P524" s="54">
        <v>45068</v>
      </c>
      <c r="Q524" s="54">
        <v>45096</v>
      </c>
      <c r="R524" s="54">
        <v>45098</v>
      </c>
      <c r="S524" s="85"/>
      <c r="T524" s="86"/>
      <c r="U524" s="54">
        <v>45099</v>
      </c>
      <c r="V524" s="54">
        <v>45100</v>
      </c>
      <c r="W524" s="87"/>
      <c r="X524" s="88" t="s">
        <v>786</v>
      </c>
      <c r="Y524" s="48" t="s">
        <v>785</v>
      </c>
      <c r="Z524" s="48" t="s">
        <v>859</v>
      </c>
      <c r="AA524" s="57" t="str">
        <f t="shared" ref="AA524:AA587" si="8">IFERROR(
IF(AND(X524="Não",Y524="Sim"),"REP",
IF(AND(X524="Sim",Y524="Não"),"Técnico",
IF(AND(X524="Sim",Y524="Sim"),"Ambos",""))),
"")</f>
        <v>Técnico</v>
      </c>
    </row>
    <row r="525" spans="2:27" ht="3.75" customHeight="1" x14ac:dyDescent="0.25">
      <c r="F525" s="119"/>
      <c r="AA525" s="57" t="str">
        <f t="shared" si="8"/>
        <v/>
      </c>
    </row>
    <row r="526" spans="2:27" x14ac:dyDescent="0.25">
      <c r="B526" s="48" t="s">
        <v>606</v>
      </c>
      <c r="C526" s="59"/>
      <c r="D526" s="49" t="s">
        <v>607</v>
      </c>
      <c r="F526" s="49" t="s">
        <v>595</v>
      </c>
      <c r="G526" s="82"/>
      <c r="H526" s="49" t="s">
        <v>599</v>
      </c>
      <c r="I526" s="83"/>
      <c r="J526" s="51" t="s">
        <v>105</v>
      </c>
      <c r="K526" s="84"/>
      <c r="L526" s="48" t="s">
        <v>99</v>
      </c>
      <c r="N526" s="48" t="s">
        <v>100</v>
      </c>
      <c r="O526" s="64"/>
      <c r="P526" s="54">
        <v>45068</v>
      </c>
      <c r="Q526" s="54">
        <v>45096</v>
      </c>
      <c r="R526" s="54">
        <v>45098</v>
      </c>
      <c r="S526" s="85"/>
      <c r="T526" s="86"/>
      <c r="U526" s="54">
        <v>45098</v>
      </c>
      <c r="V526" s="54">
        <v>45100</v>
      </c>
      <c r="W526" s="87"/>
      <c r="X526" s="88" t="s">
        <v>786</v>
      </c>
      <c r="Y526" s="48" t="s">
        <v>785</v>
      </c>
      <c r="Z526" s="48" t="s">
        <v>859</v>
      </c>
      <c r="AA526" s="57" t="str">
        <f t="shared" si="8"/>
        <v>Técnico</v>
      </c>
    </row>
    <row r="527" spans="2:27" ht="3.75" customHeight="1" x14ac:dyDescent="0.25">
      <c r="F527" s="119"/>
      <c r="AA527" s="57" t="str">
        <f t="shared" si="8"/>
        <v/>
      </c>
    </row>
    <row r="528" spans="2:27" x14ac:dyDescent="0.25">
      <c r="B528" s="48" t="s">
        <v>608</v>
      </c>
      <c r="C528" s="59"/>
      <c r="D528" s="49" t="s">
        <v>609</v>
      </c>
      <c r="F528" s="49" t="s">
        <v>595</v>
      </c>
      <c r="G528" s="82"/>
      <c r="H528" s="49" t="s">
        <v>599</v>
      </c>
      <c r="I528" s="83"/>
      <c r="J528" s="51" t="s">
        <v>105</v>
      </c>
      <c r="K528" s="84"/>
      <c r="L528" s="48" t="s">
        <v>99</v>
      </c>
      <c r="N528" s="48" t="s">
        <v>100</v>
      </c>
      <c r="O528" s="64"/>
      <c r="P528" s="54">
        <v>45068</v>
      </c>
      <c r="Q528" s="54">
        <v>45096</v>
      </c>
      <c r="R528" s="54">
        <v>45098</v>
      </c>
      <c r="S528" s="85"/>
      <c r="T528" s="86"/>
      <c r="U528" s="54">
        <v>45098</v>
      </c>
      <c r="V528" s="54">
        <v>45100</v>
      </c>
      <c r="W528" s="87"/>
      <c r="X528" s="88" t="s">
        <v>786</v>
      </c>
      <c r="Y528" s="48" t="s">
        <v>785</v>
      </c>
      <c r="Z528" s="48" t="s">
        <v>859</v>
      </c>
      <c r="AA528" s="57" t="str">
        <f t="shared" si="8"/>
        <v>Técnico</v>
      </c>
    </row>
    <row r="529" spans="2:27" ht="3.75" customHeight="1" x14ac:dyDescent="0.25">
      <c r="F529" s="119"/>
      <c r="AA529" s="57" t="str">
        <f t="shared" si="8"/>
        <v/>
      </c>
    </row>
    <row r="530" spans="2:27" x14ac:dyDescent="0.25">
      <c r="B530" s="48" t="s">
        <v>610</v>
      </c>
      <c r="C530" s="59"/>
      <c r="D530" s="49" t="s">
        <v>611</v>
      </c>
      <c r="F530" s="49" t="s">
        <v>595</v>
      </c>
      <c r="G530" s="82"/>
      <c r="H530" s="49" t="s">
        <v>599</v>
      </c>
      <c r="I530" s="83"/>
      <c r="J530" s="51" t="s">
        <v>105</v>
      </c>
      <c r="K530" s="84"/>
      <c r="L530" s="48" t="s">
        <v>99</v>
      </c>
      <c r="N530" s="48" t="s">
        <v>100</v>
      </c>
      <c r="O530" s="64"/>
      <c r="P530" s="54">
        <v>45068</v>
      </c>
      <c r="Q530" s="54">
        <v>45096</v>
      </c>
      <c r="R530" s="54">
        <v>45098</v>
      </c>
      <c r="S530" s="85"/>
      <c r="T530" s="86"/>
      <c r="U530" s="54">
        <v>45098</v>
      </c>
      <c r="V530" s="54">
        <v>45100</v>
      </c>
      <c r="W530" s="87"/>
      <c r="X530" s="88" t="s">
        <v>786</v>
      </c>
      <c r="Y530" s="48" t="s">
        <v>785</v>
      </c>
      <c r="Z530" s="48" t="s">
        <v>859</v>
      </c>
      <c r="AA530" s="57" t="str">
        <f t="shared" si="8"/>
        <v>Técnico</v>
      </c>
    </row>
    <row r="531" spans="2:27" ht="3.75" customHeight="1" x14ac:dyDescent="0.25">
      <c r="F531" s="119"/>
      <c r="AA531" s="57" t="str">
        <f t="shared" si="8"/>
        <v/>
      </c>
    </row>
    <row r="532" spans="2:27" x14ac:dyDescent="0.25">
      <c r="B532" s="48" t="s">
        <v>612</v>
      </c>
      <c r="C532" s="59"/>
      <c r="D532" s="49" t="s">
        <v>604</v>
      </c>
      <c r="F532" s="49" t="s">
        <v>595</v>
      </c>
      <c r="G532" s="82"/>
      <c r="H532" s="49" t="s">
        <v>599</v>
      </c>
      <c r="I532" s="83"/>
      <c r="J532" s="51" t="s">
        <v>105</v>
      </c>
      <c r="K532" s="84"/>
      <c r="L532" s="48" t="s">
        <v>99</v>
      </c>
      <c r="N532" s="48" t="s">
        <v>100</v>
      </c>
      <c r="O532" s="64"/>
      <c r="P532" s="54">
        <v>45068</v>
      </c>
      <c r="Q532" s="54">
        <v>45096</v>
      </c>
      <c r="R532" s="54">
        <v>45098</v>
      </c>
      <c r="S532" s="85"/>
      <c r="T532" s="86"/>
      <c r="U532" s="54">
        <v>45099</v>
      </c>
      <c r="V532" s="54">
        <v>45100</v>
      </c>
      <c r="W532" s="87"/>
      <c r="X532" s="88" t="s">
        <v>786</v>
      </c>
      <c r="Y532" s="48" t="s">
        <v>785</v>
      </c>
      <c r="Z532" s="48" t="s">
        <v>859</v>
      </c>
      <c r="AA532" s="57" t="str">
        <f t="shared" si="8"/>
        <v>Técnico</v>
      </c>
    </row>
    <row r="533" spans="2:27" ht="3.75" customHeight="1" x14ac:dyDescent="0.25">
      <c r="F533" s="119"/>
      <c r="AA533" s="57" t="str">
        <f t="shared" si="8"/>
        <v/>
      </c>
    </row>
    <row r="534" spans="2:27" x14ac:dyDescent="0.25">
      <c r="B534" s="48" t="s">
        <v>613</v>
      </c>
      <c r="C534" s="59"/>
      <c r="D534" s="49" t="s">
        <v>609</v>
      </c>
      <c r="F534" s="49" t="s">
        <v>595</v>
      </c>
      <c r="G534" s="82"/>
      <c r="H534" s="49" t="s">
        <v>599</v>
      </c>
      <c r="I534" s="83"/>
      <c r="J534" s="51" t="s">
        <v>105</v>
      </c>
      <c r="K534" s="84"/>
      <c r="L534" s="48" t="s">
        <v>99</v>
      </c>
      <c r="N534" s="48" t="s">
        <v>100</v>
      </c>
      <c r="O534" s="64"/>
      <c r="P534" s="54">
        <v>45068</v>
      </c>
      <c r="Q534" s="54">
        <v>45096</v>
      </c>
      <c r="R534" s="54">
        <v>45098</v>
      </c>
      <c r="S534" s="85"/>
      <c r="T534" s="86"/>
      <c r="U534" s="54">
        <v>45099</v>
      </c>
      <c r="V534" s="54">
        <v>45100</v>
      </c>
      <c r="W534" s="87"/>
      <c r="X534" s="88" t="s">
        <v>786</v>
      </c>
      <c r="Y534" s="48" t="s">
        <v>785</v>
      </c>
      <c r="Z534" s="48" t="s">
        <v>859</v>
      </c>
      <c r="AA534" s="57" t="str">
        <f t="shared" si="8"/>
        <v>Técnico</v>
      </c>
    </row>
    <row r="535" spans="2:27" ht="3.75" customHeight="1" x14ac:dyDescent="0.25">
      <c r="F535" s="119"/>
      <c r="AA535" s="57" t="str">
        <f t="shared" si="8"/>
        <v/>
      </c>
    </row>
    <row r="536" spans="2:27" x14ac:dyDescent="0.25">
      <c r="B536" s="48" t="s">
        <v>614</v>
      </c>
      <c r="C536" s="59"/>
      <c r="D536" s="49" t="s">
        <v>615</v>
      </c>
      <c r="F536" s="49" t="s">
        <v>616</v>
      </c>
      <c r="G536" s="89"/>
      <c r="H536" s="49" t="s">
        <v>617</v>
      </c>
      <c r="I536" s="83"/>
      <c r="J536" s="51" t="s">
        <v>98</v>
      </c>
      <c r="K536" s="84"/>
      <c r="L536" s="48" t="s">
        <v>99</v>
      </c>
      <c r="N536" s="48" t="s">
        <v>239</v>
      </c>
      <c r="O536" s="64"/>
      <c r="P536" s="54">
        <v>45076</v>
      </c>
      <c r="Q536" s="54">
        <v>45089</v>
      </c>
      <c r="R536" s="54">
        <v>45091</v>
      </c>
      <c r="S536" s="85"/>
      <c r="T536" s="86"/>
      <c r="U536" s="54">
        <v>45089</v>
      </c>
      <c r="V536" s="54">
        <v>45092</v>
      </c>
      <c r="W536" s="87"/>
      <c r="X536" s="88" t="s">
        <v>785</v>
      </c>
      <c r="Y536" s="48" t="s">
        <v>785</v>
      </c>
      <c r="Z536" s="48" t="s">
        <v>862</v>
      </c>
      <c r="AA536" s="57" t="str">
        <f t="shared" si="8"/>
        <v/>
      </c>
    </row>
    <row r="537" spans="2:27" ht="3.75" customHeight="1" x14ac:dyDescent="0.25">
      <c r="F537" s="119"/>
      <c r="AA537" s="57" t="str">
        <f t="shared" si="8"/>
        <v/>
      </c>
    </row>
    <row r="538" spans="2:27" s="101" customFormat="1" x14ac:dyDescent="0.25">
      <c r="B538" s="102" t="s">
        <v>618</v>
      </c>
      <c r="C538" s="103"/>
      <c r="D538" s="104" t="s">
        <v>619</v>
      </c>
      <c r="F538" s="104" t="s">
        <v>620</v>
      </c>
      <c r="G538" s="105"/>
      <c r="H538" s="104" t="s">
        <v>621</v>
      </c>
      <c r="I538" s="106"/>
      <c r="J538" s="107" t="s">
        <v>111</v>
      </c>
      <c r="K538" s="108"/>
      <c r="L538" s="102" t="s">
        <v>99</v>
      </c>
      <c r="M538" s="109"/>
      <c r="N538" s="102" t="s">
        <v>239</v>
      </c>
      <c r="O538" s="110"/>
      <c r="P538" s="111">
        <v>45071</v>
      </c>
      <c r="Q538" s="111">
        <v>45089</v>
      </c>
      <c r="R538" s="111">
        <v>45091</v>
      </c>
      <c r="S538" s="112"/>
      <c r="T538" s="113"/>
      <c r="U538" s="111">
        <v>45097</v>
      </c>
      <c r="V538" s="111">
        <v>45097</v>
      </c>
      <c r="W538" s="114"/>
      <c r="X538" s="115" t="s">
        <v>786</v>
      </c>
      <c r="Y538" s="102" t="s">
        <v>786</v>
      </c>
      <c r="Z538" s="102" t="s">
        <v>863</v>
      </c>
      <c r="AA538" s="116" t="str">
        <f t="shared" si="8"/>
        <v>Ambos</v>
      </c>
    </row>
    <row r="539" spans="2:27" ht="3" customHeight="1" x14ac:dyDescent="0.25">
      <c r="F539" s="119"/>
      <c r="AA539" s="57" t="str">
        <f t="shared" si="8"/>
        <v/>
      </c>
    </row>
    <row r="540" spans="2:27" s="101" customFormat="1" ht="13.5" customHeight="1" x14ac:dyDescent="0.25">
      <c r="B540" s="102" t="s">
        <v>622</v>
      </c>
      <c r="C540" s="103"/>
      <c r="D540" s="104" t="s">
        <v>155</v>
      </c>
      <c r="F540" s="104" t="s">
        <v>623</v>
      </c>
      <c r="G540" s="105"/>
      <c r="H540" s="104"/>
      <c r="I540" s="117"/>
      <c r="J540" s="107" t="s">
        <v>110</v>
      </c>
      <c r="K540" s="108"/>
      <c r="L540" s="102"/>
      <c r="M540" s="109"/>
      <c r="N540" s="102" t="s">
        <v>98</v>
      </c>
      <c r="O540" s="110"/>
      <c r="P540" s="111">
        <v>45068</v>
      </c>
      <c r="Q540" s="111">
        <v>45105</v>
      </c>
      <c r="R540" s="111">
        <v>45107</v>
      </c>
      <c r="S540" s="112"/>
      <c r="T540" s="113"/>
      <c r="U540" s="111">
        <v>45098</v>
      </c>
      <c r="V540" s="111">
        <v>45134</v>
      </c>
      <c r="W540" s="114"/>
      <c r="X540" s="115" t="s">
        <v>785</v>
      </c>
      <c r="Y540" s="102" t="s">
        <v>786</v>
      </c>
      <c r="Z540" s="102" t="s">
        <v>860</v>
      </c>
      <c r="AA540" s="116" t="str">
        <f t="shared" si="8"/>
        <v>REP</v>
      </c>
    </row>
    <row r="541" spans="2:27" ht="3.75" customHeight="1" x14ac:dyDescent="0.25">
      <c r="F541" s="119"/>
      <c r="AA541" s="57" t="str">
        <f t="shared" si="8"/>
        <v/>
      </c>
    </row>
    <row r="542" spans="2:27" s="101" customFormat="1" x14ac:dyDescent="0.25">
      <c r="B542" s="102" t="s">
        <v>622</v>
      </c>
      <c r="C542" s="103"/>
      <c r="D542" s="104" t="s">
        <v>155</v>
      </c>
      <c r="F542" s="104" t="s">
        <v>623</v>
      </c>
      <c r="G542" s="105"/>
      <c r="H542" s="104" t="s">
        <v>624</v>
      </c>
      <c r="I542" s="106"/>
      <c r="J542" s="107" t="s">
        <v>110</v>
      </c>
      <c r="K542" s="108"/>
      <c r="L542" s="102" t="s">
        <v>99</v>
      </c>
      <c r="M542" s="109"/>
      <c r="N542" s="102" t="s">
        <v>98</v>
      </c>
      <c r="O542" s="110"/>
      <c r="P542" s="111">
        <v>45068</v>
      </c>
      <c r="Q542" s="111">
        <v>45105</v>
      </c>
      <c r="R542" s="111">
        <v>45107</v>
      </c>
      <c r="S542" s="112"/>
      <c r="T542" s="113"/>
      <c r="U542" s="111">
        <v>45120</v>
      </c>
      <c r="V542" s="111">
        <v>45134</v>
      </c>
      <c r="W542" s="114"/>
      <c r="X542" s="115" t="s">
        <v>786</v>
      </c>
      <c r="Y542" s="102" t="s">
        <v>786</v>
      </c>
      <c r="Z542" s="102" t="s">
        <v>860</v>
      </c>
      <c r="AA542" s="116" t="str">
        <f t="shared" si="8"/>
        <v>Ambos</v>
      </c>
    </row>
    <row r="543" spans="2:27" ht="3.75" customHeight="1" x14ac:dyDescent="0.25">
      <c r="F543" s="119"/>
      <c r="AA543" s="57" t="str">
        <f t="shared" si="8"/>
        <v/>
      </c>
    </row>
    <row r="544" spans="2:27" s="101" customFormat="1" x14ac:dyDescent="0.25">
      <c r="B544" s="102" t="s">
        <v>625</v>
      </c>
      <c r="C544" s="103"/>
      <c r="D544" s="104" t="s">
        <v>155</v>
      </c>
      <c r="F544" s="104" t="s">
        <v>626</v>
      </c>
      <c r="G544" s="105"/>
      <c r="H544" s="104" t="s">
        <v>624</v>
      </c>
      <c r="I544" s="106"/>
      <c r="J544" s="107" t="s">
        <v>110</v>
      </c>
      <c r="K544" s="108"/>
      <c r="L544" s="102" t="s">
        <v>99</v>
      </c>
      <c r="M544" s="109"/>
      <c r="N544" s="102" t="s">
        <v>98</v>
      </c>
      <c r="O544" s="110"/>
      <c r="P544" s="111">
        <v>45068</v>
      </c>
      <c r="Q544" s="111">
        <v>45105</v>
      </c>
      <c r="R544" s="111">
        <v>45107</v>
      </c>
      <c r="S544" s="112"/>
      <c r="T544" s="113"/>
      <c r="U544" s="111">
        <v>45118</v>
      </c>
      <c r="V544" s="111">
        <v>45134</v>
      </c>
      <c r="W544" s="114"/>
      <c r="X544" s="115" t="s">
        <v>786</v>
      </c>
      <c r="Y544" s="102" t="s">
        <v>786</v>
      </c>
      <c r="Z544" s="102" t="s">
        <v>860</v>
      </c>
      <c r="AA544" s="116" t="str">
        <f t="shared" si="8"/>
        <v>Ambos</v>
      </c>
    </row>
    <row r="545" spans="2:27" ht="3" customHeight="1" x14ac:dyDescent="0.25">
      <c r="F545" s="119"/>
      <c r="AA545" s="57" t="str">
        <f t="shared" si="8"/>
        <v/>
      </c>
    </row>
    <row r="546" spans="2:27" s="101" customFormat="1" ht="13.5" customHeight="1" x14ac:dyDescent="0.25">
      <c r="B546" s="102" t="s">
        <v>625</v>
      </c>
      <c r="C546" s="103"/>
      <c r="D546" s="104" t="s">
        <v>155</v>
      </c>
      <c r="F546" s="104" t="s">
        <v>626</v>
      </c>
      <c r="G546" s="105"/>
      <c r="H546" s="104"/>
      <c r="I546" s="117"/>
      <c r="J546" s="107" t="s">
        <v>110</v>
      </c>
      <c r="K546" s="108"/>
      <c r="L546" s="102"/>
      <c r="M546" s="109"/>
      <c r="N546" s="102" t="s">
        <v>98</v>
      </c>
      <c r="O546" s="110"/>
      <c r="P546" s="111">
        <v>45068</v>
      </c>
      <c r="Q546" s="111">
        <v>45105</v>
      </c>
      <c r="R546" s="111">
        <v>45107</v>
      </c>
      <c r="S546" s="112"/>
      <c r="T546" s="113"/>
      <c r="U546" s="111">
        <v>45098</v>
      </c>
      <c r="V546" s="111">
        <v>45134</v>
      </c>
      <c r="W546" s="114"/>
      <c r="X546" s="115" t="s">
        <v>785</v>
      </c>
      <c r="Y546" s="102" t="s">
        <v>786</v>
      </c>
      <c r="Z546" s="102" t="s">
        <v>860</v>
      </c>
      <c r="AA546" s="116" t="str">
        <f t="shared" si="8"/>
        <v>REP</v>
      </c>
    </row>
    <row r="547" spans="2:27" ht="3.75" customHeight="1" x14ac:dyDescent="0.25">
      <c r="F547" s="119"/>
      <c r="AA547" s="57" t="str">
        <f t="shared" si="8"/>
        <v/>
      </c>
    </row>
    <row r="548" spans="2:27" s="101" customFormat="1" x14ac:dyDescent="0.25">
      <c r="B548" s="102" t="s">
        <v>627</v>
      </c>
      <c r="C548" s="103"/>
      <c r="D548" s="104" t="s">
        <v>155</v>
      </c>
      <c r="F548" s="104" t="s">
        <v>628</v>
      </c>
      <c r="G548" s="105"/>
      <c r="H548" s="104" t="s">
        <v>624</v>
      </c>
      <c r="I548" s="106"/>
      <c r="J548" s="107" t="s">
        <v>110</v>
      </c>
      <c r="K548" s="108"/>
      <c r="L548" s="102" t="s">
        <v>99</v>
      </c>
      <c r="M548" s="109"/>
      <c r="N548" s="102" t="s">
        <v>98</v>
      </c>
      <c r="O548" s="110"/>
      <c r="P548" s="111">
        <v>45068</v>
      </c>
      <c r="Q548" s="111">
        <v>45105</v>
      </c>
      <c r="R548" s="111">
        <v>45107</v>
      </c>
      <c r="S548" s="112"/>
      <c r="T548" s="113"/>
      <c r="U548" s="111">
        <v>45119</v>
      </c>
      <c r="V548" s="111">
        <v>45134</v>
      </c>
      <c r="W548" s="114"/>
      <c r="X548" s="115" t="s">
        <v>786</v>
      </c>
      <c r="Y548" s="102" t="s">
        <v>786</v>
      </c>
      <c r="Z548" s="102" t="s">
        <v>860</v>
      </c>
      <c r="AA548" s="116" t="str">
        <f t="shared" si="8"/>
        <v>Ambos</v>
      </c>
    </row>
    <row r="549" spans="2:27" ht="3" customHeight="1" x14ac:dyDescent="0.25">
      <c r="F549" s="119"/>
      <c r="AA549" s="57" t="str">
        <f t="shared" si="8"/>
        <v/>
      </c>
    </row>
    <row r="550" spans="2:27" s="101" customFormat="1" ht="13.5" customHeight="1" x14ac:dyDescent="0.25">
      <c r="B550" s="102" t="s">
        <v>627</v>
      </c>
      <c r="C550" s="103"/>
      <c r="D550" s="104" t="s">
        <v>155</v>
      </c>
      <c r="F550" s="104" t="s">
        <v>629</v>
      </c>
      <c r="G550" s="105"/>
      <c r="H550" s="104"/>
      <c r="I550" s="117"/>
      <c r="J550" s="107" t="s">
        <v>110</v>
      </c>
      <c r="K550" s="108"/>
      <c r="L550" s="102"/>
      <c r="M550" s="109"/>
      <c r="N550" s="102" t="s">
        <v>98</v>
      </c>
      <c r="O550" s="110"/>
      <c r="P550" s="111">
        <v>45068</v>
      </c>
      <c r="Q550" s="111">
        <v>45105</v>
      </c>
      <c r="R550" s="111">
        <v>45107</v>
      </c>
      <c r="S550" s="112"/>
      <c r="T550" s="113"/>
      <c r="U550" s="111">
        <v>45098</v>
      </c>
      <c r="V550" s="111">
        <v>45134</v>
      </c>
      <c r="W550" s="114"/>
      <c r="X550" s="115" t="s">
        <v>785</v>
      </c>
      <c r="Y550" s="102" t="s">
        <v>786</v>
      </c>
      <c r="Z550" s="102" t="s">
        <v>859</v>
      </c>
      <c r="AA550" s="116" t="str">
        <f t="shared" si="8"/>
        <v>REP</v>
      </c>
    </row>
    <row r="551" spans="2:27" ht="3.75" customHeight="1" x14ac:dyDescent="0.25">
      <c r="F551" s="119"/>
      <c r="AA551" s="57" t="str">
        <f t="shared" si="8"/>
        <v/>
      </c>
    </row>
    <row r="552" spans="2:27" x14ac:dyDescent="0.25">
      <c r="B552" s="48" t="s">
        <v>630</v>
      </c>
      <c r="C552" s="59"/>
      <c r="D552" s="49" t="s">
        <v>631</v>
      </c>
      <c r="F552" s="49" t="s">
        <v>632</v>
      </c>
      <c r="G552" s="89"/>
      <c r="H552" s="49" t="s">
        <v>190</v>
      </c>
      <c r="I552" s="83"/>
      <c r="J552" s="51" t="s">
        <v>98</v>
      </c>
      <c r="K552" s="84"/>
      <c r="L552" s="48" t="s">
        <v>99</v>
      </c>
      <c r="N552" s="48" t="s">
        <v>100</v>
      </c>
      <c r="O552" s="64"/>
      <c r="P552" s="54">
        <v>45062</v>
      </c>
      <c r="Q552" s="54">
        <v>45082</v>
      </c>
      <c r="R552" s="54">
        <v>45084</v>
      </c>
      <c r="S552" s="85"/>
      <c r="T552" s="86"/>
      <c r="U552" s="54">
        <v>45072</v>
      </c>
      <c r="V552" s="54">
        <v>45084</v>
      </c>
      <c r="W552" s="87"/>
      <c r="X552" s="88" t="s">
        <v>785</v>
      </c>
      <c r="Y552" s="48" t="s">
        <v>785</v>
      </c>
      <c r="Z552" s="48" t="s">
        <v>860</v>
      </c>
      <c r="AA552" s="57" t="str">
        <f t="shared" si="8"/>
        <v/>
      </c>
    </row>
    <row r="553" spans="2:27" ht="3.75" customHeight="1" x14ac:dyDescent="0.25">
      <c r="F553" s="119"/>
      <c r="AA553" s="57" t="str">
        <f t="shared" si="8"/>
        <v/>
      </c>
    </row>
    <row r="554" spans="2:27" x14ac:dyDescent="0.25">
      <c r="B554" s="48" t="s">
        <v>633</v>
      </c>
      <c r="C554" s="59"/>
      <c r="D554" s="49" t="s">
        <v>634</v>
      </c>
      <c r="F554" s="49" t="s">
        <v>635</v>
      </c>
      <c r="G554" s="82"/>
      <c r="H554" s="49" t="s">
        <v>636</v>
      </c>
      <c r="I554" s="83"/>
      <c r="J554" s="51" t="s">
        <v>111</v>
      </c>
      <c r="K554" s="84"/>
      <c r="L554" s="48" t="s">
        <v>99</v>
      </c>
      <c r="N554" s="48" t="s">
        <v>100</v>
      </c>
      <c r="O554" s="64"/>
      <c r="P554" s="54">
        <v>45070</v>
      </c>
      <c r="Q554" s="54">
        <v>45082</v>
      </c>
      <c r="R554" s="54">
        <v>45084</v>
      </c>
      <c r="S554" s="85"/>
      <c r="T554" s="86"/>
      <c r="U554" s="54">
        <v>45077</v>
      </c>
      <c r="V554" s="54">
        <v>45085</v>
      </c>
      <c r="W554" s="87"/>
      <c r="X554" s="88" t="s">
        <v>785</v>
      </c>
      <c r="Y554" s="48" t="s">
        <v>785</v>
      </c>
      <c r="Z554" s="48" t="s">
        <v>862</v>
      </c>
      <c r="AA554" s="57" t="str">
        <f t="shared" si="8"/>
        <v/>
      </c>
    </row>
    <row r="555" spans="2:27" ht="3" customHeight="1" x14ac:dyDescent="0.25">
      <c r="F555" s="119"/>
      <c r="AA555" s="57" t="str">
        <f t="shared" si="8"/>
        <v/>
      </c>
    </row>
    <row r="556" spans="2:27" s="101" customFormat="1" ht="13.5" customHeight="1" x14ac:dyDescent="0.25">
      <c r="B556" s="102" t="s">
        <v>637</v>
      </c>
      <c r="C556" s="103"/>
      <c r="D556" s="104" t="s">
        <v>155</v>
      </c>
      <c r="F556" s="104" t="s">
        <v>638</v>
      </c>
      <c r="G556" s="105"/>
      <c r="H556" s="104"/>
      <c r="I556" s="117"/>
      <c r="J556" s="107" t="s">
        <v>110</v>
      </c>
      <c r="K556" s="108"/>
      <c r="L556" s="102"/>
      <c r="M556" s="109"/>
      <c r="N556" s="102" t="s">
        <v>98</v>
      </c>
      <c r="O556" s="110"/>
      <c r="P556" s="111">
        <v>45068</v>
      </c>
      <c r="Q556" s="111">
        <v>45105</v>
      </c>
      <c r="R556" s="111">
        <v>45107</v>
      </c>
      <c r="S556" s="112"/>
      <c r="T556" s="113"/>
      <c r="U556" s="111">
        <v>45098</v>
      </c>
      <c r="V556" s="111">
        <v>45135</v>
      </c>
      <c r="W556" s="114"/>
      <c r="X556" s="115" t="s">
        <v>785</v>
      </c>
      <c r="Y556" s="102" t="s">
        <v>786</v>
      </c>
      <c r="Z556" s="102" t="s">
        <v>859</v>
      </c>
      <c r="AA556" s="116" t="str">
        <f t="shared" si="8"/>
        <v>REP</v>
      </c>
    </row>
    <row r="557" spans="2:27" ht="3.75" customHeight="1" x14ac:dyDescent="0.25">
      <c r="F557" s="119"/>
      <c r="AA557" s="57" t="str">
        <f t="shared" si="8"/>
        <v/>
      </c>
    </row>
    <row r="558" spans="2:27" s="101" customFormat="1" x14ac:dyDescent="0.25">
      <c r="B558" s="102" t="s">
        <v>637</v>
      </c>
      <c r="C558" s="103"/>
      <c r="D558" s="104" t="s">
        <v>155</v>
      </c>
      <c r="F558" s="104" t="s">
        <v>628</v>
      </c>
      <c r="G558" s="105"/>
      <c r="H558" s="104" t="s">
        <v>639</v>
      </c>
      <c r="I558" s="106"/>
      <c r="J558" s="107" t="s">
        <v>110</v>
      </c>
      <c r="K558" s="108"/>
      <c r="L558" s="102" t="s">
        <v>99</v>
      </c>
      <c r="M558" s="109"/>
      <c r="N558" s="102" t="s">
        <v>98</v>
      </c>
      <c r="O558" s="110"/>
      <c r="P558" s="111">
        <v>45068</v>
      </c>
      <c r="Q558" s="111">
        <v>45105</v>
      </c>
      <c r="R558" s="111">
        <v>45107</v>
      </c>
      <c r="S558" s="112"/>
      <c r="T558" s="113"/>
      <c r="U558" s="111">
        <v>45120</v>
      </c>
      <c r="V558" s="111">
        <v>45135</v>
      </c>
      <c r="W558" s="114"/>
      <c r="X558" s="115" t="s">
        <v>786</v>
      </c>
      <c r="Y558" s="102" t="s">
        <v>786</v>
      </c>
      <c r="Z558" s="102" t="s">
        <v>860</v>
      </c>
      <c r="AA558" s="116" t="str">
        <f t="shared" si="8"/>
        <v>Ambos</v>
      </c>
    </row>
    <row r="559" spans="2:27" ht="3.75" customHeight="1" x14ac:dyDescent="0.25">
      <c r="F559" s="119"/>
      <c r="AA559" s="57" t="str">
        <f t="shared" si="8"/>
        <v/>
      </c>
    </row>
    <row r="560" spans="2:27" x14ac:dyDescent="0.25">
      <c r="B560" s="48" t="s">
        <v>640</v>
      </c>
      <c r="C560" s="59"/>
      <c r="D560" s="49" t="s">
        <v>641</v>
      </c>
      <c r="F560" s="49" t="s">
        <v>642</v>
      </c>
      <c r="G560" s="82"/>
      <c r="H560" s="49" t="s">
        <v>643</v>
      </c>
      <c r="I560" s="83"/>
      <c r="J560" s="51" t="s">
        <v>111</v>
      </c>
      <c r="K560" s="84"/>
      <c r="L560" s="48" t="s">
        <v>99</v>
      </c>
      <c r="N560" s="48" t="s">
        <v>239</v>
      </c>
      <c r="O560" s="64"/>
      <c r="P560" s="54">
        <v>45090</v>
      </c>
      <c r="Q560" s="54">
        <v>45103</v>
      </c>
      <c r="R560" s="54">
        <v>45105</v>
      </c>
      <c r="S560" s="85"/>
      <c r="T560" s="86"/>
      <c r="U560" s="54">
        <v>45103</v>
      </c>
      <c r="V560" s="54">
        <v>45105</v>
      </c>
      <c r="W560" s="87"/>
      <c r="X560" s="88" t="s">
        <v>785</v>
      </c>
      <c r="Y560" s="48" t="s">
        <v>785</v>
      </c>
      <c r="Z560" s="48" t="s">
        <v>860</v>
      </c>
      <c r="AA560" s="57" t="str">
        <f t="shared" si="8"/>
        <v/>
      </c>
    </row>
    <row r="561" spans="2:27" ht="3.75" customHeight="1" x14ac:dyDescent="0.25">
      <c r="F561" s="119"/>
      <c r="AA561" s="57" t="str">
        <f t="shared" si="8"/>
        <v/>
      </c>
    </row>
    <row r="562" spans="2:27" s="101" customFormat="1" x14ac:dyDescent="0.25">
      <c r="B562" s="102" t="s">
        <v>644</v>
      </c>
      <c r="C562" s="103"/>
      <c r="D562" s="104" t="s">
        <v>645</v>
      </c>
      <c r="F562" s="104" t="s">
        <v>646</v>
      </c>
      <c r="G562" s="105"/>
      <c r="H562" s="104" t="s">
        <v>647</v>
      </c>
      <c r="I562" s="106"/>
      <c r="J562" s="107" t="s">
        <v>105</v>
      </c>
      <c r="K562" s="108"/>
      <c r="L562" s="102" t="s">
        <v>99</v>
      </c>
      <c r="M562" s="109"/>
      <c r="N562" s="102" t="s">
        <v>110</v>
      </c>
      <c r="O562" s="110"/>
      <c r="P562" s="111">
        <v>45071</v>
      </c>
      <c r="Q562" s="111">
        <v>45099</v>
      </c>
      <c r="R562" s="111">
        <v>45103</v>
      </c>
      <c r="S562" s="112"/>
      <c r="T562" s="113"/>
      <c r="U562" s="111">
        <v>45103</v>
      </c>
      <c r="V562" s="111">
        <v>45112</v>
      </c>
      <c r="W562" s="114"/>
      <c r="X562" s="115" t="s">
        <v>786</v>
      </c>
      <c r="Y562" s="102" t="s">
        <v>786</v>
      </c>
      <c r="Z562" s="102" t="s">
        <v>860</v>
      </c>
      <c r="AA562" s="116" t="str">
        <f t="shared" si="8"/>
        <v>Ambos</v>
      </c>
    </row>
    <row r="563" spans="2:27" ht="3.75" customHeight="1" x14ac:dyDescent="0.25">
      <c r="F563" s="119"/>
      <c r="AA563" s="57" t="str">
        <f t="shared" si="8"/>
        <v/>
      </c>
    </row>
    <row r="564" spans="2:27" x14ac:dyDescent="0.25">
      <c r="B564" s="48" t="s">
        <v>648</v>
      </c>
      <c r="C564" s="59"/>
      <c r="D564" s="49" t="s">
        <v>649</v>
      </c>
      <c r="F564" s="49" t="s">
        <v>650</v>
      </c>
      <c r="G564" s="82"/>
      <c r="H564" s="49" t="s">
        <v>651</v>
      </c>
      <c r="I564" s="83"/>
      <c r="J564" s="51" t="s">
        <v>166</v>
      </c>
      <c r="K564" s="84"/>
      <c r="L564" s="48" t="s">
        <v>99</v>
      </c>
      <c r="N564" s="48" t="s">
        <v>239</v>
      </c>
      <c r="O564" s="64"/>
      <c r="P564" s="54">
        <v>45083</v>
      </c>
      <c r="Q564" s="54">
        <v>45100</v>
      </c>
      <c r="R564" s="54">
        <v>45104</v>
      </c>
      <c r="S564" s="85"/>
      <c r="T564" s="86"/>
      <c r="U564" s="54">
        <v>45090</v>
      </c>
      <c r="V564" s="54">
        <v>45092</v>
      </c>
      <c r="W564" s="87"/>
      <c r="X564" s="88" t="s">
        <v>785</v>
      </c>
      <c r="Y564" s="48" t="s">
        <v>785</v>
      </c>
      <c r="Z564" s="48" t="s">
        <v>861</v>
      </c>
      <c r="AA564" s="57" t="str">
        <f t="shared" si="8"/>
        <v/>
      </c>
    </row>
    <row r="565" spans="2:27" ht="3.75" customHeight="1" x14ac:dyDescent="0.25">
      <c r="F565" s="119"/>
      <c r="AA565" s="57" t="str">
        <f t="shared" si="8"/>
        <v/>
      </c>
    </row>
    <row r="566" spans="2:27" x14ac:dyDescent="0.25">
      <c r="B566" s="48" t="s">
        <v>652</v>
      </c>
      <c r="C566" s="59"/>
      <c r="D566" s="49" t="s">
        <v>452</v>
      </c>
      <c r="F566" s="49" t="s">
        <v>653</v>
      </c>
      <c r="G566" s="82"/>
      <c r="H566" s="49" t="s">
        <v>654</v>
      </c>
      <c r="I566" s="83"/>
      <c r="J566" s="51" t="s">
        <v>98</v>
      </c>
      <c r="K566" s="84"/>
      <c r="L566" s="48" t="s">
        <v>99</v>
      </c>
      <c r="N566" s="48" t="s">
        <v>100</v>
      </c>
      <c r="O566" s="64"/>
      <c r="P566" s="54">
        <v>45068</v>
      </c>
      <c r="Q566" s="54">
        <v>45096</v>
      </c>
      <c r="R566" s="54">
        <v>45098</v>
      </c>
      <c r="S566" s="85"/>
      <c r="T566" s="86"/>
      <c r="U566" s="54">
        <v>45097</v>
      </c>
      <c r="V566" s="54">
        <v>45098</v>
      </c>
      <c r="W566" s="87"/>
      <c r="X566" s="88" t="s">
        <v>786</v>
      </c>
      <c r="Y566" s="48" t="s">
        <v>785</v>
      </c>
      <c r="Z566" s="48" t="s">
        <v>860</v>
      </c>
      <c r="AA566" s="57" t="str">
        <f t="shared" si="8"/>
        <v>Técnico</v>
      </c>
    </row>
    <row r="567" spans="2:27" ht="3.75" customHeight="1" x14ac:dyDescent="0.25">
      <c r="F567" s="119"/>
      <c r="AA567" s="57" t="str">
        <f t="shared" si="8"/>
        <v/>
      </c>
    </row>
    <row r="568" spans="2:27" x14ac:dyDescent="0.25">
      <c r="B568" s="48" t="s">
        <v>655</v>
      </c>
      <c r="C568" s="59"/>
      <c r="D568" s="49" t="s">
        <v>452</v>
      </c>
      <c r="F568" s="49" t="s">
        <v>653</v>
      </c>
      <c r="G568" s="82"/>
      <c r="H568" s="49" t="s">
        <v>656</v>
      </c>
      <c r="I568" s="83"/>
      <c r="J568" s="51" t="s">
        <v>98</v>
      </c>
      <c r="K568" s="84"/>
      <c r="L568" s="48" t="s">
        <v>99</v>
      </c>
      <c r="N568" s="48" t="s">
        <v>100</v>
      </c>
      <c r="O568" s="64"/>
      <c r="P568" s="54">
        <v>45068</v>
      </c>
      <c r="Q568" s="54">
        <v>45096</v>
      </c>
      <c r="R568" s="54">
        <v>45098</v>
      </c>
      <c r="S568" s="85"/>
      <c r="T568" s="86"/>
      <c r="U568" s="54">
        <v>45097</v>
      </c>
      <c r="V568" s="54">
        <v>45098</v>
      </c>
      <c r="W568" s="87"/>
      <c r="X568" s="88" t="s">
        <v>786</v>
      </c>
      <c r="Y568" s="48" t="s">
        <v>785</v>
      </c>
      <c r="Z568" s="48" t="s">
        <v>860</v>
      </c>
      <c r="AA568" s="57" t="str">
        <f t="shared" si="8"/>
        <v>Técnico</v>
      </c>
    </row>
    <row r="569" spans="2:27" ht="3.75" customHeight="1" x14ac:dyDescent="0.25">
      <c r="F569" s="119"/>
      <c r="AA569" s="57" t="str">
        <f t="shared" si="8"/>
        <v/>
      </c>
    </row>
    <row r="570" spans="2:27" x14ac:dyDescent="0.25">
      <c r="B570" s="48" t="s">
        <v>657</v>
      </c>
      <c r="C570" s="59"/>
      <c r="D570" s="49" t="s">
        <v>452</v>
      </c>
      <c r="F570" s="49" t="s">
        <v>653</v>
      </c>
      <c r="G570" s="82"/>
      <c r="H570" s="49" t="s">
        <v>656</v>
      </c>
      <c r="I570" s="83"/>
      <c r="J570" s="51" t="s">
        <v>98</v>
      </c>
      <c r="K570" s="84"/>
      <c r="L570" s="48" t="s">
        <v>99</v>
      </c>
      <c r="N570" s="48" t="s">
        <v>100</v>
      </c>
      <c r="O570" s="64"/>
      <c r="P570" s="54">
        <v>45068</v>
      </c>
      <c r="Q570" s="54">
        <v>45096</v>
      </c>
      <c r="R570" s="54">
        <v>45098</v>
      </c>
      <c r="S570" s="85"/>
      <c r="T570" s="86"/>
      <c r="U570" s="54">
        <v>45097</v>
      </c>
      <c r="V570" s="54">
        <v>45098</v>
      </c>
      <c r="W570" s="87"/>
      <c r="X570" s="88" t="s">
        <v>786</v>
      </c>
      <c r="Y570" s="48" t="s">
        <v>785</v>
      </c>
      <c r="Z570" s="48" t="s">
        <v>860</v>
      </c>
      <c r="AA570" s="57" t="str">
        <f t="shared" si="8"/>
        <v>Técnico</v>
      </c>
    </row>
    <row r="571" spans="2:27" ht="3.75" customHeight="1" x14ac:dyDescent="0.25">
      <c r="F571" s="119"/>
      <c r="AA571" s="57" t="str">
        <f t="shared" si="8"/>
        <v/>
      </c>
    </row>
    <row r="572" spans="2:27" x14ac:dyDescent="0.25">
      <c r="B572" s="48" t="s">
        <v>658</v>
      </c>
      <c r="C572" s="59"/>
      <c r="D572" s="49" t="s">
        <v>634</v>
      </c>
      <c r="F572" s="49" t="s">
        <v>635</v>
      </c>
      <c r="G572" s="82"/>
      <c r="H572" s="49" t="s">
        <v>636</v>
      </c>
      <c r="I572" s="83"/>
      <c r="J572" s="51" t="s">
        <v>111</v>
      </c>
      <c r="K572" s="84"/>
      <c r="L572" s="48" t="s">
        <v>99</v>
      </c>
      <c r="N572" s="48" t="s">
        <v>100</v>
      </c>
      <c r="O572" s="64"/>
      <c r="P572" s="54">
        <v>45070</v>
      </c>
      <c r="Q572" s="54">
        <v>45082</v>
      </c>
      <c r="R572" s="54">
        <v>45084</v>
      </c>
      <c r="S572" s="85"/>
      <c r="T572" s="86"/>
      <c r="U572" s="54">
        <v>45077</v>
      </c>
      <c r="V572" s="54">
        <v>45085</v>
      </c>
      <c r="W572" s="87"/>
      <c r="X572" s="88" t="s">
        <v>785</v>
      </c>
      <c r="Y572" s="48" t="s">
        <v>785</v>
      </c>
      <c r="Z572" s="48" t="s">
        <v>862</v>
      </c>
      <c r="AA572" s="57" t="str">
        <f t="shared" si="8"/>
        <v/>
      </c>
    </row>
    <row r="573" spans="2:27" ht="3.75" customHeight="1" x14ac:dyDescent="0.25">
      <c r="F573" s="119"/>
      <c r="AA573" s="57" t="str">
        <f t="shared" si="8"/>
        <v/>
      </c>
    </row>
    <row r="574" spans="2:27" x14ac:dyDescent="0.25">
      <c r="B574" s="48" t="s">
        <v>659</v>
      </c>
      <c r="C574" s="59"/>
      <c r="D574" s="49" t="s">
        <v>634</v>
      </c>
      <c r="F574" s="49" t="s">
        <v>635</v>
      </c>
      <c r="G574" s="82"/>
      <c r="H574" s="49" t="s">
        <v>636</v>
      </c>
      <c r="I574" s="83"/>
      <c r="J574" s="51" t="s">
        <v>111</v>
      </c>
      <c r="K574" s="84"/>
      <c r="L574" s="48" t="s">
        <v>99</v>
      </c>
      <c r="N574" s="48" t="s">
        <v>100</v>
      </c>
      <c r="O574" s="64"/>
      <c r="P574" s="54">
        <v>45070</v>
      </c>
      <c r="Q574" s="54">
        <v>45082</v>
      </c>
      <c r="R574" s="54">
        <v>45084</v>
      </c>
      <c r="S574" s="85"/>
      <c r="T574" s="86"/>
      <c r="U574" s="54">
        <v>45077</v>
      </c>
      <c r="V574" s="54">
        <v>45085</v>
      </c>
      <c r="W574" s="87"/>
      <c r="X574" s="88" t="s">
        <v>785</v>
      </c>
      <c r="Y574" s="48" t="s">
        <v>785</v>
      </c>
      <c r="Z574" s="48" t="s">
        <v>862</v>
      </c>
      <c r="AA574" s="57" t="str">
        <f t="shared" si="8"/>
        <v/>
      </c>
    </row>
    <row r="575" spans="2:27" ht="3.75" customHeight="1" x14ac:dyDescent="0.25">
      <c r="F575" s="119"/>
      <c r="AA575" s="57" t="str">
        <f t="shared" si="8"/>
        <v/>
      </c>
    </row>
    <row r="576" spans="2:27" x14ac:dyDescent="0.25">
      <c r="B576" s="48" t="s">
        <v>660</v>
      </c>
      <c r="C576" s="59"/>
      <c r="D576" s="49" t="s">
        <v>661</v>
      </c>
      <c r="F576" s="49" t="s">
        <v>662</v>
      </c>
      <c r="G576" s="82"/>
      <c r="H576" s="49" t="s">
        <v>115</v>
      </c>
      <c r="I576" s="83"/>
      <c r="J576" s="51" t="s">
        <v>166</v>
      </c>
      <c r="K576" s="84"/>
      <c r="L576" s="48" t="s">
        <v>99</v>
      </c>
      <c r="N576" s="48" t="s">
        <v>100</v>
      </c>
      <c r="O576" s="64"/>
      <c r="P576" s="54">
        <v>45070</v>
      </c>
      <c r="Q576" s="54">
        <v>45093</v>
      </c>
      <c r="R576" s="54">
        <v>45097</v>
      </c>
      <c r="S576" s="85"/>
      <c r="T576" s="86"/>
      <c r="U576" s="54">
        <v>45096</v>
      </c>
      <c r="V576" s="54">
        <v>45097</v>
      </c>
      <c r="W576" s="87"/>
      <c r="X576" s="88" t="s">
        <v>786</v>
      </c>
      <c r="Y576" s="48" t="s">
        <v>785</v>
      </c>
      <c r="Z576" s="48" t="s">
        <v>859</v>
      </c>
      <c r="AA576" s="57" t="str">
        <f t="shared" si="8"/>
        <v>Técnico</v>
      </c>
    </row>
    <row r="577" spans="2:27" ht="3.75" customHeight="1" x14ac:dyDescent="0.25">
      <c r="F577" s="119"/>
      <c r="AA577" s="57" t="str">
        <f t="shared" si="8"/>
        <v/>
      </c>
    </row>
    <row r="578" spans="2:27" x14ac:dyDescent="0.25">
      <c r="B578" s="48" t="s">
        <v>663</v>
      </c>
      <c r="C578" s="59"/>
      <c r="D578" s="49" t="s">
        <v>661</v>
      </c>
      <c r="F578" s="49" t="s">
        <v>664</v>
      </c>
      <c r="G578" s="82"/>
      <c r="H578" s="49" t="s">
        <v>115</v>
      </c>
      <c r="I578" s="83"/>
      <c r="J578" s="51" t="s">
        <v>166</v>
      </c>
      <c r="K578" s="84"/>
      <c r="L578" s="48" t="s">
        <v>99</v>
      </c>
      <c r="N578" s="48" t="s">
        <v>100</v>
      </c>
      <c r="O578" s="64"/>
      <c r="P578" s="54">
        <v>45070</v>
      </c>
      <c r="Q578" s="54">
        <v>45093</v>
      </c>
      <c r="R578" s="54">
        <v>45097</v>
      </c>
      <c r="S578" s="85"/>
      <c r="T578" s="86"/>
      <c r="U578" s="54">
        <v>45096</v>
      </c>
      <c r="V578" s="54">
        <v>45097</v>
      </c>
      <c r="W578" s="87"/>
      <c r="X578" s="88" t="s">
        <v>786</v>
      </c>
      <c r="Y578" s="48" t="s">
        <v>785</v>
      </c>
      <c r="Z578" s="48" t="s">
        <v>859</v>
      </c>
      <c r="AA578" s="57" t="str">
        <f t="shared" si="8"/>
        <v>Técnico</v>
      </c>
    </row>
    <row r="579" spans="2:27" ht="3.75" customHeight="1" x14ac:dyDescent="0.25">
      <c r="F579" s="119"/>
      <c r="AA579" s="57" t="str">
        <f t="shared" si="8"/>
        <v/>
      </c>
    </row>
    <row r="580" spans="2:27" x14ac:dyDescent="0.25">
      <c r="B580" s="48" t="s">
        <v>665</v>
      </c>
      <c r="C580" s="59"/>
      <c r="D580" s="49" t="s">
        <v>661</v>
      </c>
      <c r="F580" s="49" t="s">
        <v>664</v>
      </c>
      <c r="G580" s="82"/>
      <c r="H580" s="49" t="s">
        <v>115</v>
      </c>
      <c r="I580" s="83"/>
      <c r="J580" s="51" t="s">
        <v>166</v>
      </c>
      <c r="K580" s="84"/>
      <c r="L580" s="48" t="s">
        <v>99</v>
      </c>
      <c r="N580" s="48" t="s">
        <v>100</v>
      </c>
      <c r="O580" s="64"/>
      <c r="P580" s="54">
        <v>45070</v>
      </c>
      <c r="Q580" s="54">
        <v>45093</v>
      </c>
      <c r="R580" s="54">
        <v>45097</v>
      </c>
      <c r="S580" s="85"/>
      <c r="T580" s="86"/>
      <c r="U580" s="54">
        <v>45096</v>
      </c>
      <c r="V580" s="54">
        <v>45097</v>
      </c>
      <c r="W580" s="87"/>
      <c r="X580" s="88" t="s">
        <v>786</v>
      </c>
      <c r="Y580" s="48" t="s">
        <v>785</v>
      </c>
      <c r="Z580" s="48" t="s">
        <v>859</v>
      </c>
      <c r="AA580" s="57" t="str">
        <f t="shared" si="8"/>
        <v>Técnico</v>
      </c>
    </row>
    <row r="581" spans="2:27" ht="3.75" customHeight="1" x14ac:dyDescent="0.25">
      <c r="F581" s="119"/>
      <c r="AA581" s="57" t="str">
        <f t="shared" si="8"/>
        <v/>
      </c>
    </row>
    <row r="582" spans="2:27" x14ac:dyDescent="0.25">
      <c r="B582" s="48" t="s">
        <v>666</v>
      </c>
      <c r="C582" s="59"/>
      <c r="D582" s="49" t="s">
        <v>661</v>
      </c>
      <c r="F582" s="49" t="s">
        <v>664</v>
      </c>
      <c r="G582" s="82"/>
      <c r="H582" s="49" t="s">
        <v>115</v>
      </c>
      <c r="I582" s="83"/>
      <c r="J582" s="51" t="s">
        <v>166</v>
      </c>
      <c r="K582" s="84"/>
      <c r="L582" s="48" t="s">
        <v>99</v>
      </c>
      <c r="N582" s="48" t="s">
        <v>100</v>
      </c>
      <c r="O582" s="64"/>
      <c r="P582" s="54">
        <v>45070</v>
      </c>
      <c r="Q582" s="54">
        <v>45093</v>
      </c>
      <c r="R582" s="54">
        <v>45097</v>
      </c>
      <c r="S582" s="85"/>
      <c r="T582" s="86"/>
      <c r="U582" s="54">
        <v>45096</v>
      </c>
      <c r="V582" s="54">
        <v>45097</v>
      </c>
      <c r="W582" s="87"/>
      <c r="X582" s="88" t="s">
        <v>786</v>
      </c>
      <c r="Y582" s="48" t="s">
        <v>785</v>
      </c>
      <c r="Z582" s="48" t="s">
        <v>859</v>
      </c>
      <c r="AA582" s="57" t="str">
        <f t="shared" si="8"/>
        <v>Técnico</v>
      </c>
    </row>
    <row r="583" spans="2:27" x14ac:dyDescent="0.25">
      <c r="B583" s="48" t="s">
        <v>667</v>
      </c>
      <c r="C583" s="59"/>
      <c r="D583" s="49" t="s">
        <v>661</v>
      </c>
      <c r="F583" s="49" t="s">
        <v>668</v>
      </c>
      <c r="G583" s="82"/>
      <c r="H583" s="49" t="s">
        <v>115</v>
      </c>
      <c r="I583" s="83"/>
      <c r="J583" s="51" t="s">
        <v>166</v>
      </c>
      <c r="K583" s="84"/>
      <c r="L583" s="48" t="s">
        <v>99</v>
      </c>
      <c r="N583" s="48" t="s">
        <v>100</v>
      </c>
      <c r="O583" s="64"/>
      <c r="P583" s="54">
        <v>45070</v>
      </c>
      <c r="Q583" s="54">
        <v>45093</v>
      </c>
      <c r="R583" s="54">
        <v>45097</v>
      </c>
      <c r="S583" s="85"/>
      <c r="T583" s="86"/>
      <c r="U583" s="54">
        <v>45097</v>
      </c>
      <c r="V583" s="54">
        <v>45099</v>
      </c>
      <c r="W583" s="87"/>
      <c r="X583" s="88" t="s">
        <v>786</v>
      </c>
      <c r="Y583" s="48" t="s">
        <v>785</v>
      </c>
      <c r="Z583" s="48" t="s">
        <v>859</v>
      </c>
      <c r="AA583" s="57" t="str">
        <f t="shared" si="8"/>
        <v>Técnico</v>
      </c>
    </row>
    <row r="584" spans="2:27" ht="3.75" customHeight="1" x14ac:dyDescent="0.25">
      <c r="F584" s="119"/>
      <c r="AA584" s="57" t="str">
        <f t="shared" si="8"/>
        <v/>
      </c>
    </row>
    <row r="585" spans="2:27" x14ac:dyDescent="0.25">
      <c r="B585" s="48" t="s">
        <v>669</v>
      </c>
      <c r="C585" s="59"/>
      <c r="D585" s="49" t="s">
        <v>661</v>
      </c>
      <c r="F585" s="49" t="s">
        <v>668</v>
      </c>
      <c r="G585" s="82"/>
      <c r="H585" s="49" t="s">
        <v>115</v>
      </c>
      <c r="I585" s="83"/>
      <c r="J585" s="51" t="s">
        <v>166</v>
      </c>
      <c r="K585" s="84"/>
      <c r="L585" s="48" t="s">
        <v>99</v>
      </c>
      <c r="N585" s="48" t="s">
        <v>100</v>
      </c>
      <c r="O585" s="64"/>
      <c r="P585" s="54">
        <v>45070</v>
      </c>
      <c r="Q585" s="54">
        <v>45093</v>
      </c>
      <c r="R585" s="54">
        <v>45097</v>
      </c>
      <c r="S585" s="85"/>
      <c r="T585" s="86"/>
      <c r="U585" s="54">
        <v>45097</v>
      </c>
      <c r="V585" s="54">
        <v>45099</v>
      </c>
      <c r="W585" s="87"/>
      <c r="X585" s="88" t="s">
        <v>786</v>
      </c>
      <c r="Y585" s="48" t="s">
        <v>785</v>
      </c>
      <c r="Z585" s="48" t="s">
        <v>859</v>
      </c>
      <c r="AA585" s="57" t="str">
        <f t="shared" si="8"/>
        <v>Técnico</v>
      </c>
    </row>
    <row r="586" spans="2:27" ht="3.75" customHeight="1" x14ac:dyDescent="0.25">
      <c r="F586" s="119"/>
      <c r="AA586" s="57" t="str">
        <f t="shared" si="8"/>
        <v/>
      </c>
    </row>
    <row r="587" spans="2:27" x14ac:dyDescent="0.25">
      <c r="B587" s="48" t="s">
        <v>670</v>
      </c>
      <c r="C587" s="59"/>
      <c r="D587" s="49" t="s">
        <v>661</v>
      </c>
      <c r="F587" s="49" t="s">
        <v>668</v>
      </c>
      <c r="G587" s="82"/>
      <c r="H587" s="49" t="s">
        <v>115</v>
      </c>
      <c r="I587" s="83"/>
      <c r="J587" s="51" t="s">
        <v>166</v>
      </c>
      <c r="K587" s="84"/>
      <c r="L587" s="48" t="s">
        <v>99</v>
      </c>
      <c r="N587" s="48" t="s">
        <v>100</v>
      </c>
      <c r="O587" s="64"/>
      <c r="P587" s="54">
        <v>45070</v>
      </c>
      <c r="Q587" s="54">
        <v>45093</v>
      </c>
      <c r="R587" s="54">
        <v>45097</v>
      </c>
      <c r="S587" s="85"/>
      <c r="T587" s="86"/>
      <c r="U587" s="54">
        <v>45097</v>
      </c>
      <c r="V587" s="54">
        <v>45099</v>
      </c>
      <c r="W587" s="87"/>
      <c r="X587" s="88" t="s">
        <v>786</v>
      </c>
      <c r="Y587" s="48" t="s">
        <v>785</v>
      </c>
      <c r="Z587" s="48" t="s">
        <v>859</v>
      </c>
      <c r="AA587" s="57" t="str">
        <f t="shared" si="8"/>
        <v>Técnico</v>
      </c>
    </row>
    <row r="588" spans="2:27" ht="3.75" customHeight="1" x14ac:dyDescent="0.25">
      <c r="F588" s="119"/>
      <c r="AA588" s="57" t="str">
        <f t="shared" ref="AA588:AA651" si="9">IFERROR(
IF(AND(X588="Não",Y588="Sim"),"REP",
IF(AND(X588="Sim",Y588="Não"),"Técnico",
IF(AND(X588="Sim",Y588="Sim"),"Ambos",""))),
"")</f>
        <v/>
      </c>
    </row>
    <row r="589" spans="2:27" x14ac:dyDescent="0.25">
      <c r="B589" s="48" t="s">
        <v>671</v>
      </c>
      <c r="C589" s="59"/>
      <c r="D589" s="49" t="s">
        <v>661</v>
      </c>
      <c r="F589" s="49" t="s">
        <v>668</v>
      </c>
      <c r="G589" s="82"/>
      <c r="H589" s="49" t="s">
        <v>115</v>
      </c>
      <c r="I589" s="83"/>
      <c r="J589" s="51" t="s">
        <v>166</v>
      </c>
      <c r="K589" s="84"/>
      <c r="L589" s="48" t="s">
        <v>99</v>
      </c>
      <c r="N589" s="48" t="s">
        <v>100</v>
      </c>
      <c r="O589" s="64"/>
      <c r="P589" s="54">
        <v>45070</v>
      </c>
      <c r="Q589" s="54">
        <v>45093</v>
      </c>
      <c r="R589" s="54">
        <v>45097</v>
      </c>
      <c r="S589" s="85"/>
      <c r="T589" s="86"/>
      <c r="U589" s="54">
        <v>45097</v>
      </c>
      <c r="V589" s="54">
        <v>45099</v>
      </c>
      <c r="W589" s="87"/>
      <c r="X589" s="88" t="s">
        <v>786</v>
      </c>
      <c r="Y589" s="48" t="s">
        <v>785</v>
      </c>
      <c r="Z589" s="48" t="s">
        <v>859</v>
      </c>
      <c r="AA589" s="57" t="str">
        <f t="shared" si="9"/>
        <v>Técnico</v>
      </c>
    </row>
    <row r="590" spans="2:27" ht="3.75" customHeight="1" x14ac:dyDescent="0.25">
      <c r="F590" s="119"/>
      <c r="AA590" s="57" t="str">
        <f t="shared" si="9"/>
        <v/>
      </c>
    </row>
    <row r="591" spans="2:27" s="101" customFormat="1" x14ac:dyDescent="0.25">
      <c r="B591" s="102" t="s">
        <v>672</v>
      </c>
      <c r="C591" s="103"/>
      <c r="D591" s="104" t="s">
        <v>673</v>
      </c>
      <c r="F591" s="104" t="s">
        <v>632</v>
      </c>
      <c r="G591" s="118"/>
      <c r="H591" s="104" t="s">
        <v>190</v>
      </c>
      <c r="I591" s="106"/>
      <c r="J591" s="107" t="s">
        <v>98</v>
      </c>
      <c r="K591" s="108"/>
      <c r="L591" s="102" t="s">
        <v>99</v>
      </c>
      <c r="M591" s="109"/>
      <c r="N591" s="102" t="s">
        <v>100</v>
      </c>
      <c r="O591" s="110"/>
      <c r="P591" s="111">
        <v>45069</v>
      </c>
      <c r="Q591" s="111">
        <v>45089</v>
      </c>
      <c r="R591" s="111">
        <v>45091</v>
      </c>
      <c r="S591" s="112"/>
      <c r="T591" s="113"/>
      <c r="U591" s="111">
        <v>45073</v>
      </c>
      <c r="V591" s="111">
        <v>45097</v>
      </c>
      <c r="W591" s="114"/>
      <c r="X591" s="115" t="s">
        <v>785</v>
      </c>
      <c r="Y591" s="102" t="s">
        <v>786</v>
      </c>
      <c r="Z591" s="102" t="s">
        <v>860</v>
      </c>
      <c r="AA591" s="116" t="str">
        <f t="shared" si="9"/>
        <v>REP</v>
      </c>
    </row>
    <row r="592" spans="2:27" ht="3.75" customHeight="1" x14ac:dyDescent="0.25">
      <c r="F592" s="119"/>
      <c r="AA592" s="57" t="str">
        <f t="shared" si="9"/>
        <v/>
      </c>
    </row>
    <row r="593" spans="2:27" s="101" customFormat="1" x14ac:dyDescent="0.25">
      <c r="B593" s="102" t="s">
        <v>674</v>
      </c>
      <c r="C593" s="103"/>
      <c r="D593" s="104" t="s">
        <v>675</v>
      </c>
      <c r="F593" s="104" t="s">
        <v>676</v>
      </c>
      <c r="G593" s="105"/>
      <c r="H593" s="104" t="s">
        <v>677</v>
      </c>
      <c r="I593" s="106"/>
      <c r="J593" s="107" t="s">
        <v>111</v>
      </c>
      <c r="K593" s="108"/>
      <c r="L593" s="102" t="s">
        <v>99</v>
      </c>
      <c r="M593" s="109"/>
      <c r="N593" s="102" t="s">
        <v>239</v>
      </c>
      <c r="O593" s="110"/>
      <c r="P593" s="111">
        <v>45084</v>
      </c>
      <c r="Q593" s="111">
        <v>45103</v>
      </c>
      <c r="R593" s="111">
        <v>45105</v>
      </c>
      <c r="S593" s="112"/>
      <c r="T593" s="113"/>
      <c r="U593" s="111">
        <v>45114</v>
      </c>
      <c r="V593" s="111">
        <v>45117</v>
      </c>
      <c r="W593" s="114"/>
      <c r="X593" s="115" t="s">
        <v>786</v>
      </c>
      <c r="Y593" s="102" t="s">
        <v>786</v>
      </c>
      <c r="Z593" s="102" t="s">
        <v>860</v>
      </c>
      <c r="AA593" s="116" t="str">
        <f t="shared" si="9"/>
        <v>Ambos</v>
      </c>
    </row>
    <row r="594" spans="2:27" ht="3.75" customHeight="1" x14ac:dyDescent="0.25">
      <c r="F594" s="119"/>
      <c r="AA594" s="57" t="str">
        <f t="shared" si="9"/>
        <v/>
      </c>
    </row>
    <row r="595" spans="2:27" s="101" customFormat="1" x14ac:dyDescent="0.25">
      <c r="B595" s="102" t="s">
        <v>674</v>
      </c>
      <c r="C595" s="103"/>
      <c r="D595" s="104" t="s">
        <v>675</v>
      </c>
      <c r="F595" s="104" t="s">
        <v>676</v>
      </c>
      <c r="G595" s="105"/>
      <c r="H595" s="104" t="s">
        <v>677</v>
      </c>
      <c r="I595" s="106"/>
      <c r="J595" s="107" t="s">
        <v>111</v>
      </c>
      <c r="K595" s="108"/>
      <c r="L595" s="102" t="s">
        <v>99</v>
      </c>
      <c r="M595" s="109"/>
      <c r="N595" s="102" t="s">
        <v>239</v>
      </c>
      <c r="O595" s="110"/>
      <c r="P595" s="111">
        <v>45084</v>
      </c>
      <c r="Q595" s="111">
        <v>45103</v>
      </c>
      <c r="R595" s="111">
        <v>45105</v>
      </c>
      <c r="S595" s="112"/>
      <c r="T595" s="113"/>
      <c r="U595" s="111">
        <v>45103</v>
      </c>
      <c r="V595" s="111">
        <v>45117</v>
      </c>
      <c r="W595" s="114"/>
      <c r="X595" s="115" t="s">
        <v>785</v>
      </c>
      <c r="Y595" s="102" t="s">
        <v>786</v>
      </c>
      <c r="Z595" s="102" t="s">
        <v>860</v>
      </c>
      <c r="AA595" s="116" t="str">
        <f t="shared" si="9"/>
        <v>REP</v>
      </c>
    </row>
    <row r="596" spans="2:27" ht="3.75" customHeight="1" x14ac:dyDescent="0.25">
      <c r="F596" s="119"/>
      <c r="AA596" s="57" t="str">
        <f t="shared" si="9"/>
        <v/>
      </c>
    </row>
    <row r="597" spans="2:27" x14ac:dyDescent="0.25">
      <c r="B597" s="48" t="s">
        <v>678</v>
      </c>
      <c r="C597" s="59"/>
      <c r="D597" s="49" t="s">
        <v>675</v>
      </c>
      <c r="F597" s="49" t="s">
        <v>679</v>
      </c>
      <c r="G597" s="82"/>
      <c r="H597" s="49" t="s">
        <v>680</v>
      </c>
      <c r="I597" s="83"/>
      <c r="J597" s="51" t="s">
        <v>111</v>
      </c>
      <c r="K597" s="84"/>
      <c r="L597" s="48" t="s">
        <v>99</v>
      </c>
      <c r="N597" s="48" t="s">
        <v>239</v>
      </c>
      <c r="O597" s="64"/>
      <c r="P597" s="54">
        <v>45084</v>
      </c>
      <c r="Q597" s="54">
        <v>45103</v>
      </c>
      <c r="R597" s="54">
        <v>45105</v>
      </c>
      <c r="S597" s="85"/>
      <c r="T597" s="86"/>
      <c r="U597" s="54">
        <v>45098</v>
      </c>
      <c r="V597" s="54">
        <v>45105</v>
      </c>
      <c r="W597" s="87"/>
      <c r="X597" s="88" t="s">
        <v>785</v>
      </c>
      <c r="Y597" s="48" t="s">
        <v>785</v>
      </c>
      <c r="Z597" s="48" t="s">
        <v>860</v>
      </c>
      <c r="AA597" s="57" t="str">
        <f t="shared" si="9"/>
        <v/>
      </c>
    </row>
    <row r="598" spans="2:27" ht="3.75" customHeight="1" x14ac:dyDescent="0.25">
      <c r="F598" s="119"/>
      <c r="AA598" s="57" t="str">
        <f t="shared" si="9"/>
        <v/>
      </c>
    </row>
    <row r="599" spans="2:27" x14ac:dyDescent="0.25">
      <c r="B599" s="48" t="s">
        <v>681</v>
      </c>
      <c r="C599" s="59"/>
      <c r="D599" s="49" t="s">
        <v>682</v>
      </c>
      <c r="F599" s="49" t="s">
        <v>683</v>
      </c>
      <c r="G599" s="82"/>
      <c r="H599" s="49" t="s">
        <v>684</v>
      </c>
      <c r="I599" s="83"/>
      <c r="J599" s="51" t="s">
        <v>111</v>
      </c>
      <c r="K599" s="84"/>
      <c r="L599" s="48" t="s">
        <v>99</v>
      </c>
      <c r="N599" s="48" t="s">
        <v>239</v>
      </c>
      <c r="O599" s="64"/>
      <c r="P599" s="54">
        <v>45086</v>
      </c>
      <c r="Q599" s="54">
        <v>45092</v>
      </c>
      <c r="R599" s="54">
        <v>45096</v>
      </c>
      <c r="S599" s="85"/>
      <c r="T599" s="86"/>
      <c r="U599" s="54">
        <v>45091</v>
      </c>
      <c r="V599" s="54">
        <v>45096</v>
      </c>
      <c r="W599" s="87"/>
      <c r="X599" s="88" t="s">
        <v>785</v>
      </c>
      <c r="Y599" s="48" t="s">
        <v>785</v>
      </c>
      <c r="Z599" s="48" t="s">
        <v>858</v>
      </c>
      <c r="AA599" s="57" t="str">
        <f t="shared" si="9"/>
        <v/>
      </c>
    </row>
    <row r="600" spans="2:27" ht="3.75" customHeight="1" x14ac:dyDescent="0.25">
      <c r="F600" s="119"/>
      <c r="AA600" s="57" t="str">
        <f t="shared" si="9"/>
        <v/>
      </c>
    </row>
    <row r="601" spans="2:27" x14ac:dyDescent="0.25">
      <c r="B601" s="48" t="s">
        <v>685</v>
      </c>
      <c r="C601" s="59"/>
      <c r="D601" s="49" t="s">
        <v>682</v>
      </c>
      <c r="F601" s="49" t="s">
        <v>683</v>
      </c>
      <c r="G601" s="82"/>
      <c r="H601" s="49" t="s">
        <v>684</v>
      </c>
      <c r="I601" s="83"/>
      <c r="J601" s="51" t="s">
        <v>111</v>
      </c>
      <c r="K601" s="84"/>
      <c r="L601" s="48" t="s">
        <v>99</v>
      </c>
      <c r="N601" s="48" t="s">
        <v>239</v>
      </c>
      <c r="O601" s="64"/>
      <c r="P601" s="54">
        <v>45086</v>
      </c>
      <c r="Q601" s="54">
        <v>45092</v>
      </c>
      <c r="R601" s="54">
        <v>45096</v>
      </c>
      <c r="S601" s="85"/>
      <c r="T601" s="86"/>
      <c r="U601" s="54">
        <v>45091</v>
      </c>
      <c r="V601" s="54">
        <v>45096</v>
      </c>
      <c r="W601" s="87"/>
      <c r="X601" s="88" t="s">
        <v>785</v>
      </c>
      <c r="Y601" s="48" t="s">
        <v>785</v>
      </c>
      <c r="Z601" s="48" t="s">
        <v>858</v>
      </c>
      <c r="AA601" s="57" t="str">
        <f t="shared" si="9"/>
        <v/>
      </c>
    </row>
    <row r="602" spans="2:27" ht="3.75" customHeight="1" x14ac:dyDescent="0.25">
      <c r="F602" s="119"/>
      <c r="AA602" s="57" t="str">
        <f t="shared" si="9"/>
        <v/>
      </c>
    </row>
    <row r="603" spans="2:27" x14ac:dyDescent="0.25">
      <c r="B603" s="48" t="s">
        <v>686</v>
      </c>
      <c r="C603" s="59"/>
      <c r="D603" s="49" t="s">
        <v>687</v>
      </c>
      <c r="F603" s="49" t="s">
        <v>688</v>
      </c>
      <c r="G603" s="82"/>
      <c r="H603" s="49" t="s">
        <v>526</v>
      </c>
      <c r="I603" s="83"/>
      <c r="J603" s="51" t="s">
        <v>239</v>
      </c>
      <c r="K603" s="84"/>
      <c r="L603" s="48" t="s">
        <v>99</v>
      </c>
      <c r="N603" s="48" t="s">
        <v>239</v>
      </c>
      <c r="O603" s="64"/>
      <c r="P603" s="54">
        <v>45070</v>
      </c>
      <c r="Q603" s="54">
        <v>45098</v>
      </c>
      <c r="R603" s="54">
        <v>45100</v>
      </c>
      <c r="S603" s="85"/>
      <c r="T603" s="86"/>
      <c r="U603" s="54">
        <v>45084</v>
      </c>
      <c r="V603" s="54">
        <v>45097</v>
      </c>
      <c r="W603" s="87"/>
      <c r="X603" s="88" t="s">
        <v>785</v>
      </c>
      <c r="Y603" s="48" t="s">
        <v>785</v>
      </c>
      <c r="Z603" s="48" t="s">
        <v>860</v>
      </c>
      <c r="AA603" s="57" t="str">
        <f t="shared" si="9"/>
        <v/>
      </c>
    </row>
    <row r="604" spans="2:27" ht="3.75" customHeight="1" x14ac:dyDescent="0.25">
      <c r="F604" s="119"/>
      <c r="AA604" s="57" t="str">
        <f t="shared" si="9"/>
        <v/>
      </c>
    </row>
    <row r="605" spans="2:27" x14ac:dyDescent="0.25">
      <c r="B605" s="48" t="s">
        <v>689</v>
      </c>
      <c r="C605" s="59"/>
      <c r="D605" s="49" t="s">
        <v>687</v>
      </c>
      <c r="F605" s="49" t="s">
        <v>277</v>
      </c>
      <c r="G605" s="89"/>
      <c r="H605" s="49" t="s">
        <v>690</v>
      </c>
      <c r="I605" s="83"/>
      <c r="J605" s="51" t="s">
        <v>239</v>
      </c>
      <c r="K605" s="84"/>
      <c r="L605" s="48" t="s">
        <v>99</v>
      </c>
      <c r="N605" s="48" t="s">
        <v>239</v>
      </c>
      <c r="O605" s="64"/>
      <c r="P605" s="54">
        <v>45070</v>
      </c>
      <c r="Q605" s="54">
        <v>45098</v>
      </c>
      <c r="R605" s="54">
        <v>45100</v>
      </c>
      <c r="S605" s="85"/>
      <c r="T605" s="86"/>
      <c r="U605" s="54">
        <v>45083</v>
      </c>
      <c r="V605" s="54">
        <v>45097</v>
      </c>
      <c r="W605" s="87"/>
      <c r="X605" s="88" t="s">
        <v>785</v>
      </c>
      <c r="Y605" s="48" t="s">
        <v>785</v>
      </c>
      <c r="Z605" s="48" t="s">
        <v>860</v>
      </c>
      <c r="AA605" s="57" t="str">
        <f t="shared" si="9"/>
        <v/>
      </c>
    </row>
    <row r="606" spans="2:27" ht="3.75" customHeight="1" x14ac:dyDescent="0.25">
      <c r="F606" s="119"/>
      <c r="AA606" s="57" t="str">
        <f t="shared" si="9"/>
        <v/>
      </c>
    </row>
    <row r="607" spans="2:27" x14ac:dyDescent="0.25">
      <c r="B607" s="48" t="s">
        <v>691</v>
      </c>
      <c r="C607" s="59"/>
      <c r="D607" s="49" t="s">
        <v>692</v>
      </c>
      <c r="F607" s="49" t="s">
        <v>693</v>
      </c>
      <c r="G607" s="82"/>
      <c r="H607" s="49" t="s">
        <v>651</v>
      </c>
      <c r="I607" s="83"/>
      <c r="J607" s="51" t="s">
        <v>111</v>
      </c>
      <c r="K607" s="84"/>
      <c r="L607" s="48" t="s">
        <v>99</v>
      </c>
      <c r="N607" s="48" t="s">
        <v>239</v>
      </c>
      <c r="O607" s="64"/>
      <c r="P607" s="54">
        <v>45071</v>
      </c>
      <c r="Q607" s="54">
        <v>45096</v>
      </c>
      <c r="R607" s="54">
        <v>45098</v>
      </c>
      <c r="S607" s="85"/>
      <c r="T607" s="86"/>
      <c r="U607" s="54">
        <v>45083</v>
      </c>
      <c r="V607" s="54">
        <v>45099</v>
      </c>
      <c r="W607" s="87"/>
      <c r="X607" s="88" t="s">
        <v>785</v>
      </c>
      <c r="Y607" s="48" t="s">
        <v>785</v>
      </c>
      <c r="Z607" s="48" t="s">
        <v>858</v>
      </c>
      <c r="AA607" s="57" t="str">
        <f t="shared" si="9"/>
        <v/>
      </c>
    </row>
    <row r="608" spans="2:27" ht="3.75" customHeight="1" x14ac:dyDescent="0.25">
      <c r="F608" s="119"/>
      <c r="AA608" s="57" t="str">
        <f t="shared" si="9"/>
        <v/>
      </c>
    </row>
    <row r="609" spans="2:27" x14ac:dyDescent="0.25">
      <c r="B609" s="48" t="s">
        <v>694</v>
      </c>
      <c r="C609" s="59"/>
      <c r="D609" s="49" t="s">
        <v>695</v>
      </c>
      <c r="F609" s="49" t="s">
        <v>696</v>
      </c>
      <c r="G609" s="82"/>
      <c r="H609" s="49" t="s">
        <v>697</v>
      </c>
      <c r="I609" s="83"/>
      <c r="J609" s="51" t="s">
        <v>166</v>
      </c>
      <c r="K609" s="84"/>
      <c r="L609" s="48" t="s">
        <v>99</v>
      </c>
      <c r="N609" s="48" t="s">
        <v>239</v>
      </c>
      <c r="O609" s="64"/>
      <c r="P609" s="54">
        <v>45079</v>
      </c>
      <c r="Q609" s="54">
        <v>45093</v>
      </c>
      <c r="R609" s="54">
        <v>45097</v>
      </c>
      <c r="S609" s="85"/>
      <c r="T609" s="86"/>
      <c r="U609" s="54">
        <v>45097</v>
      </c>
      <c r="V609" s="54">
        <v>45099</v>
      </c>
      <c r="W609" s="87"/>
      <c r="X609" s="88" t="s">
        <v>786</v>
      </c>
      <c r="Y609" s="48" t="s">
        <v>785</v>
      </c>
      <c r="Z609" s="48" t="s">
        <v>859</v>
      </c>
      <c r="AA609" s="57" t="str">
        <f t="shared" si="9"/>
        <v>Técnico</v>
      </c>
    </row>
    <row r="610" spans="2:27" ht="3.75" customHeight="1" x14ac:dyDescent="0.25">
      <c r="F610" s="119"/>
      <c r="AA610" s="57" t="str">
        <f t="shared" si="9"/>
        <v/>
      </c>
    </row>
    <row r="611" spans="2:27" x14ac:dyDescent="0.25">
      <c r="B611" s="48" t="s">
        <v>694</v>
      </c>
      <c r="C611" s="59"/>
      <c r="D611" s="49" t="s">
        <v>695</v>
      </c>
      <c r="F611" s="49" t="s">
        <v>696</v>
      </c>
      <c r="G611" s="82"/>
      <c r="H611" s="49" t="s">
        <v>697</v>
      </c>
      <c r="I611" s="83"/>
      <c r="J611" s="51" t="s">
        <v>166</v>
      </c>
      <c r="K611" s="84"/>
      <c r="L611" s="48" t="s">
        <v>99</v>
      </c>
      <c r="N611" s="48" t="s">
        <v>239</v>
      </c>
      <c r="O611" s="64"/>
      <c r="P611" s="54">
        <v>45079</v>
      </c>
      <c r="Q611" s="54">
        <v>45093</v>
      </c>
      <c r="R611" s="54">
        <v>45097</v>
      </c>
      <c r="S611" s="85"/>
      <c r="T611" s="86"/>
      <c r="U611" s="54">
        <v>45097</v>
      </c>
      <c r="V611" s="54">
        <v>45099</v>
      </c>
      <c r="W611" s="87"/>
      <c r="X611" s="88" t="s">
        <v>786</v>
      </c>
      <c r="Y611" s="48" t="s">
        <v>785</v>
      </c>
      <c r="Z611" s="48" t="s">
        <v>859</v>
      </c>
      <c r="AA611" s="57" t="str">
        <f t="shared" si="9"/>
        <v>Técnico</v>
      </c>
    </row>
    <row r="612" spans="2:27" ht="3.75" customHeight="1" x14ac:dyDescent="0.25">
      <c r="F612" s="119"/>
      <c r="AA612" s="57" t="str">
        <f t="shared" si="9"/>
        <v/>
      </c>
    </row>
    <row r="613" spans="2:27" s="101" customFormat="1" x14ac:dyDescent="0.25">
      <c r="B613" s="102" t="s">
        <v>698</v>
      </c>
      <c r="C613" s="103"/>
      <c r="D613" s="104" t="s">
        <v>699</v>
      </c>
      <c r="F613" s="104" t="s">
        <v>700</v>
      </c>
      <c r="G613" s="105"/>
      <c r="H613" s="104" t="s">
        <v>701</v>
      </c>
      <c r="I613" s="106"/>
      <c r="J613" s="107" t="s">
        <v>98</v>
      </c>
      <c r="K613" s="108"/>
      <c r="L613" s="102" t="s">
        <v>99</v>
      </c>
      <c r="M613" s="109"/>
      <c r="N613" s="102" t="s">
        <v>239</v>
      </c>
      <c r="O613" s="110"/>
      <c r="P613" s="111">
        <v>45082</v>
      </c>
      <c r="Q613" s="111">
        <v>45097</v>
      </c>
      <c r="R613" s="111">
        <v>45099</v>
      </c>
      <c r="S613" s="112"/>
      <c r="T613" s="113"/>
      <c r="U613" s="111">
        <v>45096</v>
      </c>
      <c r="V613" s="111">
        <v>45103</v>
      </c>
      <c r="W613" s="114"/>
      <c r="X613" s="115" t="s">
        <v>785</v>
      </c>
      <c r="Y613" s="102" t="s">
        <v>786</v>
      </c>
      <c r="Z613" s="102" t="s">
        <v>862</v>
      </c>
      <c r="AA613" s="116" t="str">
        <f t="shared" si="9"/>
        <v>REP</v>
      </c>
    </row>
    <row r="614" spans="2:27" ht="3.75" customHeight="1" x14ac:dyDescent="0.25">
      <c r="F614" s="119"/>
      <c r="AA614" s="57" t="str">
        <f t="shared" si="9"/>
        <v/>
      </c>
    </row>
    <row r="615" spans="2:27" s="101" customFormat="1" x14ac:dyDescent="0.25">
      <c r="B615" s="102" t="s">
        <v>702</v>
      </c>
      <c r="C615" s="103"/>
      <c r="D615" s="104" t="s">
        <v>703</v>
      </c>
      <c r="F615" s="104" t="s">
        <v>704</v>
      </c>
      <c r="G615" s="105"/>
      <c r="H615" s="104" t="s">
        <v>705</v>
      </c>
      <c r="I615" s="106"/>
      <c r="J615" s="107" t="s">
        <v>111</v>
      </c>
      <c r="K615" s="108"/>
      <c r="L615" s="102" t="s">
        <v>99</v>
      </c>
      <c r="M615" s="109"/>
      <c r="N615" s="102" t="s">
        <v>239</v>
      </c>
      <c r="O615" s="110"/>
      <c r="P615" s="111">
        <v>45077</v>
      </c>
      <c r="Q615" s="111">
        <v>45098</v>
      </c>
      <c r="R615" s="111">
        <v>45100</v>
      </c>
      <c r="S615" s="112"/>
      <c r="T615" s="113"/>
      <c r="U615" s="111">
        <v>45103</v>
      </c>
      <c r="V615" s="111">
        <v>45105</v>
      </c>
      <c r="W615" s="114"/>
      <c r="X615" s="115" t="s">
        <v>786</v>
      </c>
      <c r="Y615" s="102" t="s">
        <v>786</v>
      </c>
      <c r="Z615" s="102" t="s">
        <v>859</v>
      </c>
      <c r="AA615" s="116" t="str">
        <f t="shared" si="9"/>
        <v>Ambos</v>
      </c>
    </row>
    <row r="616" spans="2:27" ht="3.75" customHeight="1" x14ac:dyDescent="0.25">
      <c r="F616" s="119"/>
      <c r="AA616" s="57" t="str">
        <f t="shared" si="9"/>
        <v/>
      </c>
    </row>
    <row r="617" spans="2:27" x14ac:dyDescent="0.25">
      <c r="B617" s="48" t="s">
        <v>706</v>
      </c>
      <c r="C617" s="59"/>
      <c r="D617" s="49" t="s">
        <v>707</v>
      </c>
      <c r="F617" s="49" t="s">
        <v>708</v>
      </c>
      <c r="G617" s="82"/>
      <c r="H617" s="49" t="s">
        <v>709</v>
      </c>
      <c r="I617" s="83"/>
      <c r="J617" s="51" t="s">
        <v>166</v>
      </c>
      <c r="K617" s="84"/>
      <c r="L617" s="48" t="s">
        <v>99</v>
      </c>
      <c r="N617" s="48" t="s">
        <v>239</v>
      </c>
      <c r="O617" s="64"/>
      <c r="P617" s="54">
        <v>45076</v>
      </c>
      <c r="Q617" s="54">
        <v>45096</v>
      </c>
      <c r="R617" s="54">
        <v>45098</v>
      </c>
      <c r="S617" s="85"/>
      <c r="T617" s="86"/>
      <c r="U617" s="54">
        <v>45083</v>
      </c>
      <c r="V617" s="54">
        <v>45100</v>
      </c>
      <c r="W617" s="87"/>
      <c r="X617" s="88" t="s">
        <v>785</v>
      </c>
      <c r="Y617" s="48" t="s">
        <v>785</v>
      </c>
      <c r="Z617" s="48" t="s">
        <v>860</v>
      </c>
      <c r="AA617" s="57" t="str">
        <f t="shared" si="9"/>
        <v/>
      </c>
    </row>
    <row r="618" spans="2:27" ht="3.75" customHeight="1" x14ac:dyDescent="0.25">
      <c r="F618" s="119"/>
      <c r="AA618" s="57" t="str">
        <f t="shared" si="9"/>
        <v/>
      </c>
    </row>
    <row r="619" spans="2:27" x14ac:dyDescent="0.25">
      <c r="B619" s="48" t="s">
        <v>710</v>
      </c>
      <c r="C619" s="59"/>
      <c r="D619" s="49" t="s">
        <v>711</v>
      </c>
      <c r="F619" s="49" t="s">
        <v>482</v>
      </c>
      <c r="G619" s="82"/>
      <c r="H619" s="49" t="s">
        <v>465</v>
      </c>
      <c r="I619" s="83"/>
      <c r="J619" s="51" t="s">
        <v>111</v>
      </c>
      <c r="K619" s="84"/>
      <c r="L619" s="48" t="s">
        <v>99</v>
      </c>
      <c r="N619" s="48" t="s">
        <v>239</v>
      </c>
      <c r="O619" s="64"/>
      <c r="P619" s="54">
        <v>45078</v>
      </c>
      <c r="Q619" s="54">
        <v>45103</v>
      </c>
      <c r="R619" s="54">
        <v>45105</v>
      </c>
      <c r="S619" s="85"/>
      <c r="T619" s="86"/>
      <c r="U619" s="54">
        <v>45085</v>
      </c>
      <c r="V619" s="54">
        <v>45096</v>
      </c>
      <c r="W619" s="87"/>
      <c r="X619" s="88" t="s">
        <v>785</v>
      </c>
      <c r="Y619" s="48" t="s">
        <v>785</v>
      </c>
      <c r="Z619" s="48" t="s">
        <v>858</v>
      </c>
      <c r="AA619" s="57" t="str">
        <f t="shared" si="9"/>
        <v/>
      </c>
    </row>
    <row r="620" spans="2:27" ht="3.75" customHeight="1" x14ac:dyDescent="0.25">
      <c r="F620" s="119"/>
      <c r="AA620" s="57" t="str">
        <f t="shared" si="9"/>
        <v/>
      </c>
    </row>
    <row r="621" spans="2:27" x14ac:dyDescent="0.25">
      <c r="B621" s="48" t="s">
        <v>710</v>
      </c>
      <c r="C621" s="59"/>
      <c r="D621" s="49" t="s">
        <v>711</v>
      </c>
      <c r="F621" s="49" t="s">
        <v>482</v>
      </c>
      <c r="G621" s="82"/>
      <c r="H621" s="49" t="s">
        <v>465</v>
      </c>
      <c r="I621" s="83"/>
      <c r="J621" s="51" t="s">
        <v>111</v>
      </c>
      <c r="K621" s="84"/>
      <c r="L621" s="48" t="s">
        <v>99</v>
      </c>
      <c r="N621" s="48" t="s">
        <v>239</v>
      </c>
      <c r="O621" s="64"/>
      <c r="P621" s="54">
        <v>45078</v>
      </c>
      <c r="Q621" s="54">
        <v>45103</v>
      </c>
      <c r="R621" s="54">
        <v>45105</v>
      </c>
      <c r="S621" s="85"/>
      <c r="T621" s="86"/>
      <c r="U621" s="54">
        <v>45085</v>
      </c>
      <c r="V621" s="54">
        <v>45096</v>
      </c>
      <c r="W621" s="87"/>
      <c r="X621" s="88" t="s">
        <v>785</v>
      </c>
      <c r="Y621" s="48" t="s">
        <v>785</v>
      </c>
      <c r="Z621" s="48" t="s">
        <v>858</v>
      </c>
      <c r="AA621" s="57" t="str">
        <f t="shared" si="9"/>
        <v/>
      </c>
    </row>
    <row r="622" spans="2:27" ht="3.75" customHeight="1" x14ac:dyDescent="0.25">
      <c r="F622" s="119"/>
      <c r="AA622" s="57" t="str">
        <f t="shared" si="9"/>
        <v/>
      </c>
    </row>
    <row r="623" spans="2:27" x14ac:dyDescent="0.25">
      <c r="B623" s="48" t="s">
        <v>712</v>
      </c>
      <c r="C623" s="59"/>
      <c r="D623" s="49" t="s">
        <v>711</v>
      </c>
      <c r="F623" s="49" t="s">
        <v>482</v>
      </c>
      <c r="G623" s="82"/>
      <c r="H623" s="49" t="s">
        <v>465</v>
      </c>
      <c r="I623" s="83"/>
      <c r="J623" s="51" t="s">
        <v>111</v>
      </c>
      <c r="K623" s="84"/>
      <c r="L623" s="48" t="s">
        <v>99</v>
      </c>
      <c r="N623" s="48" t="s">
        <v>239</v>
      </c>
      <c r="O623" s="64"/>
      <c r="P623" s="54">
        <v>45078</v>
      </c>
      <c r="Q623" s="54">
        <v>45103</v>
      </c>
      <c r="R623" s="54">
        <v>45105</v>
      </c>
      <c r="S623" s="85"/>
      <c r="T623" s="86"/>
      <c r="U623" s="54">
        <v>45096</v>
      </c>
      <c r="V623" s="54">
        <v>45096</v>
      </c>
      <c r="W623" s="87"/>
      <c r="X623" s="88" t="s">
        <v>785</v>
      </c>
      <c r="Y623" s="48" t="s">
        <v>785</v>
      </c>
      <c r="Z623" s="48" t="s">
        <v>858</v>
      </c>
      <c r="AA623" s="57" t="str">
        <f t="shared" si="9"/>
        <v/>
      </c>
    </row>
    <row r="624" spans="2:27" ht="3.75" customHeight="1" x14ac:dyDescent="0.25">
      <c r="F624" s="119"/>
      <c r="AA624" s="57" t="str">
        <f t="shared" si="9"/>
        <v/>
      </c>
    </row>
    <row r="625" spans="2:27" x14ac:dyDescent="0.25">
      <c r="B625" s="48" t="s">
        <v>712</v>
      </c>
      <c r="C625" s="59"/>
      <c r="D625" s="49" t="s">
        <v>711</v>
      </c>
      <c r="F625" s="49" t="s">
        <v>482</v>
      </c>
      <c r="G625" s="82"/>
      <c r="H625" s="49" t="s">
        <v>465</v>
      </c>
      <c r="I625" s="83"/>
      <c r="J625" s="51" t="s">
        <v>111</v>
      </c>
      <c r="K625" s="84"/>
      <c r="L625" s="48" t="s">
        <v>99</v>
      </c>
      <c r="N625" s="48" t="s">
        <v>239</v>
      </c>
      <c r="O625" s="64"/>
      <c r="P625" s="54">
        <v>45078</v>
      </c>
      <c r="Q625" s="54">
        <v>45103</v>
      </c>
      <c r="R625" s="54">
        <v>45105</v>
      </c>
      <c r="S625" s="85"/>
      <c r="T625" s="86"/>
      <c r="U625" s="54">
        <v>45096</v>
      </c>
      <c r="V625" s="54">
        <v>45096</v>
      </c>
      <c r="W625" s="87"/>
      <c r="X625" s="88" t="s">
        <v>785</v>
      </c>
      <c r="Y625" s="48" t="s">
        <v>785</v>
      </c>
      <c r="Z625" s="48" t="s">
        <v>858</v>
      </c>
      <c r="AA625" s="57" t="str">
        <f t="shared" si="9"/>
        <v/>
      </c>
    </row>
    <row r="626" spans="2:27" ht="3.75" customHeight="1" x14ac:dyDescent="0.25">
      <c r="F626" s="119"/>
      <c r="AA626" s="57" t="str">
        <f t="shared" si="9"/>
        <v/>
      </c>
    </row>
    <row r="627" spans="2:27" x14ac:dyDescent="0.25">
      <c r="B627" s="48" t="s">
        <v>713</v>
      </c>
      <c r="C627" s="59"/>
      <c r="D627" s="49" t="s">
        <v>711</v>
      </c>
      <c r="F627" s="49" t="s">
        <v>482</v>
      </c>
      <c r="G627" s="82"/>
      <c r="H627" s="49" t="s">
        <v>465</v>
      </c>
      <c r="I627" s="83"/>
      <c r="J627" s="51" t="s">
        <v>111</v>
      </c>
      <c r="K627" s="84"/>
      <c r="L627" s="48" t="s">
        <v>99</v>
      </c>
      <c r="N627" s="48" t="s">
        <v>239</v>
      </c>
      <c r="O627" s="64"/>
      <c r="P627" s="54">
        <v>45078</v>
      </c>
      <c r="Q627" s="54">
        <v>45103</v>
      </c>
      <c r="R627" s="54">
        <v>45105</v>
      </c>
      <c r="S627" s="85"/>
      <c r="T627" s="86"/>
      <c r="U627" s="54">
        <v>45085</v>
      </c>
      <c r="V627" s="54">
        <v>45096</v>
      </c>
      <c r="W627" s="87"/>
      <c r="X627" s="88" t="s">
        <v>785</v>
      </c>
      <c r="Y627" s="48" t="s">
        <v>785</v>
      </c>
      <c r="Z627" s="48" t="s">
        <v>858</v>
      </c>
      <c r="AA627" s="57" t="str">
        <f t="shared" si="9"/>
        <v/>
      </c>
    </row>
    <row r="628" spans="2:27" ht="3.75" customHeight="1" x14ac:dyDescent="0.25">
      <c r="F628" s="119"/>
      <c r="AA628" s="57" t="str">
        <f t="shared" si="9"/>
        <v/>
      </c>
    </row>
    <row r="629" spans="2:27" x14ac:dyDescent="0.25">
      <c r="B629" s="48" t="s">
        <v>713</v>
      </c>
      <c r="C629" s="59"/>
      <c r="D629" s="49" t="s">
        <v>711</v>
      </c>
      <c r="F629" s="49" t="s">
        <v>482</v>
      </c>
      <c r="G629" s="82"/>
      <c r="H629" s="49" t="s">
        <v>465</v>
      </c>
      <c r="I629" s="83"/>
      <c r="J629" s="51" t="s">
        <v>111</v>
      </c>
      <c r="K629" s="84"/>
      <c r="L629" s="48" t="s">
        <v>99</v>
      </c>
      <c r="N629" s="48" t="s">
        <v>239</v>
      </c>
      <c r="O629" s="64"/>
      <c r="P629" s="54">
        <v>45078</v>
      </c>
      <c r="Q629" s="54">
        <v>45103</v>
      </c>
      <c r="R629" s="54">
        <v>45105</v>
      </c>
      <c r="S629" s="85"/>
      <c r="T629" s="86"/>
      <c r="U629" s="54">
        <v>45096</v>
      </c>
      <c r="V629" s="54">
        <v>45096</v>
      </c>
      <c r="W629" s="87"/>
      <c r="X629" s="88" t="s">
        <v>785</v>
      </c>
      <c r="Y629" s="48" t="s">
        <v>785</v>
      </c>
      <c r="Z629" s="48" t="s">
        <v>858</v>
      </c>
      <c r="AA629" s="57" t="str">
        <f t="shared" si="9"/>
        <v/>
      </c>
    </row>
    <row r="630" spans="2:27" ht="3.75" customHeight="1" x14ac:dyDescent="0.25">
      <c r="F630" s="119"/>
      <c r="AA630" s="57" t="str">
        <f t="shared" si="9"/>
        <v/>
      </c>
    </row>
    <row r="631" spans="2:27" x14ac:dyDescent="0.25">
      <c r="B631" s="48" t="s">
        <v>714</v>
      </c>
      <c r="C631" s="59"/>
      <c r="D631" s="49" t="s">
        <v>715</v>
      </c>
      <c r="F631" s="49" t="s">
        <v>716</v>
      </c>
      <c r="G631" s="82"/>
      <c r="H631" s="49" t="s">
        <v>717</v>
      </c>
      <c r="I631" s="83"/>
      <c r="J631" s="51" t="s">
        <v>111</v>
      </c>
      <c r="K631" s="84"/>
      <c r="L631" s="48" t="s">
        <v>99</v>
      </c>
      <c r="N631" s="48" t="s">
        <v>239</v>
      </c>
      <c r="O631" s="64"/>
      <c r="P631" s="54">
        <v>45084</v>
      </c>
      <c r="Q631" s="54">
        <v>45098</v>
      </c>
      <c r="R631" s="54">
        <v>45100</v>
      </c>
      <c r="S631" s="85"/>
      <c r="T631" s="86"/>
      <c r="U631" s="54">
        <v>45099</v>
      </c>
      <c r="V631" s="54">
        <v>45100</v>
      </c>
      <c r="W631" s="87"/>
      <c r="X631" s="88" t="s">
        <v>786</v>
      </c>
      <c r="Y631" s="48" t="s">
        <v>785</v>
      </c>
      <c r="Z631" s="48" t="s">
        <v>860</v>
      </c>
      <c r="AA631" s="57" t="str">
        <f t="shared" si="9"/>
        <v>Técnico</v>
      </c>
    </row>
    <row r="632" spans="2:27" ht="3.75" customHeight="1" x14ac:dyDescent="0.25">
      <c r="F632" s="119"/>
      <c r="AA632" s="57" t="str">
        <f t="shared" si="9"/>
        <v/>
      </c>
    </row>
    <row r="633" spans="2:27" x14ac:dyDescent="0.25">
      <c r="B633" s="48" t="s">
        <v>718</v>
      </c>
      <c r="C633" s="59"/>
      <c r="D633" s="49" t="s">
        <v>719</v>
      </c>
      <c r="F633" s="49" t="s">
        <v>720</v>
      </c>
      <c r="G633" s="82"/>
      <c r="H633" s="49" t="s">
        <v>721</v>
      </c>
      <c r="I633" s="83"/>
      <c r="J633" s="51" t="s">
        <v>111</v>
      </c>
      <c r="K633" s="84"/>
      <c r="L633" s="48" t="s">
        <v>99</v>
      </c>
      <c r="N633" s="48" t="s">
        <v>239</v>
      </c>
      <c r="O633" s="64"/>
      <c r="P633" s="54">
        <v>45075</v>
      </c>
      <c r="Q633" s="54">
        <v>45103</v>
      </c>
      <c r="R633" s="54">
        <v>45105</v>
      </c>
      <c r="S633" s="85"/>
      <c r="T633" s="86"/>
      <c r="U633" s="54">
        <v>45084</v>
      </c>
      <c r="V633" s="54">
        <v>45096</v>
      </c>
      <c r="W633" s="87"/>
      <c r="X633" s="88" t="s">
        <v>785</v>
      </c>
      <c r="Y633" s="48" t="s">
        <v>785</v>
      </c>
      <c r="Z633" s="48" t="s">
        <v>858</v>
      </c>
      <c r="AA633" s="57" t="str">
        <f t="shared" si="9"/>
        <v/>
      </c>
    </row>
    <row r="634" spans="2:27" ht="3.75" customHeight="1" x14ac:dyDescent="0.25">
      <c r="F634" s="119"/>
      <c r="AA634" s="57" t="str">
        <f t="shared" si="9"/>
        <v/>
      </c>
    </row>
    <row r="635" spans="2:27" x14ac:dyDescent="0.25">
      <c r="B635" s="48" t="s">
        <v>722</v>
      </c>
      <c r="C635" s="59"/>
      <c r="D635" s="49" t="s">
        <v>723</v>
      </c>
      <c r="F635" s="49" t="s">
        <v>724</v>
      </c>
      <c r="G635" s="82"/>
      <c r="H635" s="49" t="s">
        <v>725</v>
      </c>
      <c r="I635" s="83"/>
      <c r="J635" s="51" t="s">
        <v>166</v>
      </c>
      <c r="K635" s="84"/>
      <c r="L635" s="48" t="s">
        <v>99</v>
      </c>
      <c r="N635" s="48" t="s">
        <v>166</v>
      </c>
      <c r="O635" s="64"/>
      <c r="P635" s="54">
        <v>45078</v>
      </c>
      <c r="Q635" s="54">
        <v>45096</v>
      </c>
      <c r="R635" s="54">
        <v>45098</v>
      </c>
      <c r="S635" s="85"/>
      <c r="T635" s="86"/>
      <c r="U635" s="54">
        <v>45098</v>
      </c>
      <c r="V635" s="54">
        <v>45098</v>
      </c>
      <c r="W635" s="87"/>
      <c r="X635" s="88" t="s">
        <v>786</v>
      </c>
      <c r="Y635" s="48" t="s">
        <v>785</v>
      </c>
      <c r="Z635" s="48" t="s">
        <v>860</v>
      </c>
      <c r="AA635" s="57" t="str">
        <f t="shared" si="9"/>
        <v>Técnico</v>
      </c>
    </row>
    <row r="636" spans="2:27" ht="3.75" customHeight="1" x14ac:dyDescent="0.25">
      <c r="F636" s="119"/>
      <c r="AA636" s="57" t="str">
        <f t="shared" si="9"/>
        <v/>
      </c>
    </row>
    <row r="637" spans="2:27" x14ac:dyDescent="0.25">
      <c r="B637" s="48" t="s">
        <v>726</v>
      </c>
      <c r="C637" s="59"/>
      <c r="D637" s="49" t="s">
        <v>723</v>
      </c>
      <c r="F637" s="49" t="s">
        <v>727</v>
      </c>
      <c r="G637" s="82"/>
      <c r="H637" s="49" t="s">
        <v>725</v>
      </c>
      <c r="I637" s="83"/>
      <c r="J637" s="51" t="s">
        <v>166</v>
      </c>
      <c r="K637" s="84"/>
      <c r="L637" s="48" t="s">
        <v>99</v>
      </c>
      <c r="N637" s="48" t="s">
        <v>166</v>
      </c>
      <c r="O637" s="64"/>
      <c r="P637" s="54">
        <v>45078</v>
      </c>
      <c r="Q637" s="54">
        <v>45096</v>
      </c>
      <c r="R637" s="54">
        <v>45098</v>
      </c>
      <c r="S637" s="85"/>
      <c r="T637" s="86"/>
      <c r="U637" s="54">
        <v>45098</v>
      </c>
      <c r="V637" s="54">
        <v>45098</v>
      </c>
      <c r="W637" s="87"/>
      <c r="X637" s="88" t="s">
        <v>786</v>
      </c>
      <c r="Y637" s="48" t="s">
        <v>785</v>
      </c>
      <c r="Z637" s="48" t="s">
        <v>860</v>
      </c>
      <c r="AA637" s="57" t="str">
        <f t="shared" si="9"/>
        <v>Técnico</v>
      </c>
    </row>
    <row r="638" spans="2:27" ht="3.75" customHeight="1" x14ac:dyDescent="0.25">
      <c r="F638" s="119"/>
      <c r="AA638" s="57" t="str">
        <f t="shared" si="9"/>
        <v/>
      </c>
    </row>
    <row r="639" spans="2:27" x14ac:dyDescent="0.25">
      <c r="B639" s="48" t="s">
        <v>728</v>
      </c>
      <c r="C639" s="59"/>
      <c r="D639" s="49" t="s">
        <v>723</v>
      </c>
      <c r="F639" s="49" t="s">
        <v>729</v>
      </c>
      <c r="G639" s="82"/>
      <c r="H639" s="49" t="s">
        <v>725</v>
      </c>
      <c r="I639" s="83"/>
      <c r="J639" s="51" t="s">
        <v>166</v>
      </c>
      <c r="K639" s="84"/>
      <c r="L639" s="48" t="s">
        <v>99</v>
      </c>
      <c r="N639" s="48" t="s">
        <v>166</v>
      </c>
      <c r="O639" s="64"/>
      <c r="P639" s="54">
        <v>45078</v>
      </c>
      <c r="Q639" s="54">
        <v>45096</v>
      </c>
      <c r="R639" s="54">
        <v>45098</v>
      </c>
      <c r="S639" s="85"/>
      <c r="T639" s="86"/>
      <c r="U639" s="54">
        <v>45098</v>
      </c>
      <c r="V639" s="54">
        <v>45098</v>
      </c>
      <c r="W639" s="87"/>
      <c r="X639" s="88" t="s">
        <v>786</v>
      </c>
      <c r="Y639" s="48" t="s">
        <v>785</v>
      </c>
      <c r="Z639" s="48" t="s">
        <v>860</v>
      </c>
      <c r="AA639" s="57" t="str">
        <f t="shared" si="9"/>
        <v>Técnico</v>
      </c>
    </row>
    <row r="640" spans="2:27" ht="3.75" customHeight="1" x14ac:dyDescent="0.25">
      <c r="F640" s="119"/>
      <c r="AA640" s="57" t="str">
        <f t="shared" si="9"/>
        <v/>
      </c>
    </row>
    <row r="641" spans="2:27" x14ac:dyDescent="0.25">
      <c r="B641" s="48" t="s">
        <v>730</v>
      </c>
      <c r="C641" s="59"/>
      <c r="D641" s="49" t="s">
        <v>723</v>
      </c>
      <c r="F641" s="49" t="s">
        <v>731</v>
      </c>
      <c r="G641" s="82"/>
      <c r="H641" s="49" t="s">
        <v>725</v>
      </c>
      <c r="I641" s="83"/>
      <c r="J641" s="51" t="s">
        <v>166</v>
      </c>
      <c r="K641" s="84"/>
      <c r="L641" s="48" t="s">
        <v>99</v>
      </c>
      <c r="N641" s="48" t="s">
        <v>166</v>
      </c>
      <c r="O641" s="64"/>
      <c r="P641" s="54">
        <v>45078</v>
      </c>
      <c r="Q641" s="54">
        <v>45096</v>
      </c>
      <c r="R641" s="54">
        <v>45098</v>
      </c>
      <c r="S641" s="85"/>
      <c r="T641" s="86"/>
      <c r="U641" s="54">
        <v>45099</v>
      </c>
      <c r="V641" s="54">
        <v>45099</v>
      </c>
      <c r="W641" s="87"/>
      <c r="X641" s="88" t="s">
        <v>786</v>
      </c>
      <c r="Y641" s="48" t="s">
        <v>785</v>
      </c>
      <c r="Z641" s="48" t="s">
        <v>860</v>
      </c>
      <c r="AA641" s="57" t="str">
        <f t="shared" si="9"/>
        <v>Técnico</v>
      </c>
    </row>
    <row r="642" spans="2:27" ht="3.75" customHeight="1" x14ac:dyDescent="0.25">
      <c r="F642" s="119"/>
      <c r="AA642" s="57" t="str">
        <f t="shared" si="9"/>
        <v/>
      </c>
    </row>
    <row r="643" spans="2:27" x14ac:dyDescent="0.25">
      <c r="B643" s="48" t="s">
        <v>732</v>
      </c>
      <c r="C643" s="59"/>
      <c r="D643" s="49" t="s">
        <v>723</v>
      </c>
      <c r="F643" s="49" t="s">
        <v>733</v>
      </c>
      <c r="G643" s="82"/>
      <c r="H643" s="49" t="s">
        <v>725</v>
      </c>
      <c r="I643" s="83"/>
      <c r="J643" s="51" t="s">
        <v>166</v>
      </c>
      <c r="K643" s="84"/>
      <c r="L643" s="48" t="s">
        <v>99</v>
      </c>
      <c r="N643" s="48" t="s">
        <v>166</v>
      </c>
      <c r="O643" s="64"/>
      <c r="P643" s="54">
        <v>45078</v>
      </c>
      <c r="Q643" s="54">
        <v>45096</v>
      </c>
      <c r="R643" s="54">
        <v>45098</v>
      </c>
      <c r="S643" s="85"/>
      <c r="T643" s="86"/>
      <c r="U643" s="54">
        <v>45099</v>
      </c>
      <c r="V643" s="54">
        <v>45099</v>
      </c>
      <c r="W643" s="87"/>
      <c r="X643" s="88" t="s">
        <v>786</v>
      </c>
      <c r="Y643" s="48" t="s">
        <v>785</v>
      </c>
      <c r="Z643" s="48" t="s">
        <v>860</v>
      </c>
      <c r="AA643" s="57" t="str">
        <f t="shared" si="9"/>
        <v>Técnico</v>
      </c>
    </row>
    <row r="644" spans="2:27" ht="3.75" customHeight="1" x14ac:dyDescent="0.25">
      <c r="F644" s="119"/>
      <c r="AA644" s="57" t="str">
        <f t="shared" si="9"/>
        <v/>
      </c>
    </row>
    <row r="645" spans="2:27" x14ac:dyDescent="0.25">
      <c r="B645" s="48" t="s">
        <v>734</v>
      </c>
      <c r="C645" s="59"/>
      <c r="D645" s="49" t="s">
        <v>723</v>
      </c>
      <c r="F645" s="49" t="s">
        <v>735</v>
      </c>
      <c r="G645" s="82"/>
      <c r="H645" s="49" t="s">
        <v>725</v>
      </c>
      <c r="I645" s="83"/>
      <c r="J645" s="51" t="s">
        <v>166</v>
      </c>
      <c r="K645" s="84"/>
      <c r="L645" s="48" t="s">
        <v>99</v>
      </c>
      <c r="N645" s="48" t="s">
        <v>166</v>
      </c>
      <c r="O645" s="64"/>
      <c r="P645" s="54">
        <v>45078</v>
      </c>
      <c r="Q645" s="54">
        <v>45096</v>
      </c>
      <c r="R645" s="54">
        <v>45098</v>
      </c>
      <c r="S645" s="85"/>
      <c r="T645" s="86"/>
      <c r="U645" s="54">
        <v>45099</v>
      </c>
      <c r="V645" s="54">
        <v>45099</v>
      </c>
      <c r="W645" s="87"/>
      <c r="X645" s="88" t="s">
        <v>786</v>
      </c>
      <c r="Y645" s="48" t="s">
        <v>785</v>
      </c>
      <c r="Z645" s="48" t="s">
        <v>860</v>
      </c>
      <c r="AA645" s="57" t="str">
        <f t="shared" si="9"/>
        <v>Técnico</v>
      </c>
    </row>
    <row r="646" spans="2:27" ht="3.75" customHeight="1" x14ac:dyDescent="0.25">
      <c r="F646" s="119"/>
      <c r="AA646" s="57" t="str">
        <f t="shared" si="9"/>
        <v/>
      </c>
    </row>
    <row r="647" spans="2:27" x14ac:dyDescent="0.25">
      <c r="B647" s="48" t="s">
        <v>736</v>
      </c>
      <c r="C647" s="59"/>
      <c r="D647" s="49" t="s">
        <v>723</v>
      </c>
      <c r="F647" s="49" t="s">
        <v>737</v>
      </c>
      <c r="G647" s="82"/>
      <c r="H647" s="49" t="s">
        <v>725</v>
      </c>
      <c r="I647" s="83"/>
      <c r="J647" s="51" t="s">
        <v>166</v>
      </c>
      <c r="K647" s="84"/>
      <c r="L647" s="48" t="s">
        <v>99</v>
      </c>
      <c r="N647" s="48" t="s">
        <v>166</v>
      </c>
      <c r="O647" s="64"/>
      <c r="P647" s="54">
        <v>45078</v>
      </c>
      <c r="Q647" s="54">
        <v>45096</v>
      </c>
      <c r="R647" s="54">
        <v>45098</v>
      </c>
      <c r="S647" s="85"/>
      <c r="T647" s="86"/>
      <c r="U647" s="54">
        <v>45099</v>
      </c>
      <c r="V647" s="54">
        <v>45099</v>
      </c>
      <c r="W647" s="87"/>
      <c r="X647" s="88" t="s">
        <v>786</v>
      </c>
      <c r="Y647" s="48" t="s">
        <v>785</v>
      </c>
      <c r="Z647" s="48" t="s">
        <v>860</v>
      </c>
      <c r="AA647" s="57" t="str">
        <f t="shared" si="9"/>
        <v>Técnico</v>
      </c>
    </row>
    <row r="648" spans="2:27" ht="3.75" customHeight="1" x14ac:dyDescent="0.25">
      <c r="F648" s="119"/>
      <c r="AA648" s="57" t="str">
        <f t="shared" si="9"/>
        <v/>
      </c>
    </row>
    <row r="649" spans="2:27" x14ac:dyDescent="0.25">
      <c r="B649" s="48" t="s">
        <v>738</v>
      </c>
      <c r="C649" s="59"/>
      <c r="D649" s="49" t="s">
        <v>739</v>
      </c>
      <c r="F649" s="49" t="s">
        <v>724</v>
      </c>
      <c r="G649" s="82"/>
      <c r="H649" s="49" t="s">
        <v>725</v>
      </c>
      <c r="I649" s="83"/>
      <c r="J649" s="51" t="s">
        <v>239</v>
      </c>
      <c r="K649" s="84"/>
      <c r="L649" s="48" t="s">
        <v>99</v>
      </c>
      <c r="N649" s="48" t="s">
        <v>166</v>
      </c>
      <c r="O649" s="64"/>
      <c r="P649" s="54">
        <v>45078</v>
      </c>
      <c r="Q649" s="54">
        <v>45096</v>
      </c>
      <c r="R649" s="54">
        <v>45098</v>
      </c>
      <c r="S649" s="85"/>
      <c r="T649" s="86"/>
      <c r="U649" s="54">
        <v>45085</v>
      </c>
      <c r="V649" s="54">
        <v>45089</v>
      </c>
      <c r="W649" s="87"/>
      <c r="X649" s="88" t="s">
        <v>785</v>
      </c>
      <c r="Y649" s="48" t="s">
        <v>785</v>
      </c>
      <c r="Z649" s="48" t="s">
        <v>860</v>
      </c>
      <c r="AA649" s="57" t="str">
        <f t="shared" si="9"/>
        <v/>
      </c>
    </row>
    <row r="650" spans="2:27" ht="3.75" customHeight="1" x14ac:dyDescent="0.25">
      <c r="F650" s="119"/>
      <c r="AA650" s="57" t="str">
        <f t="shared" si="9"/>
        <v/>
      </c>
    </row>
    <row r="651" spans="2:27" x14ac:dyDescent="0.25">
      <c r="B651" s="48" t="s">
        <v>740</v>
      </c>
      <c r="C651" s="59"/>
      <c r="D651" s="49" t="s">
        <v>739</v>
      </c>
      <c r="F651" s="49" t="s">
        <v>727</v>
      </c>
      <c r="G651" s="82"/>
      <c r="H651" s="49" t="s">
        <v>725</v>
      </c>
      <c r="I651" s="83"/>
      <c r="J651" s="51" t="s">
        <v>239</v>
      </c>
      <c r="K651" s="84"/>
      <c r="L651" s="48" t="s">
        <v>99</v>
      </c>
      <c r="N651" s="48" t="s">
        <v>166</v>
      </c>
      <c r="O651" s="64"/>
      <c r="P651" s="54">
        <v>45078</v>
      </c>
      <c r="Q651" s="54">
        <v>45096</v>
      </c>
      <c r="R651" s="54">
        <v>45098</v>
      </c>
      <c r="S651" s="85"/>
      <c r="T651" s="86"/>
      <c r="U651" s="54">
        <v>45085</v>
      </c>
      <c r="V651" s="54">
        <v>45089</v>
      </c>
      <c r="W651" s="87"/>
      <c r="X651" s="88" t="s">
        <v>785</v>
      </c>
      <c r="Y651" s="48" t="s">
        <v>785</v>
      </c>
      <c r="Z651" s="48" t="s">
        <v>860</v>
      </c>
      <c r="AA651" s="57" t="str">
        <f t="shared" si="9"/>
        <v/>
      </c>
    </row>
    <row r="652" spans="2:27" ht="3.75" customHeight="1" x14ac:dyDescent="0.25">
      <c r="F652" s="119"/>
      <c r="AA652" s="57" t="str">
        <f t="shared" ref="AA652:AA715" si="10">IFERROR(
IF(AND(X652="Não",Y652="Sim"),"REP",
IF(AND(X652="Sim",Y652="Não"),"Técnico",
IF(AND(X652="Sim",Y652="Sim"),"Ambos",""))),
"")</f>
        <v/>
      </c>
    </row>
    <row r="653" spans="2:27" x14ac:dyDescent="0.25">
      <c r="B653" s="48" t="s">
        <v>741</v>
      </c>
      <c r="C653" s="59"/>
      <c r="D653" s="49" t="s">
        <v>739</v>
      </c>
      <c r="F653" s="49" t="s">
        <v>729</v>
      </c>
      <c r="G653" s="82"/>
      <c r="H653" s="49" t="s">
        <v>725</v>
      </c>
      <c r="I653" s="83"/>
      <c r="J653" s="51" t="s">
        <v>239</v>
      </c>
      <c r="K653" s="84"/>
      <c r="L653" s="48" t="s">
        <v>99</v>
      </c>
      <c r="N653" s="48" t="s">
        <v>166</v>
      </c>
      <c r="O653" s="64"/>
      <c r="P653" s="54">
        <v>45078</v>
      </c>
      <c r="Q653" s="54">
        <v>45096</v>
      </c>
      <c r="R653" s="54">
        <v>45098</v>
      </c>
      <c r="S653" s="85"/>
      <c r="T653" s="86"/>
      <c r="U653" s="54">
        <v>45085</v>
      </c>
      <c r="V653" s="54">
        <v>45089</v>
      </c>
      <c r="W653" s="87"/>
      <c r="X653" s="88" t="s">
        <v>785</v>
      </c>
      <c r="Y653" s="48" t="s">
        <v>785</v>
      </c>
      <c r="Z653" s="48" t="s">
        <v>860</v>
      </c>
      <c r="AA653" s="57" t="str">
        <f t="shared" si="10"/>
        <v/>
      </c>
    </row>
    <row r="654" spans="2:27" ht="3.75" customHeight="1" x14ac:dyDescent="0.25">
      <c r="F654" s="119"/>
      <c r="AA654" s="57" t="str">
        <f t="shared" si="10"/>
        <v/>
      </c>
    </row>
    <row r="655" spans="2:27" x14ac:dyDescent="0.25">
      <c r="B655" s="48" t="s">
        <v>742</v>
      </c>
      <c r="C655" s="59"/>
      <c r="D655" s="49" t="s">
        <v>739</v>
      </c>
      <c r="F655" s="49" t="s">
        <v>731</v>
      </c>
      <c r="G655" s="82"/>
      <c r="H655" s="49" t="s">
        <v>725</v>
      </c>
      <c r="I655" s="83"/>
      <c r="J655" s="51" t="s">
        <v>239</v>
      </c>
      <c r="K655" s="84"/>
      <c r="L655" s="48" t="s">
        <v>99</v>
      </c>
      <c r="N655" s="48" t="s">
        <v>166</v>
      </c>
      <c r="O655" s="64"/>
      <c r="P655" s="54">
        <v>45078</v>
      </c>
      <c r="Q655" s="54">
        <v>45096</v>
      </c>
      <c r="R655" s="54">
        <v>45098</v>
      </c>
      <c r="S655" s="85"/>
      <c r="T655" s="86"/>
      <c r="U655" s="54">
        <v>45085</v>
      </c>
      <c r="V655" s="54">
        <v>45100</v>
      </c>
      <c r="W655" s="87"/>
      <c r="X655" s="88" t="s">
        <v>785</v>
      </c>
      <c r="Y655" s="48" t="s">
        <v>785</v>
      </c>
      <c r="Z655" s="48" t="s">
        <v>860</v>
      </c>
      <c r="AA655" s="57" t="str">
        <f t="shared" si="10"/>
        <v/>
      </c>
    </row>
    <row r="656" spans="2:27" x14ac:dyDescent="0.25">
      <c r="B656" s="48" t="s">
        <v>743</v>
      </c>
      <c r="C656" s="59"/>
      <c r="D656" s="49" t="s">
        <v>739</v>
      </c>
      <c r="F656" s="49" t="s">
        <v>735</v>
      </c>
      <c r="G656" s="82"/>
      <c r="H656" s="49" t="s">
        <v>725</v>
      </c>
      <c r="I656" s="83"/>
      <c r="J656" s="51" t="s">
        <v>239</v>
      </c>
      <c r="K656" s="84"/>
      <c r="L656" s="48" t="s">
        <v>99</v>
      </c>
      <c r="N656" s="48" t="s">
        <v>166</v>
      </c>
      <c r="O656" s="64"/>
      <c r="P656" s="54">
        <v>45078</v>
      </c>
      <c r="Q656" s="54">
        <v>45096</v>
      </c>
      <c r="R656" s="54">
        <v>45098</v>
      </c>
      <c r="S656" s="85"/>
      <c r="T656" s="86"/>
      <c r="U656" s="54">
        <v>45085</v>
      </c>
      <c r="V656" s="54">
        <v>45089</v>
      </c>
      <c r="W656" s="87"/>
      <c r="X656" s="88" t="s">
        <v>785</v>
      </c>
      <c r="Y656" s="48" t="s">
        <v>785</v>
      </c>
      <c r="Z656" s="48" t="s">
        <v>860</v>
      </c>
      <c r="AA656" s="57" t="str">
        <f t="shared" si="10"/>
        <v/>
      </c>
    </row>
    <row r="657" spans="2:27" ht="3.75" customHeight="1" x14ac:dyDescent="0.25">
      <c r="F657" s="119"/>
      <c r="AA657" s="57" t="str">
        <f t="shared" si="10"/>
        <v/>
      </c>
    </row>
    <row r="658" spans="2:27" x14ac:dyDescent="0.25">
      <c r="B658" s="48" t="s">
        <v>744</v>
      </c>
      <c r="C658" s="59"/>
      <c r="D658" s="49" t="s">
        <v>739</v>
      </c>
      <c r="F658" s="49" t="s">
        <v>733</v>
      </c>
      <c r="G658" s="82"/>
      <c r="H658" s="49" t="s">
        <v>725</v>
      </c>
      <c r="I658" s="83"/>
      <c r="J658" s="51" t="s">
        <v>239</v>
      </c>
      <c r="K658" s="84"/>
      <c r="L658" s="48" t="s">
        <v>99</v>
      </c>
      <c r="N658" s="48" t="s">
        <v>166</v>
      </c>
      <c r="O658" s="64"/>
      <c r="P658" s="54">
        <v>45078</v>
      </c>
      <c r="Q658" s="54">
        <v>45096</v>
      </c>
      <c r="R658" s="54">
        <v>45098</v>
      </c>
      <c r="S658" s="85"/>
      <c r="T658" s="86"/>
      <c r="U658" s="54">
        <v>45085</v>
      </c>
      <c r="V658" s="54">
        <v>45089</v>
      </c>
      <c r="W658" s="87"/>
      <c r="X658" s="88" t="s">
        <v>785</v>
      </c>
      <c r="Y658" s="48" t="s">
        <v>785</v>
      </c>
      <c r="Z658" s="48" t="s">
        <v>860</v>
      </c>
      <c r="AA658" s="57" t="str">
        <f t="shared" si="10"/>
        <v/>
      </c>
    </row>
    <row r="659" spans="2:27" ht="3.75" customHeight="1" x14ac:dyDescent="0.25">
      <c r="F659" s="119"/>
      <c r="AA659" s="57" t="str">
        <f t="shared" si="10"/>
        <v/>
      </c>
    </row>
    <row r="660" spans="2:27" x14ac:dyDescent="0.25">
      <c r="B660" s="48" t="s">
        <v>745</v>
      </c>
      <c r="C660" s="59"/>
      <c r="D660" s="49" t="s">
        <v>739</v>
      </c>
      <c r="F660" s="49" t="s">
        <v>737</v>
      </c>
      <c r="G660" s="82"/>
      <c r="H660" s="49" t="s">
        <v>746</v>
      </c>
      <c r="I660" s="83"/>
      <c r="J660" s="51" t="s">
        <v>239</v>
      </c>
      <c r="K660" s="84"/>
      <c r="L660" s="48" t="s">
        <v>99</v>
      </c>
      <c r="N660" s="48" t="s">
        <v>166</v>
      </c>
      <c r="O660" s="64"/>
      <c r="P660" s="54">
        <v>45078</v>
      </c>
      <c r="Q660" s="54">
        <v>45096</v>
      </c>
      <c r="R660" s="54">
        <v>45098</v>
      </c>
      <c r="S660" s="85"/>
      <c r="T660" s="86"/>
      <c r="U660" s="54">
        <v>45085</v>
      </c>
      <c r="V660" s="54">
        <v>45089</v>
      </c>
      <c r="W660" s="87"/>
      <c r="X660" s="88" t="s">
        <v>785</v>
      </c>
      <c r="Y660" s="48" t="s">
        <v>785</v>
      </c>
      <c r="Z660" s="48" t="s">
        <v>860</v>
      </c>
      <c r="AA660" s="57" t="str">
        <f t="shared" si="10"/>
        <v/>
      </c>
    </row>
    <row r="661" spans="2:27" ht="3.75" customHeight="1" x14ac:dyDescent="0.25">
      <c r="F661" s="119"/>
      <c r="AA661" s="57" t="str">
        <f t="shared" si="10"/>
        <v/>
      </c>
    </row>
    <row r="662" spans="2:27" x14ac:dyDescent="0.25">
      <c r="B662" s="48" t="s">
        <v>747</v>
      </c>
      <c r="C662" s="59"/>
      <c r="D662" s="49" t="s">
        <v>333</v>
      </c>
      <c r="F662" s="49" t="s">
        <v>748</v>
      </c>
      <c r="G662" s="82"/>
      <c r="H662" s="49" t="s">
        <v>749</v>
      </c>
      <c r="I662" s="83"/>
      <c r="J662" s="51" t="s">
        <v>166</v>
      </c>
      <c r="K662" s="84"/>
      <c r="L662" s="48" t="s">
        <v>99</v>
      </c>
      <c r="N662" s="48" t="s">
        <v>239</v>
      </c>
      <c r="O662" s="64"/>
      <c r="P662" s="54">
        <v>45082</v>
      </c>
      <c r="Q662" s="54">
        <v>45096</v>
      </c>
      <c r="R662" s="54">
        <v>45098</v>
      </c>
      <c r="S662" s="85"/>
      <c r="T662" s="86"/>
      <c r="U662" s="54">
        <v>45092</v>
      </c>
      <c r="V662" s="54">
        <v>45100</v>
      </c>
      <c r="W662" s="87"/>
      <c r="X662" s="88" t="s">
        <v>785</v>
      </c>
      <c r="Y662" s="48" t="s">
        <v>785</v>
      </c>
      <c r="Z662" s="48" t="s">
        <v>859</v>
      </c>
      <c r="AA662" s="57" t="str">
        <f t="shared" si="10"/>
        <v/>
      </c>
    </row>
    <row r="663" spans="2:27" ht="3.75" customHeight="1" x14ac:dyDescent="0.25">
      <c r="F663" s="119"/>
      <c r="AA663" s="57" t="str">
        <f t="shared" si="10"/>
        <v/>
      </c>
    </row>
    <row r="664" spans="2:27" x14ac:dyDescent="0.25">
      <c r="B664" s="48" t="s">
        <v>747</v>
      </c>
      <c r="C664" s="59"/>
      <c r="D664" s="49" t="s">
        <v>333</v>
      </c>
      <c r="F664" s="49" t="s">
        <v>748</v>
      </c>
      <c r="G664" s="82"/>
      <c r="H664" s="49" t="s">
        <v>749</v>
      </c>
      <c r="I664" s="83"/>
      <c r="J664" s="51" t="s">
        <v>166</v>
      </c>
      <c r="K664" s="84"/>
      <c r="L664" s="48" t="s">
        <v>99</v>
      </c>
      <c r="N664" s="48" t="s">
        <v>239</v>
      </c>
      <c r="O664" s="64"/>
      <c r="P664" s="54">
        <v>45082</v>
      </c>
      <c r="Q664" s="54">
        <v>45096</v>
      </c>
      <c r="R664" s="54">
        <v>45098</v>
      </c>
      <c r="S664" s="85"/>
      <c r="T664" s="86"/>
      <c r="U664" s="54">
        <v>45097</v>
      </c>
      <c r="V664" s="54">
        <v>45100</v>
      </c>
      <c r="W664" s="87"/>
      <c r="X664" s="88" t="s">
        <v>786</v>
      </c>
      <c r="Y664" s="48" t="s">
        <v>785</v>
      </c>
      <c r="Z664" s="48" t="s">
        <v>859</v>
      </c>
      <c r="AA664" s="57" t="str">
        <f t="shared" si="10"/>
        <v>Técnico</v>
      </c>
    </row>
    <row r="665" spans="2:27" ht="3.75" customHeight="1" x14ac:dyDescent="0.25">
      <c r="F665" s="119"/>
      <c r="AA665" s="57" t="str">
        <f t="shared" si="10"/>
        <v/>
      </c>
    </row>
    <row r="666" spans="2:27" x14ac:dyDescent="0.25">
      <c r="B666" s="48" t="s">
        <v>750</v>
      </c>
      <c r="C666" s="59"/>
      <c r="D666" s="49" t="s">
        <v>751</v>
      </c>
      <c r="F666" s="49" t="s">
        <v>752</v>
      </c>
      <c r="G666" s="82"/>
      <c r="H666" s="49" t="s">
        <v>753</v>
      </c>
      <c r="I666" s="83"/>
      <c r="J666" s="51" t="s">
        <v>105</v>
      </c>
      <c r="K666" s="84"/>
      <c r="L666" s="48" t="s">
        <v>99</v>
      </c>
      <c r="N666" s="48" t="s">
        <v>239</v>
      </c>
      <c r="O666" s="64"/>
      <c r="P666" s="54">
        <v>45078</v>
      </c>
      <c r="Q666" s="54">
        <v>45095</v>
      </c>
      <c r="R666" s="54">
        <v>45097</v>
      </c>
      <c r="S666" s="85"/>
      <c r="T666" s="86"/>
      <c r="U666" s="54">
        <v>45082</v>
      </c>
      <c r="V666" s="54">
        <v>45099</v>
      </c>
      <c r="W666" s="87"/>
      <c r="X666" s="88" t="s">
        <v>785</v>
      </c>
      <c r="Y666" s="48" t="s">
        <v>785</v>
      </c>
      <c r="Z666" s="48" t="s">
        <v>859</v>
      </c>
      <c r="AA666" s="57" t="str">
        <f t="shared" si="10"/>
        <v/>
      </c>
    </row>
    <row r="667" spans="2:27" ht="3.75" customHeight="1" x14ac:dyDescent="0.25">
      <c r="F667" s="119"/>
      <c r="AA667" s="57" t="str">
        <f t="shared" si="10"/>
        <v/>
      </c>
    </row>
    <row r="668" spans="2:27" x14ac:dyDescent="0.25">
      <c r="B668" s="48" t="s">
        <v>754</v>
      </c>
      <c r="C668" s="59"/>
      <c r="D668" s="49" t="s">
        <v>755</v>
      </c>
      <c r="F668" s="49" t="s">
        <v>756</v>
      </c>
      <c r="G668" s="82"/>
      <c r="H668" s="49" t="s">
        <v>190</v>
      </c>
      <c r="I668" s="83"/>
      <c r="J668" s="51" t="s">
        <v>98</v>
      </c>
      <c r="K668" s="84"/>
      <c r="L668" s="48" t="s">
        <v>99</v>
      </c>
      <c r="N668" s="48" t="s">
        <v>100</v>
      </c>
      <c r="O668" s="64"/>
      <c r="P668" s="54">
        <v>45091</v>
      </c>
      <c r="Q668" s="54">
        <v>45099</v>
      </c>
      <c r="R668" s="54">
        <v>45103</v>
      </c>
      <c r="S668" s="85"/>
      <c r="T668" s="86"/>
      <c r="U668" s="54">
        <v>45104</v>
      </c>
      <c r="V668" s="54">
        <v>45105</v>
      </c>
      <c r="W668" s="87"/>
      <c r="X668" s="88" t="s">
        <v>786</v>
      </c>
      <c r="Y668" s="48" t="s">
        <v>785</v>
      </c>
      <c r="Z668" s="48" t="s">
        <v>860</v>
      </c>
      <c r="AA668" s="57" t="str">
        <f t="shared" si="10"/>
        <v>Técnico</v>
      </c>
    </row>
    <row r="669" spans="2:27" ht="3.75" customHeight="1" x14ac:dyDescent="0.25">
      <c r="F669" s="119"/>
      <c r="AA669" s="57" t="str">
        <f t="shared" si="10"/>
        <v/>
      </c>
    </row>
    <row r="670" spans="2:27" x14ac:dyDescent="0.25">
      <c r="B670" s="48" t="s">
        <v>757</v>
      </c>
      <c r="C670" s="59"/>
      <c r="D670" s="49" t="s">
        <v>102</v>
      </c>
      <c r="F670" s="49" t="s">
        <v>758</v>
      </c>
      <c r="G670" s="82"/>
      <c r="H670" s="49" t="s">
        <v>759</v>
      </c>
      <c r="I670" s="83"/>
      <c r="J670" s="51" t="s">
        <v>98</v>
      </c>
      <c r="K670" s="84"/>
      <c r="L670" s="48" t="s">
        <v>99</v>
      </c>
      <c r="N670" s="48" t="s">
        <v>100</v>
      </c>
      <c r="O670" s="64"/>
      <c r="P670" s="54">
        <v>45092</v>
      </c>
      <c r="Q670" s="54">
        <v>45096</v>
      </c>
      <c r="R670" s="54">
        <v>45098</v>
      </c>
      <c r="S670" s="85"/>
      <c r="T670" s="86"/>
      <c r="U670" s="54">
        <v>45096</v>
      </c>
      <c r="V670" s="54">
        <v>45098</v>
      </c>
      <c r="W670" s="87"/>
      <c r="X670" s="88" t="s">
        <v>785</v>
      </c>
      <c r="Y670" s="48" t="s">
        <v>785</v>
      </c>
      <c r="Z670" s="48" t="s">
        <v>859</v>
      </c>
      <c r="AA670" s="57" t="str">
        <f t="shared" si="10"/>
        <v/>
      </c>
    </row>
    <row r="671" spans="2:27" ht="3.75" customHeight="1" x14ac:dyDescent="0.25">
      <c r="F671" s="119"/>
      <c r="AA671" s="57" t="str">
        <f t="shared" si="10"/>
        <v/>
      </c>
    </row>
    <row r="672" spans="2:27" s="101" customFormat="1" x14ac:dyDescent="0.25">
      <c r="B672" s="102" t="s">
        <v>760</v>
      </c>
      <c r="C672" s="103"/>
      <c r="D672" s="104" t="s">
        <v>761</v>
      </c>
      <c r="F672" s="104" t="s">
        <v>762</v>
      </c>
      <c r="G672" s="105"/>
      <c r="H672" s="104" t="s">
        <v>121</v>
      </c>
      <c r="I672" s="106"/>
      <c r="J672" s="107" t="s">
        <v>98</v>
      </c>
      <c r="K672" s="108"/>
      <c r="L672" s="102" t="s">
        <v>99</v>
      </c>
      <c r="M672" s="109"/>
      <c r="N672" s="102" t="s">
        <v>239</v>
      </c>
      <c r="O672" s="110"/>
      <c r="P672" s="111">
        <v>45096</v>
      </c>
      <c r="Q672" s="111">
        <v>45100</v>
      </c>
      <c r="R672" s="111">
        <v>45104</v>
      </c>
      <c r="S672" s="112"/>
      <c r="T672" s="113"/>
      <c r="U672" s="111">
        <v>45107</v>
      </c>
      <c r="V672" s="111">
        <v>45110</v>
      </c>
      <c r="W672" s="114"/>
      <c r="X672" s="115" t="s">
        <v>786</v>
      </c>
      <c r="Y672" s="102" t="s">
        <v>786</v>
      </c>
      <c r="Z672" s="102" t="s">
        <v>860</v>
      </c>
      <c r="AA672" s="116" t="str">
        <f t="shared" si="10"/>
        <v>Ambos</v>
      </c>
    </row>
    <row r="673" spans="2:27" ht="3.75" customHeight="1" x14ac:dyDescent="0.25">
      <c r="F673" s="119"/>
      <c r="AA673" s="57" t="str">
        <f t="shared" si="10"/>
        <v/>
      </c>
    </row>
    <row r="674" spans="2:27" x14ac:dyDescent="0.25">
      <c r="B674" s="48" t="s">
        <v>763</v>
      </c>
      <c r="C674" s="59"/>
      <c r="D674" s="49" t="s">
        <v>764</v>
      </c>
      <c r="F674" s="49" t="s">
        <v>765</v>
      </c>
      <c r="G674" s="89"/>
      <c r="H674" s="49" t="s">
        <v>121</v>
      </c>
      <c r="I674" s="83"/>
      <c r="J674" s="51" t="s">
        <v>166</v>
      </c>
      <c r="K674" s="84"/>
      <c r="L674" s="48" t="s">
        <v>99</v>
      </c>
      <c r="N674" s="48" t="s">
        <v>100</v>
      </c>
      <c r="O674" s="64"/>
      <c r="P674" s="54">
        <v>45091</v>
      </c>
      <c r="Q674" s="54">
        <v>45096</v>
      </c>
      <c r="R674" s="54">
        <v>45098</v>
      </c>
      <c r="S674" s="85"/>
      <c r="T674" s="86"/>
      <c r="U674" s="54">
        <v>45097</v>
      </c>
      <c r="V674" s="54">
        <v>45098</v>
      </c>
      <c r="W674" s="87"/>
      <c r="X674" s="88" t="s">
        <v>786</v>
      </c>
      <c r="Y674" s="48" t="s">
        <v>785</v>
      </c>
      <c r="Z674" s="48" t="s">
        <v>860</v>
      </c>
      <c r="AA674" s="57" t="str">
        <f t="shared" si="10"/>
        <v>Técnico</v>
      </c>
    </row>
    <row r="675" spans="2:27" ht="3.75" customHeight="1" x14ac:dyDescent="0.25">
      <c r="F675" s="119"/>
      <c r="AA675" s="57" t="str">
        <f t="shared" si="10"/>
        <v/>
      </c>
    </row>
    <row r="676" spans="2:27" x14ac:dyDescent="0.25">
      <c r="B676" s="48" t="s">
        <v>766</v>
      </c>
      <c r="C676" s="59"/>
      <c r="D676" s="49" t="s">
        <v>764</v>
      </c>
      <c r="F676" s="49" t="s">
        <v>767</v>
      </c>
      <c r="G676" s="89"/>
      <c r="H676" s="49" t="s">
        <v>121</v>
      </c>
      <c r="I676" s="83"/>
      <c r="J676" s="51" t="s">
        <v>166</v>
      </c>
      <c r="K676" s="84"/>
      <c r="L676" s="48" t="s">
        <v>768</v>
      </c>
      <c r="N676" s="48" t="s">
        <v>100</v>
      </c>
      <c r="O676" s="64"/>
      <c r="P676" s="54">
        <v>45091</v>
      </c>
      <c r="Q676" s="54">
        <v>45096</v>
      </c>
      <c r="R676" s="54">
        <v>45098</v>
      </c>
      <c r="S676" s="85"/>
      <c r="T676" s="86"/>
      <c r="U676" s="54">
        <v>45097</v>
      </c>
      <c r="V676" s="54">
        <v>45098</v>
      </c>
      <c r="W676" s="87"/>
      <c r="X676" s="88" t="s">
        <v>786</v>
      </c>
      <c r="Y676" s="48" t="s">
        <v>785</v>
      </c>
      <c r="Z676" s="48" t="s">
        <v>860</v>
      </c>
      <c r="AA676" s="57" t="str">
        <f t="shared" si="10"/>
        <v>Técnico</v>
      </c>
    </row>
    <row r="677" spans="2:27" ht="3.75" customHeight="1" x14ac:dyDescent="0.25">
      <c r="F677" s="119"/>
      <c r="AA677" s="57" t="str">
        <f t="shared" si="10"/>
        <v/>
      </c>
    </row>
    <row r="678" spans="2:27" x14ac:dyDescent="0.25">
      <c r="B678" s="48" t="s">
        <v>769</v>
      </c>
      <c r="C678" s="59"/>
      <c r="D678" s="49" t="s">
        <v>764</v>
      </c>
      <c r="F678" s="49" t="s">
        <v>770</v>
      </c>
      <c r="G678" s="89"/>
      <c r="H678" s="49" t="s">
        <v>121</v>
      </c>
      <c r="I678" s="83"/>
      <c r="J678" s="51" t="s">
        <v>166</v>
      </c>
      <c r="K678" s="84"/>
      <c r="L678" s="48" t="s">
        <v>99</v>
      </c>
      <c r="N678" s="48" t="s">
        <v>100</v>
      </c>
      <c r="O678" s="64"/>
      <c r="P678" s="54">
        <v>45091</v>
      </c>
      <c r="Q678" s="54">
        <v>45096</v>
      </c>
      <c r="R678" s="54">
        <v>45098</v>
      </c>
      <c r="S678" s="85"/>
      <c r="T678" s="86"/>
      <c r="U678" s="54">
        <v>45097</v>
      </c>
      <c r="V678" s="54">
        <v>45098</v>
      </c>
      <c r="W678" s="87"/>
      <c r="X678" s="88" t="s">
        <v>786</v>
      </c>
      <c r="Y678" s="48" t="s">
        <v>785</v>
      </c>
      <c r="Z678" s="48" t="s">
        <v>860</v>
      </c>
      <c r="AA678" s="57" t="str">
        <f t="shared" si="10"/>
        <v>Técnico</v>
      </c>
    </row>
    <row r="679" spans="2:27" ht="3.75" customHeight="1" x14ac:dyDescent="0.25">
      <c r="F679" s="119"/>
      <c r="AA679" s="57" t="str">
        <f t="shared" si="10"/>
        <v/>
      </c>
    </row>
    <row r="680" spans="2:27" x14ac:dyDescent="0.25">
      <c r="B680" s="48" t="s">
        <v>771</v>
      </c>
      <c r="C680" s="59"/>
      <c r="D680" s="49" t="s">
        <v>764</v>
      </c>
      <c r="F680" s="49" t="s">
        <v>772</v>
      </c>
      <c r="G680" s="89"/>
      <c r="H680" s="49" t="s">
        <v>121</v>
      </c>
      <c r="I680" s="83"/>
      <c r="J680" s="51" t="s">
        <v>166</v>
      </c>
      <c r="K680" s="84"/>
      <c r="L680" s="48" t="s">
        <v>99</v>
      </c>
      <c r="N680" s="48" t="s">
        <v>100</v>
      </c>
      <c r="O680" s="64"/>
      <c r="P680" s="54">
        <v>45091</v>
      </c>
      <c r="Q680" s="54">
        <v>45096</v>
      </c>
      <c r="R680" s="54">
        <v>45098</v>
      </c>
      <c r="S680" s="85"/>
      <c r="T680" s="86"/>
      <c r="U680" s="54">
        <v>45097</v>
      </c>
      <c r="V680" s="54">
        <v>45098</v>
      </c>
      <c r="W680" s="87"/>
      <c r="X680" s="88" t="s">
        <v>786</v>
      </c>
      <c r="Y680" s="48" t="s">
        <v>785</v>
      </c>
      <c r="Z680" s="48" t="s">
        <v>860</v>
      </c>
      <c r="AA680" s="57" t="str">
        <f t="shared" si="10"/>
        <v>Técnico</v>
      </c>
    </row>
    <row r="681" spans="2:27" ht="3.75" customHeight="1" x14ac:dyDescent="0.25">
      <c r="F681" s="119"/>
      <c r="AA681" s="57" t="str">
        <f t="shared" si="10"/>
        <v/>
      </c>
    </row>
    <row r="682" spans="2:27" x14ac:dyDescent="0.25">
      <c r="B682" s="48" t="s">
        <v>773</v>
      </c>
      <c r="C682" s="59"/>
      <c r="D682" s="49" t="s">
        <v>774</v>
      </c>
      <c r="F682" s="49" t="s">
        <v>775</v>
      </c>
      <c r="G682" s="82"/>
      <c r="H682" s="49" t="s">
        <v>776</v>
      </c>
      <c r="I682" s="83"/>
      <c r="J682" s="51" t="s">
        <v>110</v>
      </c>
      <c r="K682" s="84"/>
      <c r="L682" s="48" t="s">
        <v>99</v>
      </c>
      <c r="N682" s="48" t="s">
        <v>239</v>
      </c>
      <c r="O682" s="64"/>
      <c r="P682" s="54">
        <v>45086</v>
      </c>
      <c r="Q682" s="54">
        <v>45098</v>
      </c>
      <c r="R682" s="54">
        <v>45100</v>
      </c>
      <c r="S682" s="85"/>
      <c r="T682" s="86"/>
      <c r="U682" s="54">
        <v>45098</v>
      </c>
      <c r="V682" s="54">
        <v>45100</v>
      </c>
      <c r="W682" s="87"/>
      <c r="X682" s="88" t="s">
        <v>785</v>
      </c>
      <c r="Y682" s="48" t="s">
        <v>785</v>
      </c>
      <c r="Z682" s="48" t="s">
        <v>863</v>
      </c>
      <c r="AA682" s="57" t="str">
        <f t="shared" si="10"/>
        <v/>
      </c>
    </row>
    <row r="683" spans="2:27" ht="3.75" customHeight="1" x14ac:dyDescent="0.25">
      <c r="F683" s="119"/>
      <c r="AA683" s="57" t="str">
        <f t="shared" si="10"/>
        <v/>
      </c>
    </row>
    <row r="684" spans="2:27" x14ac:dyDescent="0.25">
      <c r="B684" s="48" t="s">
        <v>777</v>
      </c>
      <c r="C684" s="59"/>
      <c r="D684" s="49" t="s">
        <v>306</v>
      </c>
      <c r="F684" s="49" t="s">
        <v>778</v>
      </c>
      <c r="G684" s="82"/>
      <c r="H684" s="49" t="s">
        <v>779</v>
      </c>
      <c r="I684" s="83"/>
      <c r="J684" s="51" t="s">
        <v>111</v>
      </c>
      <c r="K684" s="84"/>
      <c r="L684" s="48" t="s">
        <v>99</v>
      </c>
      <c r="N684" s="48" t="s">
        <v>100</v>
      </c>
      <c r="O684" s="64"/>
      <c r="P684" s="54">
        <v>45103</v>
      </c>
      <c r="Q684" s="54">
        <v>45105</v>
      </c>
      <c r="R684" s="54">
        <v>45107</v>
      </c>
      <c r="S684" s="85"/>
      <c r="T684" s="86"/>
      <c r="U684" s="54">
        <v>45104</v>
      </c>
      <c r="V684" s="54">
        <v>45107</v>
      </c>
      <c r="W684" s="87"/>
      <c r="X684" s="88" t="s">
        <v>785</v>
      </c>
      <c r="Y684" s="48" t="s">
        <v>785</v>
      </c>
      <c r="Z684" s="48" t="s">
        <v>859</v>
      </c>
      <c r="AA684" s="57" t="str">
        <f t="shared" si="10"/>
        <v/>
      </c>
    </row>
    <row r="685" spans="2:27" ht="3.75" customHeight="1" x14ac:dyDescent="0.25">
      <c r="F685" s="119"/>
      <c r="AA685" s="57" t="str">
        <f t="shared" si="10"/>
        <v/>
      </c>
    </row>
    <row r="686" spans="2:27" x14ac:dyDescent="0.25">
      <c r="B686" s="48" t="s">
        <v>780</v>
      </c>
      <c r="C686" s="59"/>
      <c r="D686" s="49" t="s">
        <v>362</v>
      </c>
      <c r="F686" s="49" t="s">
        <v>363</v>
      </c>
      <c r="G686" s="82"/>
      <c r="H686" s="49" t="s">
        <v>781</v>
      </c>
      <c r="I686" s="83"/>
      <c r="J686" s="51" t="s">
        <v>110</v>
      </c>
      <c r="K686" s="84"/>
      <c r="L686" s="48" t="s">
        <v>99</v>
      </c>
      <c r="N686" s="48" t="s">
        <v>110</v>
      </c>
      <c r="O686" s="64"/>
      <c r="P686" s="54">
        <v>45100</v>
      </c>
      <c r="Q686" s="54">
        <v>45106</v>
      </c>
      <c r="R686" s="54">
        <v>45107</v>
      </c>
      <c r="S686" s="85"/>
      <c r="T686" s="86"/>
      <c r="U686" s="54">
        <v>45104</v>
      </c>
      <c r="V686" s="54">
        <v>45105</v>
      </c>
      <c r="W686" s="87"/>
      <c r="X686" s="88" t="s">
        <v>785</v>
      </c>
      <c r="Y686" s="48" t="s">
        <v>785</v>
      </c>
      <c r="Z686" s="48" t="s">
        <v>860</v>
      </c>
      <c r="AA686" s="57" t="str">
        <f t="shared" si="10"/>
        <v/>
      </c>
    </row>
    <row r="687" spans="2:27" ht="11.25" customHeight="1" x14ac:dyDescent="0.25">
      <c r="AA687" s="57" t="str">
        <f t="shared" si="10"/>
        <v/>
      </c>
    </row>
    <row r="688" spans="2:27" ht="6.75" customHeight="1" x14ac:dyDescent="0.25">
      <c r="AA688" s="57" t="str">
        <f t="shared" si="10"/>
        <v/>
      </c>
    </row>
    <row r="689" spans="13:27" ht="15" customHeight="1" x14ac:dyDescent="0.25">
      <c r="AA689" s="57" t="str">
        <f t="shared" si="10"/>
        <v/>
      </c>
    </row>
    <row r="690" spans="13:27" ht="15" customHeight="1" x14ac:dyDescent="0.25">
      <c r="M690" s="53" t="s">
        <v>782</v>
      </c>
      <c r="N690" s="58"/>
      <c r="O690" s="64"/>
      <c r="P690" s="65"/>
      <c r="Q690" s="65"/>
      <c r="S690" s="66"/>
      <c r="T690" s="56" t="s">
        <v>783</v>
      </c>
      <c r="U690" s="90"/>
      <c r="V690" s="91"/>
      <c r="W690" s="92">
        <v>45237</v>
      </c>
      <c r="X690" s="65"/>
      <c r="AA690" s="57" t="str">
        <f t="shared" si="10"/>
        <v/>
      </c>
    </row>
    <row r="691" spans="13:27" ht="12.75" customHeight="1" x14ac:dyDescent="0.25">
      <c r="AA691" s="57" t="str">
        <f t="shared" si="10"/>
        <v/>
      </c>
    </row>
    <row r="692" spans="13:27" ht="12.75" customHeight="1" x14ac:dyDescent="0.25">
      <c r="AA692" s="57" t="str">
        <f t="shared" si="10"/>
        <v/>
      </c>
    </row>
    <row r="693" spans="13:27" ht="12.75" customHeight="1" x14ac:dyDescent="0.25">
      <c r="AA693" s="57" t="str">
        <f t="shared" si="10"/>
        <v/>
      </c>
    </row>
    <row r="694" spans="13:27" ht="12.75" customHeight="1" x14ac:dyDescent="0.25">
      <c r="AA694" s="57" t="str">
        <f t="shared" si="10"/>
        <v/>
      </c>
    </row>
    <row r="695" spans="13:27" ht="12.75" customHeight="1" x14ac:dyDescent="0.25">
      <c r="AA695" s="57" t="str">
        <f t="shared" si="10"/>
        <v/>
      </c>
    </row>
    <row r="696" spans="13:27" ht="12.75" customHeight="1" x14ac:dyDescent="0.25">
      <c r="AA696" s="57" t="str">
        <f t="shared" si="10"/>
        <v/>
      </c>
    </row>
    <row r="697" spans="13:27" ht="12.75" customHeight="1" x14ac:dyDescent="0.25">
      <c r="AA697" s="57" t="str">
        <f t="shared" si="10"/>
        <v/>
      </c>
    </row>
    <row r="698" spans="13:27" ht="12.75" customHeight="1" x14ac:dyDescent="0.25">
      <c r="AA698" s="57" t="str">
        <f t="shared" si="10"/>
        <v/>
      </c>
    </row>
    <row r="699" spans="13:27" ht="12.75" customHeight="1" x14ac:dyDescent="0.25">
      <c r="AA699" s="57" t="str">
        <f t="shared" si="10"/>
        <v/>
      </c>
    </row>
    <row r="700" spans="13:27" ht="12.75" customHeight="1" x14ac:dyDescent="0.25">
      <c r="AA700" s="57" t="str">
        <f t="shared" si="10"/>
        <v/>
      </c>
    </row>
    <row r="701" spans="13:27" ht="12.75" customHeight="1" x14ac:dyDescent="0.25">
      <c r="AA701" s="57" t="str">
        <f t="shared" si="10"/>
        <v/>
      </c>
    </row>
    <row r="702" spans="13:27" ht="12.75" customHeight="1" x14ac:dyDescent="0.25">
      <c r="AA702" s="57" t="str">
        <f t="shared" si="10"/>
        <v/>
      </c>
    </row>
    <row r="703" spans="13:27" ht="12.75" customHeight="1" x14ac:dyDescent="0.25">
      <c r="AA703" s="57" t="str">
        <f t="shared" si="10"/>
        <v/>
      </c>
    </row>
    <row r="704" spans="13:27" ht="12.75" customHeight="1" x14ac:dyDescent="0.25">
      <c r="AA704" s="57" t="str">
        <f t="shared" si="10"/>
        <v/>
      </c>
    </row>
    <row r="705" spans="27:27" ht="12.75" customHeight="1" x14ac:dyDescent="0.25">
      <c r="AA705" s="57" t="str">
        <f t="shared" si="10"/>
        <v/>
      </c>
    </row>
    <row r="706" spans="27:27" ht="12.75" customHeight="1" x14ac:dyDescent="0.25">
      <c r="AA706" s="57" t="str">
        <f t="shared" si="10"/>
        <v/>
      </c>
    </row>
    <row r="707" spans="27:27" ht="12.75" customHeight="1" x14ac:dyDescent="0.25">
      <c r="AA707" s="57" t="str">
        <f t="shared" si="10"/>
        <v/>
      </c>
    </row>
    <row r="708" spans="27:27" ht="12.75" customHeight="1" x14ac:dyDescent="0.25">
      <c r="AA708" s="57" t="str">
        <f t="shared" si="10"/>
        <v/>
      </c>
    </row>
    <row r="709" spans="27:27" ht="12.75" customHeight="1" x14ac:dyDescent="0.25">
      <c r="AA709" s="57" t="str">
        <f t="shared" si="10"/>
        <v/>
      </c>
    </row>
    <row r="710" spans="27:27" ht="12.75" customHeight="1" x14ac:dyDescent="0.25">
      <c r="AA710" s="57" t="str">
        <f t="shared" si="10"/>
        <v/>
      </c>
    </row>
    <row r="711" spans="27:27" ht="12.75" customHeight="1" x14ac:dyDescent="0.25">
      <c r="AA711" s="57" t="str">
        <f t="shared" si="10"/>
        <v/>
      </c>
    </row>
    <row r="712" spans="27:27" ht="12.75" customHeight="1" x14ac:dyDescent="0.25">
      <c r="AA712" s="57" t="str">
        <f t="shared" si="10"/>
        <v/>
      </c>
    </row>
    <row r="713" spans="27:27" ht="12.75" customHeight="1" x14ac:dyDescent="0.25">
      <c r="AA713" s="57" t="str">
        <f t="shared" si="10"/>
        <v/>
      </c>
    </row>
    <row r="714" spans="27:27" ht="12.75" customHeight="1" x14ac:dyDescent="0.25">
      <c r="AA714" s="57" t="str">
        <f t="shared" si="10"/>
        <v/>
      </c>
    </row>
    <row r="715" spans="27:27" ht="12.75" customHeight="1" x14ac:dyDescent="0.25">
      <c r="AA715" s="57" t="str">
        <f t="shared" si="10"/>
        <v/>
      </c>
    </row>
    <row r="716" spans="27:27" ht="12.75" customHeight="1" x14ac:dyDescent="0.25">
      <c r="AA716" s="57" t="str">
        <f t="shared" ref="AA716:AA779" si="11">IFERROR(
IF(AND(X716="Não",Y716="Sim"),"REP",
IF(AND(X716="Sim",Y716="Não"),"Técnico",
IF(AND(X716="Sim",Y716="Sim"),"Ambos",""))),
"")</f>
        <v/>
      </c>
    </row>
    <row r="717" spans="27:27" ht="12.75" customHeight="1" x14ac:dyDescent="0.25">
      <c r="AA717" s="57" t="str">
        <f t="shared" si="11"/>
        <v/>
      </c>
    </row>
    <row r="718" spans="27:27" ht="12.75" customHeight="1" x14ac:dyDescent="0.25">
      <c r="AA718" s="57" t="str">
        <f t="shared" si="11"/>
        <v/>
      </c>
    </row>
    <row r="719" spans="27:27" ht="12.75" customHeight="1" x14ac:dyDescent="0.25">
      <c r="AA719" s="57" t="str">
        <f t="shared" si="11"/>
        <v/>
      </c>
    </row>
    <row r="720" spans="27:27" ht="12.75" customHeight="1" x14ac:dyDescent="0.25">
      <c r="AA720" s="57" t="str">
        <f t="shared" si="11"/>
        <v/>
      </c>
    </row>
    <row r="721" spans="27:27" ht="12.75" customHeight="1" x14ac:dyDescent="0.25">
      <c r="AA721" s="57" t="str">
        <f t="shared" si="11"/>
        <v/>
      </c>
    </row>
    <row r="722" spans="27:27" ht="12.75" customHeight="1" x14ac:dyDescent="0.25">
      <c r="AA722" s="57" t="str">
        <f t="shared" si="11"/>
        <v/>
      </c>
    </row>
    <row r="723" spans="27:27" ht="12.75" customHeight="1" x14ac:dyDescent="0.25">
      <c r="AA723" s="57" t="str">
        <f t="shared" si="11"/>
        <v/>
      </c>
    </row>
    <row r="724" spans="27:27" ht="12.75" customHeight="1" x14ac:dyDescent="0.25">
      <c r="AA724" s="57" t="str">
        <f t="shared" si="11"/>
        <v/>
      </c>
    </row>
    <row r="725" spans="27:27" ht="12.75" customHeight="1" x14ac:dyDescent="0.25">
      <c r="AA725" s="57" t="str">
        <f t="shared" si="11"/>
        <v/>
      </c>
    </row>
    <row r="726" spans="27:27" ht="12.75" customHeight="1" x14ac:dyDescent="0.25">
      <c r="AA726" s="57" t="str">
        <f t="shared" si="11"/>
        <v/>
      </c>
    </row>
    <row r="727" spans="27:27" ht="12.75" customHeight="1" x14ac:dyDescent="0.25">
      <c r="AA727" s="57" t="str">
        <f t="shared" si="11"/>
        <v/>
      </c>
    </row>
    <row r="728" spans="27:27" ht="12.75" customHeight="1" x14ac:dyDescent="0.25">
      <c r="AA728" s="57" t="str">
        <f t="shared" si="11"/>
        <v/>
      </c>
    </row>
    <row r="729" spans="27:27" ht="12.75" customHeight="1" x14ac:dyDescent="0.25">
      <c r="AA729" s="57" t="str">
        <f t="shared" si="11"/>
        <v/>
      </c>
    </row>
    <row r="730" spans="27:27" ht="12.75" customHeight="1" x14ac:dyDescent="0.25">
      <c r="AA730" s="57" t="str">
        <f t="shared" si="11"/>
        <v/>
      </c>
    </row>
    <row r="731" spans="27:27" ht="12.75" customHeight="1" x14ac:dyDescent="0.25">
      <c r="AA731" s="57" t="str">
        <f t="shared" si="11"/>
        <v/>
      </c>
    </row>
    <row r="732" spans="27:27" ht="12.75" customHeight="1" x14ac:dyDescent="0.25">
      <c r="AA732" s="57" t="str">
        <f t="shared" si="11"/>
        <v/>
      </c>
    </row>
    <row r="733" spans="27:27" ht="12.75" customHeight="1" x14ac:dyDescent="0.25">
      <c r="AA733" s="57" t="str">
        <f t="shared" si="11"/>
        <v/>
      </c>
    </row>
    <row r="734" spans="27:27" ht="12.75" customHeight="1" x14ac:dyDescent="0.25">
      <c r="AA734" s="57" t="str">
        <f t="shared" si="11"/>
        <v/>
      </c>
    </row>
    <row r="735" spans="27:27" ht="12.75" customHeight="1" x14ac:dyDescent="0.25">
      <c r="AA735" s="57" t="str">
        <f t="shared" si="11"/>
        <v/>
      </c>
    </row>
    <row r="736" spans="27:27" ht="12.75" customHeight="1" x14ac:dyDescent="0.25">
      <c r="AA736" s="57" t="str">
        <f t="shared" si="11"/>
        <v/>
      </c>
    </row>
    <row r="737" spans="27:27" ht="12.75" customHeight="1" x14ac:dyDescent="0.25">
      <c r="AA737" s="57" t="str">
        <f t="shared" si="11"/>
        <v/>
      </c>
    </row>
    <row r="738" spans="27:27" ht="12.75" customHeight="1" x14ac:dyDescent="0.25">
      <c r="AA738" s="57" t="str">
        <f t="shared" si="11"/>
        <v/>
      </c>
    </row>
    <row r="739" spans="27:27" ht="12.75" customHeight="1" x14ac:dyDescent="0.25">
      <c r="AA739" s="57" t="str">
        <f t="shared" si="11"/>
        <v/>
      </c>
    </row>
    <row r="740" spans="27:27" ht="12.75" customHeight="1" x14ac:dyDescent="0.25">
      <c r="AA740" s="57" t="str">
        <f t="shared" si="11"/>
        <v/>
      </c>
    </row>
    <row r="741" spans="27:27" ht="12.75" customHeight="1" x14ac:dyDescent="0.25">
      <c r="AA741" s="57" t="str">
        <f t="shared" si="11"/>
        <v/>
      </c>
    </row>
    <row r="742" spans="27:27" ht="12.75" customHeight="1" x14ac:dyDescent="0.25">
      <c r="AA742" s="57" t="str">
        <f t="shared" si="11"/>
        <v/>
      </c>
    </row>
    <row r="743" spans="27:27" ht="12.75" customHeight="1" x14ac:dyDescent="0.25">
      <c r="AA743" s="57" t="str">
        <f t="shared" si="11"/>
        <v/>
      </c>
    </row>
    <row r="744" spans="27:27" ht="12.75" customHeight="1" x14ac:dyDescent="0.25">
      <c r="AA744" s="57" t="str">
        <f t="shared" si="11"/>
        <v/>
      </c>
    </row>
    <row r="745" spans="27:27" ht="12.75" customHeight="1" x14ac:dyDescent="0.25">
      <c r="AA745" s="57" t="str">
        <f t="shared" si="11"/>
        <v/>
      </c>
    </row>
    <row r="746" spans="27:27" ht="12.75" customHeight="1" x14ac:dyDescent="0.25">
      <c r="AA746" s="57" t="str">
        <f t="shared" si="11"/>
        <v/>
      </c>
    </row>
    <row r="747" spans="27:27" ht="12.75" customHeight="1" x14ac:dyDescent="0.25">
      <c r="AA747" s="57" t="str">
        <f t="shared" si="11"/>
        <v/>
      </c>
    </row>
    <row r="748" spans="27:27" ht="12.75" customHeight="1" x14ac:dyDescent="0.25">
      <c r="AA748" s="57" t="str">
        <f t="shared" si="11"/>
        <v/>
      </c>
    </row>
    <row r="749" spans="27:27" ht="12.75" customHeight="1" x14ac:dyDescent="0.25">
      <c r="AA749" s="57" t="str">
        <f t="shared" si="11"/>
        <v/>
      </c>
    </row>
    <row r="750" spans="27:27" ht="12.75" customHeight="1" x14ac:dyDescent="0.25">
      <c r="AA750" s="57" t="str">
        <f t="shared" si="11"/>
        <v/>
      </c>
    </row>
    <row r="751" spans="27:27" ht="12.75" customHeight="1" x14ac:dyDescent="0.25">
      <c r="AA751" s="57" t="str">
        <f t="shared" si="11"/>
        <v/>
      </c>
    </row>
    <row r="752" spans="27:27" ht="12.75" customHeight="1" x14ac:dyDescent="0.25">
      <c r="AA752" s="57" t="str">
        <f t="shared" si="11"/>
        <v/>
      </c>
    </row>
    <row r="753" spans="27:27" ht="12.75" customHeight="1" x14ac:dyDescent="0.25">
      <c r="AA753" s="57" t="str">
        <f t="shared" si="11"/>
        <v/>
      </c>
    </row>
    <row r="754" spans="27:27" ht="12.75" customHeight="1" x14ac:dyDescent="0.25">
      <c r="AA754" s="57" t="str">
        <f t="shared" si="11"/>
        <v/>
      </c>
    </row>
    <row r="755" spans="27:27" ht="12.75" customHeight="1" x14ac:dyDescent="0.25">
      <c r="AA755" s="57" t="str">
        <f t="shared" si="11"/>
        <v/>
      </c>
    </row>
    <row r="756" spans="27:27" ht="12.75" customHeight="1" x14ac:dyDescent="0.25">
      <c r="AA756" s="57" t="str">
        <f t="shared" si="11"/>
        <v/>
      </c>
    </row>
    <row r="757" spans="27:27" ht="12.75" customHeight="1" x14ac:dyDescent="0.25">
      <c r="AA757" s="57" t="str">
        <f t="shared" si="11"/>
        <v/>
      </c>
    </row>
    <row r="758" spans="27:27" ht="12.75" customHeight="1" x14ac:dyDescent="0.25">
      <c r="AA758" s="57" t="str">
        <f t="shared" si="11"/>
        <v/>
      </c>
    </row>
    <row r="759" spans="27:27" ht="12.75" customHeight="1" x14ac:dyDescent="0.25">
      <c r="AA759" s="57" t="str">
        <f t="shared" si="11"/>
        <v/>
      </c>
    </row>
    <row r="760" spans="27:27" ht="12.75" customHeight="1" x14ac:dyDescent="0.25">
      <c r="AA760" s="57" t="str">
        <f t="shared" si="11"/>
        <v/>
      </c>
    </row>
    <row r="761" spans="27:27" ht="12.75" customHeight="1" x14ac:dyDescent="0.25">
      <c r="AA761" s="57" t="str">
        <f t="shared" si="11"/>
        <v/>
      </c>
    </row>
    <row r="762" spans="27:27" ht="12.75" customHeight="1" x14ac:dyDescent="0.25">
      <c r="AA762" s="57" t="str">
        <f t="shared" si="11"/>
        <v/>
      </c>
    </row>
    <row r="763" spans="27:27" ht="12.75" customHeight="1" x14ac:dyDescent="0.25">
      <c r="AA763" s="57" t="str">
        <f t="shared" si="11"/>
        <v/>
      </c>
    </row>
    <row r="764" spans="27:27" ht="12.75" customHeight="1" x14ac:dyDescent="0.25">
      <c r="AA764" s="57" t="str">
        <f t="shared" si="11"/>
        <v/>
      </c>
    </row>
    <row r="765" spans="27:27" ht="12.75" customHeight="1" x14ac:dyDescent="0.25">
      <c r="AA765" s="57" t="str">
        <f t="shared" si="11"/>
        <v/>
      </c>
    </row>
    <row r="766" spans="27:27" ht="12.75" customHeight="1" x14ac:dyDescent="0.25">
      <c r="AA766" s="57" t="str">
        <f t="shared" si="11"/>
        <v/>
      </c>
    </row>
    <row r="767" spans="27:27" ht="12.75" customHeight="1" x14ac:dyDescent="0.25">
      <c r="AA767" s="57" t="str">
        <f t="shared" si="11"/>
        <v/>
      </c>
    </row>
    <row r="768" spans="27:27" ht="12.75" customHeight="1" x14ac:dyDescent="0.25">
      <c r="AA768" s="57" t="str">
        <f t="shared" si="11"/>
        <v/>
      </c>
    </row>
    <row r="769" spans="27:27" ht="12.75" customHeight="1" x14ac:dyDescent="0.25">
      <c r="AA769" s="57" t="str">
        <f t="shared" si="11"/>
        <v/>
      </c>
    </row>
    <row r="770" spans="27:27" ht="12.75" customHeight="1" x14ac:dyDescent="0.25">
      <c r="AA770" s="57" t="str">
        <f t="shared" si="11"/>
        <v/>
      </c>
    </row>
    <row r="771" spans="27:27" ht="12.75" customHeight="1" x14ac:dyDescent="0.25">
      <c r="AA771" s="57" t="str">
        <f t="shared" si="11"/>
        <v/>
      </c>
    </row>
    <row r="772" spans="27:27" ht="12.75" customHeight="1" x14ac:dyDescent="0.25">
      <c r="AA772" s="57" t="str">
        <f t="shared" si="11"/>
        <v/>
      </c>
    </row>
    <row r="773" spans="27:27" ht="12.75" customHeight="1" x14ac:dyDescent="0.25">
      <c r="AA773" s="57" t="str">
        <f t="shared" si="11"/>
        <v/>
      </c>
    </row>
    <row r="774" spans="27:27" ht="12.75" customHeight="1" x14ac:dyDescent="0.25">
      <c r="AA774" s="57" t="str">
        <f t="shared" si="11"/>
        <v/>
      </c>
    </row>
    <row r="775" spans="27:27" ht="12.75" customHeight="1" x14ac:dyDescent="0.25">
      <c r="AA775" s="57" t="str">
        <f t="shared" si="11"/>
        <v/>
      </c>
    </row>
    <row r="776" spans="27:27" ht="12.75" customHeight="1" x14ac:dyDescent="0.25">
      <c r="AA776" s="57" t="str">
        <f t="shared" si="11"/>
        <v/>
      </c>
    </row>
    <row r="777" spans="27:27" ht="12.75" customHeight="1" x14ac:dyDescent="0.25">
      <c r="AA777" s="57" t="str">
        <f t="shared" si="11"/>
        <v/>
      </c>
    </row>
    <row r="778" spans="27:27" ht="12.75" customHeight="1" x14ac:dyDescent="0.25">
      <c r="AA778" s="57" t="str">
        <f t="shared" si="11"/>
        <v/>
      </c>
    </row>
    <row r="779" spans="27:27" ht="12.75" customHeight="1" x14ac:dyDescent="0.25">
      <c r="AA779" s="57" t="str">
        <f t="shared" si="11"/>
        <v/>
      </c>
    </row>
    <row r="780" spans="27:27" ht="12.75" customHeight="1" x14ac:dyDescent="0.25">
      <c r="AA780" s="57" t="str">
        <f t="shared" ref="AA780:AA843" si="12">IFERROR(
IF(AND(X780="Não",Y780="Sim"),"REP",
IF(AND(X780="Sim",Y780="Não"),"Técnico",
IF(AND(X780="Sim",Y780="Sim"),"Ambos",""))),
"")</f>
        <v/>
      </c>
    </row>
    <row r="781" spans="27:27" ht="12.75" customHeight="1" x14ac:dyDescent="0.25">
      <c r="AA781" s="57" t="str">
        <f t="shared" si="12"/>
        <v/>
      </c>
    </row>
    <row r="782" spans="27:27" ht="12.75" customHeight="1" x14ac:dyDescent="0.25">
      <c r="AA782" s="57" t="str">
        <f t="shared" si="12"/>
        <v/>
      </c>
    </row>
    <row r="783" spans="27:27" ht="12.75" customHeight="1" x14ac:dyDescent="0.25">
      <c r="AA783" s="57" t="str">
        <f t="shared" si="12"/>
        <v/>
      </c>
    </row>
    <row r="784" spans="27:27" ht="12.75" customHeight="1" x14ac:dyDescent="0.25">
      <c r="AA784" s="57" t="str">
        <f t="shared" si="12"/>
        <v/>
      </c>
    </row>
    <row r="785" spans="27:27" ht="12.75" customHeight="1" x14ac:dyDescent="0.25">
      <c r="AA785" s="57" t="str">
        <f t="shared" si="12"/>
        <v/>
      </c>
    </row>
    <row r="786" spans="27:27" ht="12.75" customHeight="1" x14ac:dyDescent="0.25">
      <c r="AA786" s="57" t="str">
        <f t="shared" si="12"/>
        <v/>
      </c>
    </row>
    <row r="787" spans="27:27" ht="12.75" customHeight="1" x14ac:dyDescent="0.25">
      <c r="AA787" s="57" t="str">
        <f t="shared" si="12"/>
        <v/>
      </c>
    </row>
    <row r="788" spans="27:27" ht="12.75" customHeight="1" x14ac:dyDescent="0.25">
      <c r="AA788" s="57" t="str">
        <f t="shared" si="12"/>
        <v/>
      </c>
    </row>
    <row r="789" spans="27:27" ht="12.75" customHeight="1" x14ac:dyDescent="0.25">
      <c r="AA789" s="57" t="str">
        <f t="shared" si="12"/>
        <v/>
      </c>
    </row>
    <row r="790" spans="27:27" ht="12.75" customHeight="1" x14ac:dyDescent="0.25">
      <c r="AA790" s="57" t="str">
        <f t="shared" si="12"/>
        <v/>
      </c>
    </row>
    <row r="791" spans="27:27" ht="12.75" customHeight="1" x14ac:dyDescent="0.25">
      <c r="AA791" s="57" t="str">
        <f t="shared" si="12"/>
        <v/>
      </c>
    </row>
    <row r="792" spans="27:27" ht="12.75" customHeight="1" x14ac:dyDescent="0.25">
      <c r="AA792" s="57" t="str">
        <f t="shared" si="12"/>
        <v/>
      </c>
    </row>
    <row r="793" spans="27:27" ht="12.75" customHeight="1" x14ac:dyDescent="0.25">
      <c r="AA793" s="57" t="str">
        <f t="shared" si="12"/>
        <v/>
      </c>
    </row>
    <row r="794" spans="27:27" ht="12.75" customHeight="1" x14ac:dyDescent="0.25">
      <c r="AA794" s="57" t="str">
        <f t="shared" si="12"/>
        <v/>
      </c>
    </row>
    <row r="795" spans="27:27" ht="12.75" customHeight="1" x14ac:dyDescent="0.25">
      <c r="AA795" s="57" t="str">
        <f t="shared" si="12"/>
        <v/>
      </c>
    </row>
    <row r="796" spans="27:27" ht="12.75" customHeight="1" x14ac:dyDescent="0.25">
      <c r="AA796" s="57" t="str">
        <f t="shared" si="12"/>
        <v/>
      </c>
    </row>
    <row r="797" spans="27:27" ht="12.75" customHeight="1" x14ac:dyDescent="0.25">
      <c r="AA797" s="57" t="str">
        <f t="shared" si="12"/>
        <v/>
      </c>
    </row>
    <row r="798" spans="27:27" ht="12.75" customHeight="1" x14ac:dyDescent="0.25">
      <c r="AA798" s="57" t="str">
        <f t="shared" si="12"/>
        <v/>
      </c>
    </row>
    <row r="799" spans="27:27" ht="12.75" customHeight="1" x14ac:dyDescent="0.25">
      <c r="AA799" s="57" t="str">
        <f t="shared" si="12"/>
        <v/>
      </c>
    </row>
    <row r="800" spans="27:27" ht="12.75" customHeight="1" x14ac:dyDescent="0.25">
      <c r="AA800" s="57" t="str">
        <f t="shared" si="12"/>
        <v/>
      </c>
    </row>
    <row r="801" spans="27:27" ht="12.75" customHeight="1" x14ac:dyDescent="0.25">
      <c r="AA801" s="57" t="str">
        <f t="shared" si="12"/>
        <v/>
      </c>
    </row>
    <row r="802" spans="27:27" ht="12.75" customHeight="1" x14ac:dyDescent="0.25">
      <c r="AA802" s="57" t="str">
        <f t="shared" si="12"/>
        <v/>
      </c>
    </row>
    <row r="803" spans="27:27" ht="12.75" customHeight="1" x14ac:dyDescent="0.25">
      <c r="AA803" s="57" t="str">
        <f t="shared" si="12"/>
        <v/>
      </c>
    </row>
    <row r="804" spans="27:27" ht="12.75" customHeight="1" x14ac:dyDescent="0.25">
      <c r="AA804" s="57" t="str">
        <f t="shared" si="12"/>
        <v/>
      </c>
    </row>
    <row r="805" spans="27:27" ht="12.75" customHeight="1" x14ac:dyDescent="0.25">
      <c r="AA805" s="57" t="str">
        <f t="shared" si="12"/>
        <v/>
      </c>
    </row>
    <row r="806" spans="27:27" ht="12.75" customHeight="1" x14ac:dyDescent="0.25">
      <c r="AA806" s="57" t="str">
        <f t="shared" si="12"/>
        <v/>
      </c>
    </row>
    <row r="807" spans="27:27" ht="12.75" customHeight="1" x14ac:dyDescent="0.25">
      <c r="AA807" s="57" t="str">
        <f t="shared" si="12"/>
        <v/>
      </c>
    </row>
    <row r="808" spans="27:27" ht="12.75" customHeight="1" x14ac:dyDescent="0.25">
      <c r="AA808" s="57" t="str">
        <f t="shared" si="12"/>
        <v/>
      </c>
    </row>
    <row r="809" spans="27:27" ht="12.75" customHeight="1" x14ac:dyDescent="0.25">
      <c r="AA809" s="57" t="str">
        <f t="shared" si="12"/>
        <v/>
      </c>
    </row>
    <row r="810" spans="27:27" ht="12.75" customHeight="1" x14ac:dyDescent="0.25">
      <c r="AA810" s="57" t="str">
        <f t="shared" si="12"/>
        <v/>
      </c>
    </row>
    <row r="811" spans="27:27" ht="12.75" customHeight="1" x14ac:dyDescent="0.25">
      <c r="AA811" s="57" t="str">
        <f t="shared" si="12"/>
        <v/>
      </c>
    </row>
    <row r="812" spans="27:27" ht="12.75" customHeight="1" x14ac:dyDescent="0.25">
      <c r="AA812" s="57" t="str">
        <f t="shared" si="12"/>
        <v/>
      </c>
    </row>
    <row r="813" spans="27:27" ht="12.75" customHeight="1" x14ac:dyDescent="0.25">
      <c r="AA813" s="57" t="str">
        <f t="shared" si="12"/>
        <v/>
      </c>
    </row>
    <row r="814" spans="27:27" ht="12.75" customHeight="1" x14ac:dyDescent="0.25">
      <c r="AA814" s="57" t="str">
        <f t="shared" si="12"/>
        <v/>
      </c>
    </row>
    <row r="815" spans="27:27" ht="12.75" customHeight="1" x14ac:dyDescent="0.25">
      <c r="AA815" s="57" t="str">
        <f t="shared" si="12"/>
        <v/>
      </c>
    </row>
    <row r="816" spans="27:27" ht="12.75" customHeight="1" x14ac:dyDescent="0.25">
      <c r="AA816" s="57" t="str">
        <f t="shared" si="12"/>
        <v/>
      </c>
    </row>
    <row r="817" spans="27:27" ht="12.75" customHeight="1" x14ac:dyDescent="0.25">
      <c r="AA817" s="57" t="str">
        <f t="shared" si="12"/>
        <v/>
      </c>
    </row>
    <row r="818" spans="27:27" ht="12.75" customHeight="1" x14ac:dyDescent="0.25">
      <c r="AA818" s="57" t="str">
        <f t="shared" si="12"/>
        <v/>
      </c>
    </row>
    <row r="819" spans="27:27" ht="12.75" customHeight="1" x14ac:dyDescent="0.25">
      <c r="AA819" s="57" t="str">
        <f t="shared" si="12"/>
        <v/>
      </c>
    </row>
    <row r="820" spans="27:27" ht="12.75" customHeight="1" x14ac:dyDescent="0.25">
      <c r="AA820" s="57" t="str">
        <f t="shared" si="12"/>
        <v/>
      </c>
    </row>
    <row r="821" spans="27:27" ht="12.75" customHeight="1" x14ac:dyDescent="0.25">
      <c r="AA821" s="57" t="str">
        <f t="shared" si="12"/>
        <v/>
      </c>
    </row>
    <row r="822" spans="27:27" ht="12.75" customHeight="1" x14ac:dyDescent="0.25">
      <c r="AA822" s="57" t="str">
        <f t="shared" si="12"/>
        <v/>
      </c>
    </row>
    <row r="823" spans="27:27" ht="12.75" customHeight="1" x14ac:dyDescent="0.25">
      <c r="AA823" s="57" t="str">
        <f t="shared" si="12"/>
        <v/>
      </c>
    </row>
    <row r="824" spans="27:27" ht="12.75" customHeight="1" x14ac:dyDescent="0.25">
      <c r="AA824" s="57" t="str">
        <f t="shared" si="12"/>
        <v/>
      </c>
    </row>
    <row r="825" spans="27:27" ht="12.75" customHeight="1" x14ac:dyDescent="0.25">
      <c r="AA825" s="57" t="str">
        <f t="shared" si="12"/>
        <v/>
      </c>
    </row>
    <row r="826" spans="27:27" ht="12.75" customHeight="1" x14ac:dyDescent="0.25">
      <c r="AA826" s="57" t="str">
        <f t="shared" si="12"/>
        <v/>
      </c>
    </row>
    <row r="827" spans="27:27" ht="12.75" customHeight="1" x14ac:dyDescent="0.25">
      <c r="AA827" s="57" t="str">
        <f t="shared" si="12"/>
        <v/>
      </c>
    </row>
    <row r="828" spans="27:27" ht="12.75" customHeight="1" x14ac:dyDescent="0.25">
      <c r="AA828" s="57" t="str">
        <f t="shared" si="12"/>
        <v/>
      </c>
    </row>
    <row r="829" spans="27:27" ht="12.75" customHeight="1" x14ac:dyDescent="0.25">
      <c r="AA829" s="57" t="str">
        <f t="shared" si="12"/>
        <v/>
      </c>
    </row>
    <row r="830" spans="27:27" ht="12.75" customHeight="1" x14ac:dyDescent="0.25">
      <c r="AA830" s="57" t="str">
        <f t="shared" si="12"/>
        <v/>
      </c>
    </row>
    <row r="831" spans="27:27" ht="12.75" customHeight="1" x14ac:dyDescent="0.25">
      <c r="AA831" s="57" t="str">
        <f t="shared" si="12"/>
        <v/>
      </c>
    </row>
    <row r="832" spans="27:27" ht="12.75" customHeight="1" x14ac:dyDescent="0.25">
      <c r="AA832" s="57" t="str">
        <f t="shared" si="12"/>
        <v/>
      </c>
    </row>
    <row r="833" spans="27:27" ht="12.75" customHeight="1" x14ac:dyDescent="0.25">
      <c r="AA833" s="57" t="str">
        <f t="shared" si="12"/>
        <v/>
      </c>
    </row>
    <row r="834" spans="27:27" ht="12.75" customHeight="1" x14ac:dyDescent="0.25">
      <c r="AA834" s="57" t="str">
        <f t="shared" si="12"/>
        <v/>
      </c>
    </row>
    <row r="835" spans="27:27" ht="12.75" customHeight="1" x14ac:dyDescent="0.25">
      <c r="AA835" s="57" t="str">
        <f t="shared" si="12"/>
        <v/>
      </c>
    </row>
    <row r="836" spans="27:27" ht="12.75" customHeight="1" x14ac:dyDescent="0.25">
      <c r="AA836" s="57" t="str">
        <f t="shared" si="12"/>
        <v/>
      </c>
    </row>
    <row r="837" spans="27:27" ht="12.75" customHeight="1" x14ac:dyDescent="0.25">
      <c r="AA837" s="57" t="str">
        <f t="shared" si="12"/>
        <v/>
      </c>
    </row>
    <row r="838" spans="27:27" ht="12.75" customHeight="1" x14ac:dyDescent="0.25">
      <c r="AA838" s="57" t="str">
        <f t="shared" si="12"/>
        <v/>
      </c>
    </row>
    <row r="839" spans="27:27" ht="12.75" customHeight="1" x14ac:dyDescent="0.25">
      <c r="AA839" s="57" t="str">
        <f t="shared" si="12"/>
        <v/>
      </c>
    </row>
    <row r="840" spans="27:27" ht="12.75" customHeight="1" x14ac:dyDescent="0.25">
      <c r="AA840" s="57" t="str">
        <f t="shared" si="12"/>
        <v/>
      </c>
    </row>
    <row r="841" spans="27:27" ht="12.75" customHeight="1" x14ac:dyDescent="0.25">
      <c r="AA841" s="57" t="str">
        <f t="shared" si="12"/>
        <v/>
      </c>
    </row>
    <row r="842" spans="27:27" ht="12.75" customHeight="1" x14ac:dyDescent="0.25">
      <c r="AA842" s="57" t="str">
        <f t="shared" si="12"/>
        <v/>
      </c>
    </row>
    <row r="843" spans="27:27" ht="12.75" customHeight="1" x14ac:dyDescent="0.25">
      <c r="AA843" s="57" t="str">
        <f t="shared" si="12"/>
        <v/>
      </c>
    </row>
    <row r="844" spans="27:27" ht="12.75" customHeight="1" x14ac:dyDescent="0.25">
      <c r="AA844" s="57" t="str">
        <f t="shared" ref="AA844:AA907" si="13">IFERROR(
IF(AND(X844="Não",Y844="Sim"),"REP",
IF(AND(X844="Sim",Y844="Não"),"Técnico",
IF(AND(X844="Sim",Y844="Sim"),"Ambos",""))),
"")</f>
        <v/>
      </c>
    </row>
    <row r="845" spans="27:27" ht="12.75" customHeight="1" x14ac:dyDescent="0.25">
      <c r="AA845" s="57" t="str">
        <f t="shared" si="13"/>
        <v/>
      </c>
    </row>
    <row r="846" spans="27:27" ht="12.75" customHeight="1" x14ac:dyDescent="0.25">
      <c r="AA846" s="57" t="str">
        <f t="shared" si="13"/>
        <v/>
      </c>
    </row>
    <row r="847" spans="27:27" ht="12.75" customHeight="1" x14ac:dyDescent="0.25">
      <c r="AA847" s="57" t="str">
        <f t="shared" si="13"/>
        <v/>
      </c>
    </row>
    <row r="848" spans="27:27" ht="12.75" customHeight="1" x14ac:dyDescent="0.25">
      <c r="AA848" s="57" t="str">
        <f t="shared" si="13"/>
        <v/>
      </c>
    </row>
    <row r="849" spans="27:27" ht="12.75" customHeight="1" x14ac:dyDescent="0.25">
      <c r="AA849" s="57" t="str">
        <f t="shared" si="13"/>
        <v/>
      </c>
    </row>
    <row r="850" spans="27:27" ht="12.75" customHeight="1" x14ac:dyDescent="0.25">
      <c r="AA850" s="57" t="str">
        <f t="shared" si="13"/>
        <v/>
      </c>
    </row>
    <row r="851" spans="27:27" ht="12.75" customHeight="1" x14ac:dyDescent="0.25">
      <c r="AA851" s="57" t="str">
        <f t="shared" si="13"/>
        <v/>
      </c>
    </row>
    <row r="852" spans="27:27" ht="12.75" customHeight="1" x14ac:dyDescent="0.25">
      <c r="AA852" s="57" t="str">
        <f t="shared" si="13"/>
        <v/>
      </c>
    </row>
    <row r="853" spans="27:27" ht="12.75" customHeight="1" x14ac:dyDescent="0.25">
      <c r="AA853" s="57" t="str">
        <f t="shared" si="13"/>
        <v/>
      </c>
    </row>
    <row r="854" spans="27:27" ht="12.75" customHeight="1" x14ac:dyDescent="0.25">
      <c r="AA854" s="57" t="str">
        <f t="shared" si="13"/>
        <v/>
      </c>
    </row>
    <row r="855" spans="27:27" ht="12.75" customHeight="1" x14ac:dyDescent="0.25">
      <c r="AA855" s="57" t="str">
        <f t="shared" si="13"/>
        <v/>
      </c>
    </row>
    <row r="856" spans="27:27" ht="12.75" customHeight="1" x14ac:dyDescent="0.25">
      <c r="AA856" s="57" t="str">
        <f t="shared" si="13"/>
        <v/>
      </c>
    </row>
    <row r="857" spans="27:27" ht="12.75" customHeight="1" x14ac:dyDescent="0.25">
      <c r="AA857" s="57" t="str">
        <f t="shared" si="13"/>
        <v/>
      </c>
    </row>
    <row r="858" spans="27:27" ht="12.75" customHeight="1" x14ac:dyDescent="0.25">
      <c r="AA858" s="57" t="str">
        <f t="shared" si="13"/>
        <v/>
      </c>
    </row>
    <row r="859" spans="27:27" ht="12.75" customHeight="1" x14ac:dyDescent="0.25">
      <c r="AA859" s="57" t="str">
        <f t="shared" si="13"/>
        <v/>
      </c>
    </row>
    <row r="860" spans="27:27" ht="12.75" customHeight="1" x14ac:dyDescent="0.25">
      <c r="AA860" s="57" t="str">
        <f t="shared" si="13"/>
        <v/>
      </c>
    </row>
    <row r="861" spans="27:27" ht="12.75" customHeight="1" x14ac:dyDescent="0.25">
      <c r="AA861" s="57" t="str">
        <f t="shared" si="13"/>
        <v/>
      </c>
    </row>
    <row r="862" spans="27:27" ht="12.75" customHeight="1" x14ac:dyDescent="0.25">
      <c r="AA862" s="57" t="str">
        <f t="shared" si="13"/>
        <v/>
      </c>
    </row>
    <row r="863" spans="27:27" ht="12.75" customHeight="1" x14ac:dyDescent="0.25">
      <c r="AA863" s="57" t="str">
        <f t="shared" si="13"/>
        <v/>
      </c>
    </row>
    <row r="864" spans="27:27" ht="12.75" customHeight="1" x14ac:dyDescent="0.25">
      <c r="AA864" s="57" t="str">
        <f t="shared" si="13"/>
        <v/>
      </c>
    </row>
    <row r="865" spans="27:27" ht="12.75" customHeight="1" x14ac:dyDescent="0.25">
      <c r="AA865" s="57" t="str">
        <f t="shared" si="13"/>
        <v/>
      </c>
    </row>
    <row r="866" spans="27:27" ht="12.75" customHeight="1" x14ac:dyDescent="0.25">
      <c r="AA866" s="57" t="str">
        <f t="shared" si="13"/>
        <v/>
      </c>
    </row>
    <row r="867" spans="27:27" ht="12.75" customHeight="1" x14ac:dyDescent="0.25">
      <c r="AA867" s="57" t="str">
        <f t="shared" si="13"/>
        <v/>
      </c>
    </row>
    <row r="868" spans="27:27" ht="12.75" customHeight="1" x14ac:dyDescent="0.25">
      <c r="AA868" s="57" t="str">
        <f t="shared" si="13"/>
        <v/>
      </c>
    </row>
    <row r="869" spans="27:27" ht="12.75" customHeight="1" x14ac:dyDescent="0.25">
      <c r="AA869" s="57" t="str">
        <f t="shared" si="13"/>
        <v/>
      </c>
    </row>
    <row r="870" spans="27:27" ht="12.75" customHeight="1" x14ac:dyDescent="0.25">
      <c r="AA870" s="57" t="str">
        <f t="shared" si="13"/>
        <v/>
      </c>
    </row>
    <row r="871" spans="27:27" ht="12.75" customHeight="1" x14ac:dyDescent="0.25">
      <c r="AA871" s="57" t="str">
        <f t="shared" si="13"/>
        <v/>
      </c>
    </row>
    <row r="872" spans="27:27" ht="12.75" customHeight="1" x14ac:dyDescent="0.25">
      <c r="AA872" s="57" t="str">
        <f t="shared" si="13"/>
        <v/>
      </c>
    </row>
    <row r="873" spans="27:27" ht="12.75" customHeight="1" x14ac:dyDescent="0.25">
      <c r="AA873" s="57" t="str">
        <f t="shared" si="13"/>
        <v/>
      </c>
    </row>
    <row r="874" spans="27:27" ht="12.75" customHeight="1" x14ac:dyDescent="0.25">
      <c r="AA874" s="57" t="str">
        <f t="shared" si="13"/>
        <v/>
      </c>
    </row>
    <row r="875" spans="27:27" ht="12.75" customHeight="1" x14ac:dyDescent="0.25">
      <c r="AA875" s="57" t="str">
        <f t="shared" si="13"/>
        <v/>
      </c>
    </row>
    <row r="876" spans="27:27" ht="12.75" customHeight="1" x14ac:dyDescent="0.25">
      <c r="AA876" s="57" t="str">
        <f t="shared" si="13"/>
        <v/>
      </c>
    </row>
    <row r="877" spans="27:27" ht="12.75" customHeight="1" x14ac:dyDescent="0.25">
      <c r="AA877" s="57" t="str">
        <f t="shared" si="13"/>
        <v/>
      </c>
    </row>
    <row r="878" spans="27:27" ht="12.75" customHeight="1" x14ac:dyDescent="0.25">
      <c r="AA878" s="57" t="str">
        <f t="shared" si="13"/>
        <v/>
      </c>
    </row>
    <row r="879" spans="27:27" ht="12.75" customHeight="1" x14ac:dyDescent="0.25">
      <c r="AA879" s="57" t="str">
        <f t="shared" si="13"/>
        <v/>
      </c>
    </row>
    <row r="880" spans="27:27" ht="12.75" customHeight="1" x14ac:dyDescent="0.25">
      <c r="AA880" s="57" t="str">
        <f t="shared" si="13"/>
        <v/>
      </c>
    </row>
    <row r="881" spans="27:27" ht="12.75" customHeight="1" x14ac:dyDescent="0.25">
      <c r="AA881" s="57" t="str">
        <f t="shared" si="13"/>
        <v/>
      </c>
    </row>
    <row r="882" spans="27:27" ht="12.75" customHeight="1" x14ac:dyDescent="0.25">
      <c r="AA882" s="57" t="str">
        <f t="shared" si="13"/>
        <v/>
      </c>
    </row>
    <row r="883" spans="27:27" ht="12.75" customHeight="1" x14ac:dyDescent="0.25">
      <c r="AA883" s="57" t="str">
        <f t="shared" si="13"/>
        <v/>
      </c>
    </row>
    <row r="884" spans="27:27" ht="12.75" customHeight="1" x14ac:dyDescent="0.25">
      <c r="AA884" s="57" t="str">
        <f t="shared" si="13"/>
        <v/>
      </c>
    </row>
    <row r="885" spans="27:27" ht="12.75" customHeight="1" x14ac:dyDescent="0.25">
      <c r="AA885" s="57" t="str">
        <f t="shared" si="13"/>
        <v/>
      </c>
    </row>
    <row r="886" spans="27:27" ht="12.75" customHeight="1" x14ac:dyDescent="0.25">
      <c r="AA886" s="57" t="str">
        <f t="shared" si="13"/>
        <v/>
      </c>
    </row>
    <row r="887" spans="27:27" ht="12.75" customHeight="1" x14ac:dyDescent="0.25">
      <c r="AA887" s="57" t="str">
        <f t="shared" si="13"/>
        <v/>
      </c>
    </row>
    <row r="888" spans="27:27" ht="12.75" customHeight="1" x14ac:dyDescent="0.25">
      <c r="AA888" s="57" t="str">
        <f t="shared" si="13"/>
        <v/>
      </c>
    </row>
    <row r="889" spans="27:27" ht="12.75" customHeight="1" x14ac:dyDescent="0.25">
      <c r="AA889" s="57" t="str">
        <f t="shared" si="13"/>
        <v/>
      </c>
    </row>
    <row r="890" spans="27:27" ht="12.75" customHeight="1" x14ac:dyDescent="0.25">
      <c r="AA890" s="57" t="str">
        <f t="shared" si="13"/>
        <v/>
      </c>
    </row>
    <row r="891" spans="27:27" ht="12.75" customHeight="1" x14ac:dyDescent="0.25">
      <c r="AA891" s="57" t="str">
        <f t="shared" si="13"/>
        <v/>
      </c>
    </row>
    <row r="892" spans="27:27" ht="12.75" customHeight="1" x14ac:dyDescent="0.25">
      <c r="AA892" s="57" t="str">
        <f t="shared" si="13"/>
        <v/>
      </c>
    </row>
    <row r="893" spans="27:27" ht="12.75" customHeight="1" x14ac:dyDescent="0.25">
      <c r="AA893" s="57" t="str">
        <f t="shared" si="13"/>
        <v/>
      </c>
    </row>
    <row r="894" spans="27:27" ht="12.75" customHeight="1" x14ac:dyDescent="0.25">
      <c r="AA894" s="57" t="str">
        <f t="shared" si="13"/>
        <v/>
      </c>
    </row>
    <row r="895" spans="27:27" ht="12.75" customHeight="1" x14ac:dyDescent="0.25">
      <c r="AA895" s="57" t="str">
        <f t="shared" si="13"/>
        <v/>
      </c>
    </row>
    <row r="896" spans="27:27" ht="12.75" customHeight="1" x14ac:dyDescent="0.25">
      <c r="AA896" s="57" t="str">
        <f t="shared" si="13"/>
        <v/>
      </c>
    </row>
    <row r="897" spans="27:27" ht="12.75" customHeight="1" x14ac:dyDescent="0.25">
      <c r="AA897" s="57" t="str">
        <f t="shared" si="13"/>
        <v/>
      </c>
    </row>
    <row r="898" spans="27:27" ht="12.75" customHeight="1" x14ac:dyDescent="0.25">
      <c r="AA898" s="57" t="str">
        <f t="shared" si="13"/>
        <v/>
      </c>
    </row>
    <row r="899" spans="27:27" ht="12.75" customHeight="1" x14ac:dyDescent="0.25">
      <c r="AA899" s="57" t="str">
        <f t="shared" si="13"/>
        <v/>
      </c>
    </row>
    <row r="900" spans="27:27" ht="12.75" customHeight="1" x14ac:dyDescent="0.25">
      <c r="AA900" s="57" t="str">
        <f t="shared" si="13"/>
        <v/>
      </c>
    </row>
    <row r="901" spans="27:27" ht="12.75" customHeight="1" x14ac:dyDescent="0.25">
      <c r="AA901" s="57" t="str">
        <f t="shared" si="13"/>
        <v/>
      </c>
    </row>
    <row r="902" spans="27:27" ht="12.75" customHeight="1" x14ac:dyDescent="0.25">
      <c r="AA902" s="57" t="str">
        <f t="shared" si="13"/>
        <v/>
      </c>
    </row>
    <row r="903" spans="27:27" ht="12.75" customHeight="1" x14ac:dyDescent="0.25">
      <c r="AA903" s="57" t="str">
        <f t="shared" si="13"/>
        <v/>
      </c>
    </row>
    <row r="904" spans="27:27" ht="12.75" customHeight="1" x14ac:dyDescent="0.25">
      <c r="AA904" s="57" t="str">
        <f t="shared" si="13"/>
        <v/>
      </c>
    </row>
    <row r="905" spans="27:27" ht="12.75" customHeight="1" x14ac:dyDescent="0.25">
      <c r="AA905" s="57" t="str">
        <f t="shared" si="13"/>
        <v/>
      </c>
    </row>
    <row r="906" spans="27:27" ht="12.75" customHeight="1" x14ac:dyDescent="0.25">
      <c r="AA906" s="57" t="str">
        <f t="shared" si="13"/>
        <v/>
      </c>
    </row>
    <row r="907" spans="27:27" ht="12.75" customHeight="1" x14ac:dyDescent="0.25">
      <c r="AA907" s="57" t="str">
        <f t="shared" si="13"/>
        <v/>
      </c>
    </row>
    <row r="908" spans="27:27" ht="12.75" customHeight="1" x14ac:dyDescent="0.25">
      <c r="AA908" s="57" t="str">
        <f t="shared" ref="AA908:AA971" si="14">IFERROR(
IF(AND(X908="Não",Y908="Sim"),"REP",
IF(AND(X908="Sim",Y908="Não"),"Técnico",
IF(AND(X908="Sim",Y908="Sim"),"Ambos",""))),
"")</f>
        <v/>
      </c>
    </row>
    <row r="909" spans="27:27" ht="12.75" customHeight="1" x14ac:dyDescent="0.25">
      <c r="AA909" s="57" t="str">
        <f t="shared" si="14"/>
        <v/>
      </c>
    </row>
    <row r="910" spans="27:27" ht="12.75" customHeight="1" x14ac:dyDescent="0.25">
      <c r="AA910" s="57" t="str">
        <f t="shared" si="14"/>
        <v/>
      </c>
    </row>
    <row r="911" spans="27:27" ht="12.75" customHeight="1" x14ac:dyDescent="0.25">
      <c r="AA911" s="57" t="str">
        <f t="shared" si="14"/>
        <v/>
      </c>
    </row>
    <row r="912" spans="27:27" ht="12.75" customHeight="1" x14ac:dyDescent="0.25">
      <c r="AA912" s="57" t="str">
        <f t="shared" si="14"/>
        <v/>
      </c>
    </row>
    <row r="913" spans="27:27" ht="12.75" customHeight="1" x14ac:dyDescent="0.25">
      <c r="AA913" s="57" t="str">
        <f t="shared" si="14"/>
        <v/>
      </c>
    </row>
    <row r="914" spans="27:27" ht="12.75" customHeight="1" x14ac:dyDescent="0.25">
      <c r="AA914" s="57" t="str">
        <f t="shared" si="14"/>
        <v/>
      </c>
    </row>
    <row r="915" spans="27:27" ht="12.75" customHeight="1" x14ac:dyDescent="0.25">
      <c r="AA915" s="57" t="str">
        <f t="shared" si="14"/>
        <v/>
      </c>
    </row>
    <row r="916" spans="27:27" ht="12.75" customHeight="1" x14ac:dyDescent="0.25">
      <c r="AA916" s="57" t="str">
        <f t="shared" si="14"/>
        <v/>
      </c>
    </row>
    <row r="917" spans="27:27" ht="12.75" customHeight="1" x14ac:dyDescent="0.25">
      <c r="AA917" s="57" t="str">
        <f t="shared" si="14"/>
        <v/>
      </c>
    </row>
    <row r="918" spans="27:27" ht="12.75" customHeight="1" x14ac:dyDescent="0.25">
      <c r="AA918" s="57" t="str">
        <f t="shared" si="14"/>
        <v/>
      </c>
    </row>
    <row r="919" spans="27:27" ht="12.75" customHeight="1" x14ac:dyDescent="0.25">
      <c r="AA919" s="57" t="str">
        <f t="shared" si="14"/>
        <v/>
      </c>
    </row>
    <row r="920" spans="27:27" ht="12.75" customHeight="1" x14ac:dyDescent="0.25">
      <c r="AA920" s="57" t="str">
        <f t="shared" si="14"/>
        <v/>
      </c>
    </row>
    <row r="921" spans="27:27" ht="12.75" customHeight="1" x14ac:dyDescent="0.25">
      <c r="AA921" s="57" t="str">
        <f t="shared" si="14"/>
        <v/>
      </c>
    </row>
    <row r="922" spans="27:27" ht="12.75" customHeight="1" x14ac:dyDescent="0.25">
      <c r="AA922" s="57" t="str">
        <f t="shared" si="14"/>
        <v/>
      </c>
    </row>
    <row r="923" spans="27:27" ht="12.75" customHeight="1" x14ac:dyDescent="0.25">
      <c r="AA923" s="57" t="str">
        <f t="shared" si="14"/>
        <v/>
      </c>
    </row>
    <row r="924" spans="27:27" ht="12.75" customHeight="1" x14ac:dyDescent="0.25">
      <c r="AA924" s="57" t="str">
        <f t="shared" si="14"/>
        <v/>
      </c>
    </row>
    <row r="925" spans="27:27" ht="12.75" customHeight="1" x14ac:dyDescent="0.25">
      <c r="AA925" s="57" t="str">
        <f t="shared" si="14"/>
        <v/>
      </c>
    </row>
    <row r="926" spans="27:27" ht="12.75" customHeight="1" x14ac:dyDescent="0.25">
      <c r="AA926" s="57" t="str">
        <f t="shared" si="14"/>
        <v/>
      </c>
    </row>
    <row r="927" spans="27:27" ht="12.75" customHeight="1" x14ac:dyDescent="0.25">
      <c r="AA927" s="57" t="str">
        <f t="shared" si="14"/>
        <v/>
      </c>
    </row>
    <row r="928" spans="27:27" ht="12.75" customHeight="1" x14ac:dyDescent="0.25">
      <c r="AA928" s="57" t="str">
        <f t="shared" si="14"/>
        <v/>
      </c>
    </row>
    <row r="929" spans="27:27" ht="12.75" customHeight="1" x14ac:dyDescent="0.25">
      <c r="AA929" s="57" t="str">
        <f t="shared" si="14"/>
        <v/>
      </c>
    </row>
    <row r="930" spans="27:27" ht="12.75" customHeight="1" x14ac:dyDescent="0.25">
      <c r="AA930" s="57" t="str">
        <f t="shared" si="14"/>
        <v/>
      </c>
    </row>
    <row r="931" spans="27:27" ht="12.75" customHeight="1" x14ac:dyDescent="0.25">
      <c r="AA931" s="57" t="str">
        <f t="shared" si="14"/>
        <v/>
      </c>
    </row>
    <row r="932" spans="27:27" ht="12.75" customHeight="1" x14ac:dyDescent="0.25">
      <c r="AA932" s="57" t="str">
        <f t="shared" si="14"/>
        <v/>
      </c>
    </row>
    <row r="933" spans="27:27" ht="12.75" customHeight="1" x14ac:dyDescent="0.25">
      <c r="AA933" s="57" t="str">
        <f t="shared" si="14"/>
        <v/>
      </c>
    </row>
    <row r="934" spans="27:27" ht="12.75" customHeight="1" x14ac:dyDescent="0.25">
      <c r="AA934" s="57" t="str">
        <f t="shared" si="14"/>
        <v/>
      </c>
    </row>
    <row r="935" spans="27:27" ht="12.75" customHeight="1" x14ac:dyDescent="0.25">
      <c r="AA935" s="57" t="str">
        <f t="shared" si="14"/>
        <v/>
      </c>
    </row>
    <row r="936" spans="27:27" ht="12.75" customHeight="1" x14ac:dyDescent="0.25">
      <c r="AA936" s="57" t="str">
        <f t="shared" si="14"/>
        <v/>
      </c>
    </row>
    <row r="937" spans="27:27" ht="12.75" customHeight="1" x14ac:dyDescent="0.25">
      <c r="AA937" s="57" t="str">
        <f t="shared" si="14"/>
        <v/>
      </c>
    </row>
    <row r="938" spans="27:27" ht="12.75" customHeight="1" x14ac:dyDescent="0.25">
      <c r="AA938" s="57" t="str">
        <f t="shared" si="14"/>
        <v/>
      </c>
    </row>
    <row r="939" spans="27:27" ht="12.75" customHeight="1" x14ac:dyDescent="0.25">
      <c r="AA939" s="57" t="str">
        <f t="shared" si="14"/>
        <v/>
      </c>
    </row>
    <row r="940" spans="27:27" ht="12.75" customHeight="1" x14ac:dyDescent="0.25">
      <c r="AA940" s="57" t="str">
        <f t="shared" si="14"/>
        <v/>
      </c>
    </row>
    <row r="941" spans="27:27" ht="12.75" customHeight="1" x14ac:dyDescent="0.25">
      <c r="AA941" s="57" t="str">
        <f t="shared" si="14"/>
        <v/>
      </c>
    </row>
    <row r="942" spans="27:27" ht="12.75" customHeight="1" x14ac:dyDescent="0.25">
      <c r="AA942" s="57" t="str">
        <f t="shared" si="14"/>
        <v/>
      </c>
    </row>
    <row r="943" spans="27:27" ht="12.75" customHeight="1" x14ac:dyDescent="0.25">
      <c r="AA943" s="57" t="str">
        <f t="shared" si="14"/>
        <v/>
      </c>
    </row>
    <row r="944" spans="27:27" ht="12.75" customHeight="1" x14ac:dyDescent="0.25">
      <c r="AA944" s="57" t="str">
        <f t="shared" si="14"/>
        <v/>
      </c>
    </row>
    <row r="945" spans="27:27" ht="12.75" customHeight="1" x14ac:dyDescent="0.25">
      <c r="AA945" s="57" t="str">
        <f t="shared" si="14"/>
        <v/>
      </c>
    </row>
    <row r="946" spans="27:27" ht="12.75" customHeight="1" x14ac:dyDescent="0.25">
      <c r="AA946" s="57" t="str">
        <f t="shared" si="14"/>
        <v/>
      </c>
    </row>
    <row r="947" spans="27:27" ht="12.75" customHeight="1" x14ac:dyDescent="0.25">
      <c r="AA947" s="57" t="str">
        <f t="shared" si="14"/>
        <v/>
      </c>
    </row>
    <row r="948" spans="27:27" ht="12.75" customHeight="1" x14ac:dyDescent="0.25">
      <c r="AA948" s="57" t="str">
        <f t="shared" si="14"/>
        <v/>
      </c>
    </row>
    <row r="949" spans="27:27" ht="12.75" customHeight="1" x14ac:dyDescent="0.25">
      <c r="AA949" s="57" t="str">
        <f t="shared" si="14"/>
        <v/>
      </c>
    </row>
    <row r="950" spans="27:27" ht="12.75" customHeight="1" x14ac:dyDescent="0.25">
      <c r="AA950" s="57" t="str">
        <f t="shared" si="14"/>
        <v/>
      </c>
    </row>
    <row r="951" spans="27:27" ht="12.75" customHeight="1" x14ac:dyDescent="0.25">
      <c r="AA951" s="57" t="str">
        <f t="shared" si="14"/>
        <v/>
      </c>
    </row>
    <row r="952" spans="27:27" ht="12.75" customHeight="1" x14ac:dyDescent="0.25">
      <c r="AA952" s="57" t="str">
        <f t="shared" si="14"/>
        <v/>
      </c>
    </row>
    <row r="953" spans="27:27" ht="12.75" customHeight="1" x14ac:dyDescent="0.25">
      <c r="AA953" s="57" t="str">
        <f t="shared" si="14"/>
        <v/>
      </c>
    </row>
    <row r="954" spans="27:27" ht="12.75" customHeight="1" x14ac:dyDescent="0.25">
      <c r="AA954" s="57" t="str">
        <f t="shared" si="14"/>
        <v/>
      </c>
    </row>
    <row r="955" spans="27:27" ht="12.75" customHeight="1" x14ac:dyDescent="0.25">
      <c r="AA955" s="57" t="str">
        <f t="shared" si="14"/>
        <v/>
      </c>
    </row>
    <row r="956" spans="27:27" ht="12.75" customHeight="1" x14ac:dyDescent="0.25">
      <c r="AA956" s="57" t="str">
        <f t="shared" si="14"/>
        <v/>
      </c>
    </row>
    <row r="957" spans="27:27" ht="12.75" customHeight="1" x14ac:dyDescent="0.25">
      <c r="AA957" s="57" t="str">
        <f t="shared" si="14"/>
        <v/>
      </c>
    </row>
    <row r="958" spans="27:27" ht="12.75" customHeight="1" x14ac:dyDescent="0.25">
      <c r="AA958" s="57" t="str">
        <f t="shared" si="14"/>
        <v/>
      </c>
    </row>
    <row r="959" spans="27:27" ht="12.75" customHeight="1" x14ac:dyDescent="0.25">
      <c r="AA959" s="57" t="str">
        <f t="shared" si="14"/>
        <v/>
      </c>
    </row>
    <row r="960" spans="27:27" ht="12.75" customHeight="1" x14ac:dyDescent="0.25">
      <c r="AA960" s="57" t="str">
        <f t="shared" si="14"/>
        <v/>
      </c>
    </row>
    <row r="961" spans="27:27" ht="12.75" customHeight="1" x14ac:dyDescent="0.25">
      <c r="AA961" s="57" t="str">
        <f t="shared" si="14"/>
        <v/>
      </c>
    </row>
    <row r="962" spans="27:27" ht="12.75" customHeight="1" x14ac:dyDescent="0.25">
      <c r="AA962" s="57" t="str">
        <f t="shared" si="14"/>
        <v/>
      </c>
    </row>
    <row r="963" spans="27:27" ht="12.75" customHeight="1" x14ac:dyDescent="0.25">
      <c r="AA963" s="57" t="str">
        <f t="shared" si="14"/>
        <v/>
      </c>
    </row>
    <row r="964" spans="27:27" ht="12.75" customHeight="1" x14ac:dyDescent="0.25">
      <c r="AA964" s="57" t="str">
        <f t="shared" si="14"/>
        <v/>
      </c>
    </row>
    <row r="965" spans="27:27" ht="12.75" customHeight="1" x14ac:dyDescent="0.25">
      <c r="AA965" s="57" t="str">
        <f t="shared" si="14"/>
        <v/>
      </c>
    </row>
    <row r="966" spans="27:27" ht="12.75" customHeight="1" x14ac:dyDescent="0.25">
      <c r="AA966" s="57" t="str">
        <f t="shared" si="14"/>
        <v/>
      </c>
    </row>
    <row r="967" spans="27:27" ht="12.75" customHeight="1" x14ac:dyDescent="0.25">
      <c r="AA967" s="57" t="str">
        <f t="shared" si="14"/>
        <v/>
      </c>
    </row>
    <row r="968" spans="27:27" ht="12.75" customHeight="1" x14ac:dyDescent="0.25">
      <c r="AA968" s="57" t="str">
        <f t="shared" si="14"/>
        <v/>
      </c>
    </row>
    <row r="969" spans="27:27" ht="12.75" customHeight="1" x14ac:dyDescent="0.25">
      <c r="AA969" s="57" t="str">
        <f t="shared" si="14"/>
        <v/>
      </c>
    </row>
    <row r="970" spans="27:27" ht="12.75" customHeight="1" x14ac:dyDescent="0.25">
      <c r="AA970" s="57" t="str">
        <f t="shared" si="14"/>
        <v/>
      </c>
    </row>
    <row r="971" spans="27:27" ht="12.75" customHeight="1" x14ac:dyDescent="0.25">
      <c r="AA971" s="57" t="str">
        <f t="shared" si="14"/>
        <v/>
      </c>
    </row>
    <row r="972" spans="27:27" ht="12.75" customHeight="1" x14ac:dyDescent="0.25">
      <c r="AA972" s="57" t="str">
        <f t="shared" ref="AA972:AA1035" si="15">IFERROR(
IF(AND(X972="Não",Y972="Sim"),"REP",
IF(AND(X972="Sim",Y972="Não"),"Técnico",
IF(AND(X972="Sim",Y972="Sim"),"Ambos",""))),
"")</f>
        <v/>
      </c>
    </row>
    <row r="973" spans="27:27" ht="12.75" customHeight="1" x14ac:dyDescent="0.25">
      <c r="AA973" s="57" t="str">
        <f t="shared" si="15"/>
        <v/>
      </c>
    </row>
    <row r="974" spans="27:27" ht="12.75" customHeight="1" x14ac:dyDescent="0.25">
      <c r="AA974" s="57" t="str">
        <f t="shared" si="15"/>
        <v/>
      </c>
    </row>
    <row r="975" spans="27:27" ht="12.75" customHeight="1" x14ac:dyDescent="0.25">
      <c r="AA975" s="57" t="str">
        <f t="shared" si="15"/>
        <v/>
      </c>
    </row>
    <row r="976" spans="27:27" ht="12.75" customHeight="1" x14ac:dyDescent="0.25">
      <c r="AA976" s="57" t="str">
        <f t="shared" si="15"/>
        <v/>
      </c>
    </row>
    <row r="977" spans="27:27" ht="12.75" customHeight="1" x14ac:dyDescent="0.25">
      <c r="AA977" s="57" t="str">
        <f t="shared" si="15"/>
        <v/>
      </c>
    </row>
    <row r="978" spans="27:27" ht="12.75" customHeight="1" x14ac:dyDescent="0.25">
      <c r="AA978" s="57" t="str">
        <f t="shared" si="15"/>
        <v/>
      </c>
    </row>
    <row r="979" spans="27:27" ht="12.75" customHeight="1" x14ac:dyDescent="0.25">
      <c r="AA979" s="57" t="str">
        <f t="shared" si="15"/>
        <v/>
      </c>
    </row>
    <row r="980" spans="27:27" ht="12.75" customHeight="1" x14ac:dyDescent="0.25">
      <c r="AA980" s="57" t="str">
        <f t="shared" si="15"/>
        <v/>
      </c>
    </row>
    <row r="981" spans="27:27" ht="12.75" customHeight="1" x14ac:dyDescent="0.25">
      <c r="AA981" s="57" t="str">
        <f t="shared" si="15"/>
        <v/>
      </c>
    </row>
    <row r="982" spans="27:27" ht="12.75" customHeight="1" x14ac:dyDescent="0.25">
      <c r="AA982" s="57" t="str">
        <f t="shared" si="15"/>
        <v/>
      </c>
    </row>
    <row r="983" spans="27:27" ht="12.75" customHeight="1" x14ac:dyDescent="0.25">
      <c r="AA983" s="57" t="str">
        <f t="shared" si="15"/>
        <v/>
      </c>
    </row>
    <row r="984" spans="27:27" ht="12.75" customHeight="1" x14ac:dyDescent="0.25">
      <c r="AA984" s="57" t="str">
        <f t="shared" si="15"/>
        <v/>
      </c>
    </row>
    <row r="985" spans="27:27" ht="12.75" customHeight="1" x14ac:dyDescent="0.25">
      <c r="AA985" s="57" t="str">
        <f t="shared" si="15"/>
        <v/>
      </c>
    </row>
    <row r="986" spans="27:27" ht="12.75" customHeight="1" x14ac:dyDescent="0.25">
      <c r="AA986" s="57" t="str">
        <f t="shared" si="15"/>
        <v/>
      </c>
    </row>
    <row r="987" spans="27:27" ht="12.75" customHeight="1" x14ac:dyDescent="0.25">
      <c r="AA987" s="57" t="str">
        <f t="shared" si="15"/>
        <v/>
      </c>
    </row>
    <row r="988" spans="27:27" ht="12.75" customHeight="1" x14ac:dyDescent="0.25">
      <c r="AA988" s="57" t="str">
        <f t="shared" si="15"/>
        <v/>
      </c>
    </row>
    <row r="989" spans="27:27" ht="12.75" customHeight="1" x14ac:dyDescent="0.25">
      <c r="AA989" s="57" t="str">
        <f t="shared" si="15"/>
        <v/>
      </c>
    </row>
    <row r="990" spans="27:27" ht="12.75" customHeight="1" x14ac:dyDescent="0.25">
      <c r="AA990" s="57" t="str">
        <f t="shared" si="15"/>
        <v/>
      </c>
    </row>
    <row r="991" spans="27:27" ht="12.75" customHeight="1" x14ac:dyDescent="0.25">
      <c r="AA991" s="57" t="str">
        <f t="shared" si="15"/>
        <v/>
      </c>
    </row>
    <row r="992" spans="27:27" ht="12.75" customHeight="1" x14ac:dyDescent="0.25">
      <c r="AA992" s="57" t="str">
        <f t="shared" si="15"/>
        <v/>
      </c>
    </row>
    <row r="993" spans="27:27" ht="12.75" customHeight="1" x14ac:dyDescent="0.25">
      <c r="AA993" s="57" t="str">
        <f t="shared" si="15"/>
        <v/>
      </c>
    </row>
    <row r="994" spans="27:27" ht="12.75" customHeight="1" x14ac:dyDescent="0.25">
      <c r="AA994" s="57" t="str">
        <f t="shared" si="15"/>
        <v/>
      </c>
    </row>
    <row r="995" spans="27:27" ht="12.75" customHeight="1" x14ac:dyDescent="0.25">
      <c r="AA995" s="57" t="str">
        <f t="shared" si="15"/>
        <v/>
      </c>
    </row>
    <row r="996" spans="27:27" ht="12.75" customHeight="1" x14ac:dyDescent="0.25">
      <c r="AA996" s="57" t="str">
        <f t="shared" si="15"/>
        <v/>
      </c>
    </row>
    <row r="997" spans="27:27" ht="12.75" customHeight="1" x14ac:dyDescent="0.25">
      <c r="AA997" s="57" t="str">
        <f t="shared" si="15"/>
        <v/>
      </c>
    </row>
    <row r="998" spans="27:27" ht="12.75" customHeight="1" x14ac:dyDescent="0.25">
      <c r="AA998" s="57" t="str">
        <f t="shared" si="15"/>
        <v/>
      </c>
    </row>
    <row r="999" spans="27:27" ht="12.75" customHeight="1" x14ac:dyDescent="0.25">
      <c r="AA999" s="57" t="str">
        <f t="shared" si="15"/>
        <v/>
      </c>
    </row>
    <row r="1000" spans="27:27" ht="12.75" customHeight="1" x14ac:dyDescent="0.25">
      <c r="AA1000" s="57" t="str">
        <f t="shared" si="15"/>
        <v/>
      </c>
    </row>
    <row r="1001" spans="27:27" ht="12.75" customHeight="1" x14ac:dyDescent="0.25">
      <c r="AA1001" s="57" t="str">
        <f t="shared" si="15"/>
        <v/>
      </c>
    </row>
    <row r="1002" spans="27:27" ht="12.75" customHeight="1" x14ac:dyDescent="0.25">
      <c r="AA1002" s="57" t="str">
        <f t="shared" si="15"/>
        <v/>
      </c>
    </row>
    <row r="1003" spans="27:27" ht="12.75" customHeight="1" x14ac:dyDescent="0.25">
      <c r="AA1003" s="57" t="str">
        <f t="shared" si="15"/>
        <v/>
      </c>
    </row>
    <row r="1004" spans="27:27" ht="12.75" customHeight="1" x14ac:dyDescent="0.25">
      <c r="AA1004" s="57" t="str">
        <f t="shared" si="15"/>
        <v/>
      </c>
    </row>
    <row r="1005" spans="27:27" ht="12.75" customHeight="1" x14ac:dyDescent="0.25">
      <c r="AA1005" s="57" t="str">
        <f t="shared" si="15"/>
        <v/>
      </c>
    </row>
    <row r="1006" spans="27:27" ht="12.75" customHeight="1" x14ac:dyDescent="0.25">
      <c r="AA1006" s="57" t="str">
        <f t="shared" si="15"/>
        <v/>
      </c>
    </row>
    <row r="1007" spans="27:27" ht="12.75" customHeight="1" x14ac:dyDescent="0.25">
      <c r="AA1007" s="57" t="str">
        <f t="shared" si="15"/>
        <v/>
      </c>
    </row>
    <row r="1008" spans="27:27" ht="12.75" customHeight="1" x14ac:dyDescent="0.25">
      <c r="AA1008" s="57" t="str">
        <f t="shared" si="15"/>
        <v/>
      </c>
    </row>
    <row r="1009" spans="27:27" ht="12.75" customHeight="1" x14ac:dyDescent="0.25">
      <c r="AA1009" s="57" t="str">
        <f t="shared" si="15"/>
        <v/>
      </c>
    </row>
    <row r="1010" spans="27:27" ht="12.75" customHeight="1" x14ac:dyDescent="0.25">
      <c r="AA1010" s="57" t="str">
        <f t="shared" si="15"/>
        <v/>
      </c>
    </row>
    <row r="1011" spans="27:27" ht="12.75" customHeight="1" x14ac:dyDescent="0.25">
      <c r="AA1011" s="57" t="str">
        <f t="shared" si="15"/>
        <v/>
      </c>
    </row>
    <row r="1012" spans="27:27" ht="12.75" customHeight="1" x14ac:dyDescent="0.25">
      <c r="AA1012" s="57" t="str">
        <f t="shared" si="15"/>
        <v/>
      </c>
    </row>
    <row r="1013" spans="27:27" ht="12.75" customHeight="1" x14ac:dyDescent="0.25">
      <c r="AA1013" s="57" t="str">
        <f t="shared" si="15"/>
        <v/>
      </c>
    </row>
    <row r="1014" spans="27:27" ht="12.75" customHeight="1" x14ac:dyDescent="0.25">
      <c r="AA1014" s="57" t="str">
        <f t="shared" si="15"/>
        <v/>
      </c>
    </row>
    <row r="1015" spans="27:27" ht="12.75" customHeight="1" x14ac:dyDescent="0.25">
      <c r="AA1015" s="57" t="str">
        <f t="shared" si="15"/>
        <v/>
      </c>
    </row>
    <row r="1016" spans="27:27" ht="12.75" customHeight="1" x14ac:dyDescent="0.25">
      <c r="AA1016" s="57" t="str">
        <f t="shared" si="15"/>
        <v/>
      </c>
    </row>
    <row r="1017" spans="27:27" ht="12.75" customHeight="1" x14ac:dyDescent="0.25">
      <c r="AA1017" s="57" t="str">
        <f t="shared" si="15"/>
        <v/>
      </c>
    </row>
    <row r="1018" spans="27:27" ht="12.75" customHeight="1" x14ac:dyDescent="0.25">
      <c r="AA1018" s="57" t="str">
        <f t="shared" si="15"/>
        <v/>
      </c>
    </row>
    <row r="1019" spans="27:27" ht="12.75" customHeight="1" x14ac:dyDescent="0.25">
      <c r="AA1019" s="57" t="str">
        <f t="shared" si="15"/>
        <v/>
      </c>
    </row>
    <row r="1020" spans="27:27" ht="12.75" customHeight="1" x14ac:dyDescent="0.25">
      <c r="AA1020" s="57" t="str">
        <f t="shared" si="15"/>
        <v/>
      </c>
    </row>
    <row r="1021" spans="27:27" ht="12.75" customHeight="1" x14ac:dyDescent="0.25">
      <c r="AA1021" s="57" t="str">
        <f t="shared" si="15"/>
        <v/>
      </c>
    </row>
    <row r="1022" spans="27:27" ht="12.75" customHeight="1" x14ac:dyDescent="0.25">
      <c r="AA1022" s="57" t="str">
        <f t="shared" si="15"/>
        <v/>
      </c>
    </row>
    <row r="1023" spans="27:27" ht="12.75" customHeight="1" x14ac:dyDescent="0.25">
      <c r="AA1023" s="57" t="str">
        <f t="shared" si="15"/>
        <v/>
      </c>
    </row>
    <row r="1024" spans="27:27" ht="12.75" customHeight="1" x14ac:dyDescent="0.25">
      <c r="AA1024" s="57" t="str">
        <f t="shared" si="15"/>
        <v/>
      </c>
    </row>
    <row r="1025" spans="27:27" ht="12.75" customHeight="1" x14ac:dyDescent="0.25">
      <c r="AA1025" s="57" t="str">
        <f t="shared" si="15"/>
        <v/>
      </c>
    </row>
    <row r="1026" spans="27:27" ht="12.75" customHeight="1" x14ac:dyDescent="0.25">
      <c r="AA1026" s="57" t="str">
        <f t="shared" si="15"/>
        <v/>
      </c>
    </row>
    <row r="1027" spans="27:27" ht="12.75" customHeight="1" x14ac:dyDescent="0.25">
      <c r="AA1027" s="57" t="str">
        <f t="shared" si="15"/>
        <v/>
      </c>
    </row>
    <row r="1028" spans="27:27" ht="12.75" customHeight="1" x14ac:dyDescent="0.25">
      <c r="AA1028" s="57" t="str">
        <f t="shared" si="15"/>
        <v/>
      </c>
    </row>
    <row r="1029" spans="27:27" ht="12.75" customHeight="1" x14ac:dyDescent="0.25">
      <c r="AA1029" s="57" t="str">
        <f t="shared" si="15"/>
        <v/>
      </c>
    </row>
    <row r="1030" spans="27:27" ht="12.75" customHeight="1" x14ac:dyDescent="0.25">
      <c r="AA1030" s="57" t="str">
        <f t="shared" si="15"/>
        <v/>
      </c>
    </row>
    <row r="1031" spans="27:27" ht="12.75" customHeight="1" x14ac:dyDescent="0.25">
      <c r="AA1031" s="57" t="str">
        <f t="shared" si="15"/>
        <v/>
      </c>
    </row>
    <row r="1032" spans="27:27" ht="12.75" customHeight="1" x14ac:dyDescent="0.25">
      <c r="AA1032" s="57" t="str">
        <f t="shared" si="15"/>
        <v/>
      </c>
    </row>
    <row r="1033" spans="27:27" ht="12.75" customHeight="1" x14ac:dyDescent="0.25">
      <c r="AA1033" s="57" t="str">
        <f t="shared" si="15"/>
        <v/>
      </c>
    </row>
    <row r="1034" spans="27:27" ht="12.75" customHeight="1" x14ac:dyDescent="0.25">
      <c r="AA1034" s="57" t="str">
        <f t="shared" si="15"/>
        <v/>
      </c>
    </row>
    <row r="1035" spans="27:27" ht="12.75" customHeight="1" x14ac:dyDescent="0.25">
      <c r="AA1035" s="57" t="str">
        <f t="shared" si="15"/>
        <v/>
      </c>
    </row>
    <row r="1036" spans="27:27" ht="12.75" customHeight="1" x14ac:dyDescent="0.25">
      <c r="AA1036" s="57" t="str">
        <f t="shared" ref="AA1036:AA1099" si="16">IFERROR(
IF(AND(X1036="Não",Y1036="Sim"),"REP",
IF(AND(X1036="Sim",Y1036="Não"),"Técnico",
IF(AND(X1036="Sim",Y1036="Sim"),"Ambos",""))),
"")</f>
        <v/>
      </c>
    </row>
    <row r="1037" spans="27:27" ht="12.75" customHeight="1" x14ac:dyDescent="0.25">
      <c r="AA1037" s="57" t="str">
        <f t="shared" si="16"/>
        <v/>
      </c>
    </row>
    <row r="1038" spans="27:27" ht="12.75" customHeight="1" x14ac:dyDescent="0.25">
      <c r="AA1038" s="57" t="str">
        <f t="shared" si="16"/>
        <v/>
      </c>
    </row>
    <row r="1039" spans="27:27" ht="12.75" customHeight="1" x14ac:dyDescent="0.25">
      <c r="AA1039" s="57" t="str">
        <f t="shared" si="16"/>
        <v/>
      </c>
    </row>
    <row r="1040" spans="27:27" ht="12.75" customHeight="1" x14ac:dyDescent="0.25">
      <c r="AA1040" s="57" t="str">
        <f t="shared" si="16"/>
        <v/>
      </c>
    </row>
    <row r="1041" spans="27:27" ht="12.75" customHeight="1" x14ac:dyDescent="0.25">
      <c r="AA1041" s="57" t="str">
        <f t="shared" si="16"/>
        <v/>
      </c>
    </row>
    <row r="1042" spans="27:27" ht="12.75" customHeight="1" x14ac:dyDescent="0.25">
      <c r="AA1042" s="57" t="str">
        <f t="shared" si="16"/>
        <v/>
      </c>
    </row>
    <row r="1043" spans="27:27" ht="12.75" customHeight="1" x14ac:dyDescent="0.25">
      <c r="AA1043" s="57" t="str">
        <f t="shared" si="16"/>
        <v/>
      </c>
    </row>
    <row r="1044" spans="27:27" ht="12.75" customHeight="1" x14ac:dyDescent="0.25">
      <c r="AA1044" s="57" t="str">
        <f t="shared" si="16"/>
        <v/>
      </c>
    </row>
    <row r="1045" spans="27:27" ht="12.75" customHeight="1" x14ac:dyDescent="0.25">
      <c r="AA1045" s="57" t="str">
        <f t="shared" si="16"/>
        <v/>
      </c>
    </row>
    <row r="1046" spans="27:27" ht="12.75" customHeight="1" x14ac:dyDescent="0.25">
      <c r="AA1046" s="57" t="str">
        <f t="shared" si="16"/>
        <v/>
      </c>
    </row>
    <row r="1047" spans="27:27" ht="12.75" customHeight="1" x14ac:dyDescent="0.25">
      <c r="AA1047" s="57" t="str">
        <f t="shared" si="16"/>
        <v/>
      </c>
    </row>
    <row r="1048" spans="27:27" ht="12.75" customHeight="1" x14ac:dyDescent="0.25">
      <c r="AA1048" s="57" t="str">
        <f t="shared" si="16"/>
        <v/>
      </c>
    </row>
    <row r="1049" spans="27:27" ht="12.75" customHeight="1" x14ac:dyDescent="0.25">
      <c r="AA1049" s="57" t="str">
        <f t="shared" si="16"/>
        <v/>
      </c>
    </row>
    <row r="1050" spans="27:27" ht="12.75" customHeight="1" x14ac:dyDescent="0.25">
      <c r="AA1050" s="57" t="str">
        <f t="shared" si="16"/>
        <v/>
      </c>
    </row>
    <row r="1051" spans="27:27" ht="12.75" customHeight="1" x14ac:dyDescent="0.25">
      <c r="AA1051" s="57" t="str">
        <f t="shared" si="16"/>
        <v/>
      </c>
    </row>
    <row r="1052" spans="27:27" ht="12.75" customHeight="1" x14ac:dyDescent="0.25">
      <c r="AA1052" s="57" t="str">
        <f t="shared" si="16"/>
        <v/>
      </c>
    </row>
    <row r="1053" spans="27:27" ht="12.75" customHeight="1" x14ac:dyDescent="0.25">
      <c r="AA1053" s="57" t="str">
        <f t="shared" si="16"/>
        <v/>
      </c>
    </row>
    <row r="1054" spans="27:27" ht="12.75" customHeight="1" x14ac:dyDescent="0.25">
      <c r="AA1054" s="57" t="str">
        <f t="shared" si="16"/>
        <v/>
      </c>
    </row>
    <row r="1055" spans="27:27" ht="12.75" customHeight="1" x14ac:dyDescent="0.25">
      <c r="AA1055" s="57" t="str">
        <f t="shared" si="16"/>
        <v/>
      </c>
    </row>
    <row r="1056" spans="27:27" ht="12.75" customHeight="1" x14ac:dyDescent="0.25">
      <c r="AA1056" s="57" t="str">
        <f t="shared" si="16"/>
        <v/>
      </c>
    </row>
    <row r="1057" spans="27:27" ht="12.75" customHeight="1" x14ac:dyDescent="0.25">
      <c r="AA1057" s="57" t="str">
        <f t="shared" si="16"/>
        <v/>
      </c>
    </row>
    <row r="1058" spans="27:27" ht="12.75" customHeight="1" x14ac:dyDescent="0.25">
      <c r="AA1058" s="57" t="str">
        <f t="shared" si="16"/>
        <v/>
      </c>
    </row>
    <row r="1059" spans="27:27" ht="12.75" customHeight="1" x14ac:dyDescent="0.25">
      <c r="AA1059" s="57" t="str">
        <f t="shared" si="16"/>
        <v/>
      </c>
    </row>
    <row r="1060" spans="27:27" ht="12.75" customHeight="1" x14ac:dyDescent="0.25">
      <c r="AA1060" s="57" t="str">
        <f t="shared" si="16"/>
        <v/>
      </c>
    </row>
    <row r="1061" spans="27:27" ht="12.75" customHeight="1" x14ac:dyDescent="0.25">
      <c r="AA1061" s="57" t="str">
        <f t="shared" si="16"/>
        <v/>
      </c>
    </row>
    <row r="1062" spans="27:27" ht="12.75" customHeight="1" x14ac:dyDescent="0.25">
      <c r="AA1062" s="57" t="str">
        <f t="shared" si="16"/>
        <v/>
      </c>
    </row>
    <row r="1063" spans="27:27" ht="12.75" customHeight="1" x14ac:dyDescent="0.25">
      <c r="AA1063" s="57" t="str">
        <f t="shared" si="16"/>
        <v/>
      </c>
    </row>
    <row r="1064" spans="27:27" ht="12.75" customHeight="1" x14ac:dyDescent="0.25">
      <c r="AA1064" s="57" t="str">
        <f t="shared" si="16"/>
        <v/>
      </c>
    </row>
    <row r="1065" spans="27:27" ht="12.75" customHeight="1" x14ac:dyDescent="0.25">
      <c r="AA1065" s="57" t="str">
        <f t="shared" si="16"/>
        <v/>
      </c>
    </row>
    <row r="1066" spans="27:27" ht="12.75" customHeight="1" x14ac:dyDescent="0.25">
      <c r="AA1066" s="57" t="str">
        <f t="shared" si="16"/>
        <v/>
      </c>
    </row>
    <row r="1067" spans="27:27" ht="12.75" customHeight="1" x14ac:dyDescent="0.25">
      <c r="AA1067" s="57" t="str">
        <f t="shared" si="16"/>
        <v/>
      </c>
    </row>
    <row r="1068" spans="27:27" ht="12.75" customHeight="1" x14ac:dyDescent="0.25">
      <c r="AA1068" s="57" t="str">
        <f t="shared" si="16"/>
        <v/>
      </c>
    </row>
    <row r="1069" spans="27:27" ht="12.75" customHeight="1" x14ac:dyDescent="0.25">
      <c r="AA1069" s="57" t="str">
        <f t="shared" si="16"/>
        <v/>
      </c>
    </row>
    <row r="1070" spans="27:27" ht="12.75" customHeight="1" x14ac:dyDescent="0.25">
      <c r="AA1070" s="57" t="str">
        <f t="shared" si="16"/>
        <v/>
      </c>
    </row>
    <row r="1071" spans="27:27" ht="12.75" customHeight="1" x14ac:dyDescent="0.25">
      <c r="AA1071" s="57" t="str">
        <f t="shared" si="16"/>
        <v/>
      </c>
    </row>
    <row r="1072" spans="27:27" ht="12.75" customHeight="1" x14ac:dyDescent="0.25">
      <c r="AA1072" s="57" t="str">
        <f t="shared" si="16"/>
        <v/>
      </c>
    </row>
    <row r="1073" spans="27:27" ht="12.75" customHeight="1" x14ac:dyDescent="0.25">
      <c r="AA1073" s="57" t="str">
        <f t="shared" si="16"/>
        <v/>
      </c>
    </row>
    <row r="1074" spans="27:27" ht="12.75" customHeight="1" x14ac:dyDescent="0.25">
      <c r="AA1074" s="57" t="str">
        <f t="shared" si="16"/>
        <v/>
      </c>
    </row>
    <row r="1075" spans="27:27" ht="12.75" customHeight="1" x14ac:dyDescent="0.25">
      <c r="AA1075" s="57" t="str">
        <f t="shared" si="16"/>
        <v/>
      </c>
    </row>
    <row r="1076" spans="27:27" ht="12.75" customHeight="1" x14ac:dyDescent="0.25">
      <c r="AA1076" s="57" t="str">
        <f t="shared" si="16"/>
        <v/>
      </c>
    </row>
    <row r="1077" spans="27:27" ht="12.75" customHeight="1" x14ac:dyDescent="0.25">
      <c r="AA1077" s="57" t="str">
        <f t="shared" si="16"/>
        <v/>
      </c>
    </row>
    <row r="1078" spans="27:27" ht="12.75" customHeight="1" x14ac:dyDescent="0.25">
      <c r="AA1078" s="57" t="str">
        <f t="shared" si="16"/>
        <v/>
      </c>
    </row>
    <row r="1079" spans="27:27" ht="12.75" customHeight="1" x14ac:dyDescent="0.25">
      <c r="AA1079" s="57" t="str">
        <f t="shared" si="16"/>
        <v/>
      </c>
    </row>
    <row r="1080" spans="27:27" ht="12.75" customHeight="1" x14ac:dyDescent="0.25">
      <c r="AA1080" s="57" t="str">
        <f t="shared" si="16"/>
        <v/>
      </c>
    </row>
    <row r="1081" spans="27:27" ht="12.75" customHeight="1" x14ac:dyDescent="0.25">
      <c r="AA1081" s="57" t="str">
        <f t="shared" si="16"/>
        <v/>
      </c>
    </row>
    <row r="1082" spans="27:27" ht="12.75" customHeight="1" x14ac:dyDescent="0.25">
      <c r="AA1082" s="57" t="str">
        <f t="shared" si="16"/>
        <v/>
      </c>
    </row>
    <row r="1083" spans="27:27" ht="12.75" customHeight="1" x14ac:dyDescent="0.25">
      <c r="AA1083" s="57" t="str">
        <f t="shared" si="16"/>
        <v/>
      </c>
    </row>
    <row r="1084" spans="27:27" ht="12.75" customHeight="1" x14ac:dyDescent="0.25">
      <c r="AA1084" s="57" t="str">
        <f t="shared" si="16"/>
        <v/>
      </c>
    </row>
    <row r="1085" spans="27:27" ht="12.75" customHeight="1" x14ac:dyDescent="0.25">
      <c r="AA1085" s="57" t="str">
        <f t="shared" si="16"/>
        <v/>
      </c>
    </row>
    <row r="1086" spans="27:27" ht="12.75" customHeight="1" x14ac:dyDescent="0.25">
      <c r="AA1086" s="57" t="str">
        <f t="shared" si="16"/>
        <v/>
      </c>
    </row>
    <row r="1087" spans="27:27" ht="12.75" customHeight="1" x14ac:dyDescent="0.25">
      <c r="AA1087" s="57" t="str">
        <f t="shared" si="16"/>
        <v/>
      </c>
    </row>
    <row r="1088" spans="27:27" ht="12.75" customHeight="1" x14ac:dyDescent="0.25">
      <c r="AA1088" s="57" t="str">
        <f t="shared" si="16"/>
        <v/>
      </c>
    </row>
    <row r="1089" spans="27:27" ht="12.75" customHeight="1" x14ac:dyDescent="0.25">
      <c r="AA1089" s="57" t="str">
        <f t="shared" si="16"/>
        <v/>
      </c>
    </row>
    <row r="1090" spans="27:27" ht="12.75" customHeight="1" x14ac:dyDescent="0.25">
      <c r="AA1090" s="57" t="str">
        <f t="shared" si="16"/>
        <v/>
      </c>
    </row>
    <row r="1091" spans="27:27" ht="12.75" customHeight="1" x14ac:dyDescent="0.25">
      <c r="AA1091" s="57" t="str">
        <f t="shared" si="16"/>
        <v/>
      </c>
    </row>
    <row r="1092" spans="27:27" ht="12.75" customHeight="1" x14ac:dyDescent="0.25">
      <c r="AA1092" s="57" t="str">
        <f t="shared" si="16"/>
        <v/>
      </c>
    </row>
    <row r="1093" spans="27:27" ht="12.75" customHeight="1" x14ac:dyDescent="0.25">
      <c r="AA1093" s="57" t="str">
        <f t="shared" si="16"/>
        <v/>
      </c>
    </row>
    <row r="1094" spans="27:27" ht="12.75" customHeight="1" x14ac:dyDescent="0.25">
      <c r="AA1094" s="57" t="str">
        <f t="shared" si="16"/>
        <v/>
      </c>
    </row>
    <row r="1095" spans="27:27" ht="12.75" customHeight="1" x14ac:dyDescent="0.25">
      <c r="AA1095" s="57" t="str">
        <f t="shared" si="16"/>
        <v/>
      </c>
    </row>
    <row r="1096" spans="27:27" ht="12.75" customHeight="1" x14ac:dyDescent="0.25">
      <c r="AA1096" s="57" t="str">
        <f t="shared" si="16"/>
        <v/>
      </c>
    </row>
    <row r="1097" spans="27:27" ht="12.75" customHeight="1" x14ac:dyDescent="0.25">
      <c r="AA1097" s="57" t="str">
        <f t="shared" si="16"/>
        <v/>
      </c>
    </row>
    <row r="1098" spans="27:27" ht="12.75" customHeight="1" x14ac:dyDescent="0.25">
      <c r="AA1098" s="57" t="str">
        <f t="shared" si="16"/>
        <v/>
      </c>
    </row>
    <row r="1099" spans="27:27" ht="12.75" customHeight="1" x14ac:dyDescent="0.25">
      <c r="AA1099" s="57" t="str">
        <f t="shared" si="16"/>
        <v/>
      </c>
    </row>
    <row r="1100" spans="27:27" ht="12.75" customHeight="1" x14ac:dyDescent="0.25">
      <c r="AA1100" s="57" t="str">
        <f t="shared" ref="AA1100:AA1163" si="17">IFERROR(
IF(AND(X1100="Não",Y1100="Sim"),"REP",
IF(AND(X1100="Sim",Y1100="Não"),"Técnico",
IF(AND(X1100="Sim",Y1100="Sim"),"Ambos",""))),
"")</f>
        <v/>
      </c>
    </row>
    <row r="1101" spans="27:27" ht="12.75" customHeight="1" x14ac:dyDescent="0.25">
      <c r="AA1101" s="57" t="str">
        <f t="shared" si="17"/>
        <v/>
      </c>
    </row>
    <row r="1102" spans="27:27" ht="12.75" customHeight="1" x14ac:dyDescent="0.25">
      <c r="AA1102" s="57" t="str">
        <f t="shared" si="17"/>
        <v/>
      </c>
    </row>
    <row r="1103" spans="27:27" ht="12.75" customHeight="1" x14ac:dyDescent="0.25">
      <c r="AA1103" s="57" t="str">
        <f t="shared" si="17"/>
        <v/>
      </c>
    </row>
    <row r="1104" spans="27:27" ht="12.75" customHeight="1" x14ac:dyDescent="0.25">
      <c r="AA1104" s="57" t="str">
        <f t="shared" si="17"/>
        <v/>
      </c>
    </row>
    <row r="1105" spans="27:27" ht="12.75" customHeight="1" x14ac:dyDescent="0.25">
      <c r="AA1105" s="57" t="str">
        <f t="shared" si="17"/>
        <v/>
      </c>
    </row>
    <row r="1106" spans="27:27" ht="12.75" customHeight="1" x14ac:dyDescent="0.25">
      <c r="AA1106" s="57" t="str">
        <f t="shared" si="17"/>
        <v/>
      </c>
    </row>
    <row r="1107" spans="27:27" ht="12.75" customHeight="1" x14ac:dyDescent="0.25">
      <c r="AA1107" s="57" t="str">
        <f t="shared" si="17"/>
        <v/>
      </c>
    </row>
    <row r="1108" spans="27:27" ht="12.75" customHeight="1" x14ac:dyDescent="0.25">
      <c r="AA1108" s="57" t="str">
        <f t="shared" si="17"/>
        <v/>
      </c>
    </row>
    <row r="1109" spans="27:27" ht="12.75" customHeight="1" x14ac:dyDescent="0.25">
      <c r="AA1109" s="57" t="str">
        <f t="shared" si="17"/>
        <v/>
      </c>
    </row>
    <row r="1110" spans="27:27" ht="12.75" customHeight="1" x14ac:dyDescent="0.25">
      <c r="AA1110" s="57" t="str">
        <f t="shared" si="17"/>
        <v/>
      </c>
    </row>
    <row r="1111" spans="27:27" ht="12.75" customHeight="1" x14ac:dyDescent="0.25">
      <c r="AA1111" s="57" t="str">
        <f t="shared" si="17"/>
        <v/>
      </c>
    </row>
    <row r="1112" spans="27:27" ht="12.75" customHeight="1" x14ac:dyDescent="0.25">
      <c r="AA1112" s="57" t="str">
        <f t="shared" si="17"/>
        <v/>
      </c>
    </row>
    <row r="1113" spans="27:27" ht="12.75" customHeight="1" x14ac:dyDescent="0.25">
      <c r="AA1113" s="57" t="str">
        <f t="shared" si="17"/>
        <v/>
      </c>
    </row>
    <row r="1114" spans="27:27" ht="12.75" customHeight="1" x14ac:dyDescent="0.25">
      <c r="AA1114" s="57" t="str">
        <f t="shared" si="17"/>
        <v/>
      </c>
    </row>
    <row r="1115" spans="27:27" ht="12.75" customHeight="1" x14ac:dyDescent="0.25">
      <c r="AA1115" s="57" t="str">
        <f t="shared" si="17"/>
        <v/>
      </c>
    </row>
    <row r="1116" spans="27:27" ht="12.75" customHeight="1" x14ac:dyDescent="0.25">
      <c r="AA1116" s="57" t="str">
        <f t="shared" si="17"/>
        <v/>
      </c>
    </row>
    <row r="1117" spans="27:27" ht="12.75" customHeight="1" x14ac:dyDescent="0.25">
      <c r="AA1117" s="57" t="str">
        <f t="shared" si="17"/>
        <v/>
      </c>
    </row>
    <row r="1118" spans="27:27" ht="12.75" customHeight="1" x14ac:dyDescent="0.25">
      <c r="AA1118" s="57" t="str">
        <f t="shared" si="17"/>
        <v/>
      </c>
    </row>
    <row r="1119" spans="27:27" ht="12.75" customHeight="1" x14ac:dyDescent="0.25">
      <c r="AA1119" s="57" t="str">
        <f t="shared" si="17"/>
        <v/>
      </c>
    </row>
    <row r="1120" spans="27:27" ht="12.75" customHeight="1" x14ac:dyDescent="0.25">
      <c r="AA1120" s="57" t="str">
        <f t="shared" si="17"/>
        <v/>
      </c>
    </row>
    <row r="1121" spans="27:27" ht="12.75" customHeight="1" x14ac:dyDescent="0.25">
      <c r="AA1121" s="57" t="str">
        <f t="shared" si="17"/>
        <v/>
      </c>
    </row>
    <row r="1122" spans="27:27" ht="12.75" customHeight="1" x14ac:dyDescent="0.25">
      <c r="AA1122" s="57" t="str">
        <f t="shared" si="17"/>
        <v/>
      </c>
    </row>
    <row r="1123" spans="27:27" ht="12.75" customHeight="1" x14ac:dyDescent="0.25">
      <c r="AA1123" s="57" t="str">
        <f t="shared" si="17"/>
        <v/>
      </c>
    </row>
    <row r="1124" spans="27:27" ht="12.75" customHeight="1" x14ac:dyDescent="0.25">
      <c r="AA1124" s="57" t="str">
        <f t="shared" si="17"/>
        <v/>
      </c>
    </row>
    <row r="1125" spans="27:27" ht="12.75" customHeight="1" x14ac:dyDescent="0.25">
      <c r="AA1125" s="57" t="str">
        <f t="shared" si="17"/>
        <v/>
      </c>
    </row>
    <row r="1126" spans="27:27" ht="12.75" customHeight="1" x14ac:dyDescent="0.25">
      <c r="AA1126" s="57" t="str">
        <f t="shared" si="17"/>
        <v/>
      </c>
    </row>
    <row r="1127" spans="27:27" ht="12.75" customHeight="1" x14ac:dyDescent="0.25">
      <c r="AA1127" s="57" t="str">
        <f t="shared" si="17"/>
        <v/>
      </c>
    </row>
    <row r="1128" spans="27:27" ht="12.75" customHeight="1" x14ac:dyDescent="0.25">
      <c r="AA1128" s="57" t="str">
        <f t="shared" si="17"/>
        <v/>
      </c>
    </row>
    <row r="1129" spans="27:27" ht="12.75" customHeight="1" x14ac:dyDescent="0.25">
      <c r="AA1129" s="57" t="str">
        <f t="shared" si="17"/>
        <v/>
      </c>
    </row>
    <row r="1130" spans="27:27" ht="12.75" customHeight="1" x14ac:dyDescent="0.25">
      <c r="AA1130" s="57" t="str">
        <f t="shared" si="17"/>
        <v/>
      </c>
    </row>
    <row r="1131" spans="27:27" ht="12.75" customHeight="1" x14ac:dyDescent="0.25">
      <c r="AA1131" s="57" t="str">
        <f t="shared" si="17"/>
        <v/>
      </c>
    </row>
    <row r="1132" spans="27:27" ht="12.75" customHeight="1" x14ac:dyDescent="0.25">
      <c r="AA1132" s="57" t="str">
        <f t="shared" si="17"/>
        <v/>
      </c>
    </row>
    <row r="1133" spans="27:27" ht="12.75" customHeight="1" x14ac:dyDescent="0.25">
      <c r="AA1133" s="57" t="str">
        <f t="shared" si="17"/>
        <v/>
      </c>
    </row>
    <row r="1134" spans="27:27" ht="12.75" customHeight="1" x14ac:dyDescent="0.25">
      <c r="AA1134" s="57" t="str">
        <f t="shared" si="17"/>
        <v/>
      </c>
    </row>
    <row r="1135" spans="27:27" ht="12.75" customHeight="1" x14ac:dyDescent="0.25">
      <c r="AA1135" s="57" t="str">
        <f t="shared" si="17"/>
        <v/>
      </c>
    </row>
    <row r="1136" spans="27:27" ht="12.75" customHeight="1" x14ac:dyDescent="0.25">
      <c r="AA1136" s="57" t="str">
        <f t="shared" si="17"/>
        <v/>
      </c>
    </row>
    <row r="1137" spans="27:27" ht="12.75" customHeight="1" x14ac:dyDescent="0.25">
      <c r="AA1137" s="57" t="str">
        <f t="shared" si="17"/>
        <v/>
      </c>
    </row>
    <row r="1138" spans="27:27" ht="12.75" customHeight="1" x14ac:dyDescent="0.25">
      <c r="AA1138" s="57" t="str">
        <f t="shared" si="17"/>
        <v/>
      </c>
    </row>
    <row r="1139" spans="27:27" ht="12.75" customHeight="1" x14ac:dyDescent="0.25">
      <c r="AA1139" s="57" t="str">
        <f t="shared" si="17"/>
        <v/>
      </c>
    </row>
    <row r="1140" spans="27:27" ht="12.75" customHeight="1" x14ac:dyDescent="0.25">
      <c r="AA1140" s="57" t="str">
        <f t="shared" si="17"/>
        <v/>
      </c>
    </row>
    <row r="1141" spans="27:27" ht="12.75" customHeight="1" x14ac:dyDescent="0.25">
      <c r="AA1141" s="57" t="str">
        <f t="shared" si="17"/>
        <v/>
      </c>
    </row>
    <row r="1142" spans="27:27" ht="12.75" customHeight="1" x14ac:dyDescent="0.25">
      <c r="AA1142" s="57" t="str">
        <f t="shared" si="17"/>
        <v/>
      </c>
    </row>
    <row r="1143" spans="27:27" ht="12.75" customHeight="1" x14ac:dyDescent="0.25">
      <c r="AA1143" s="57" t="str">
        <f t="shared" si="17"/>
        <v/>
      </c>
    </row>
    <row r="1144" spans="27:27" ht="12.75" customHeight="1" x14ac:dyDescent="0.25">
      <c r="AA1144" s="57" t="str">
        <f t="shared" si="17"/>
        <v/>
      </c>
    </row>
    <row r="1145" spans="27:27" ht="12.75" customHeight="1" x14ac:dyDescent="0.25">
      <c r="AA1145" s="57" t="str">
        <f t="shared" si="17"/>
        <v/>
      </c>
    </row>
    <row r="1146" spans="27:27" ht="12.75" customHeight="1" x14ac:dyDescent="0.25">
      <c r="AA1146" s="57" t="str">
        <f t="shared" si="17"/>
        <v/>
      </c>
    </row>
    <row r="1147" spans="27:27" ht="12.75" customHeight="1" x14ac:dyDescent="0.25">
      <c r="AA1147" s="57" t="str">
        <f t="shared" si="17"/>
        <v/>
      </c>
    </row>
    <row r="1148" spans="27:27" ht="12.75" customHeight="1" x14ac:dyDescent="0.25">
      <c r="AA1148" s="57" t="str">
        <f t="shared" si="17"/>
        <v/>
      </c>
    </row>
    <row r="1149" spans="27:27" ht="12.75" customHeight="1" x14ac:dyDescent="0.25">
      <c r="AA1149" s="57" t="str">
        <f t="shared" si="17"/>
        <v/>
      </c>
    </row>
    <row r="1150" spans="27:27" ht="12.75" customHeight="1" x14ac:dyDescent="0.25">
      <c r="AA1150" s="57" t="str">
        <f t="shared" si="17"/>
        <v/>
      </c>
    </row>
    <row r="1151" spans="27:27" ht="12.75" customHeight="1" x14ac:dyDescent="0.25">
      <c r="AA1151" s="57" t="str">
        <f t="shared" si="17"/>
        <v/>
      </c>
    </row>
    <row r="1152" spans="27:27" ht="12.75" customHeight="1" x14ac:dyDescent="0.25">
      <c r="AA1152" s="57" t="str">
        <f t="shared" si="17"/>
        <v/>
      </c>
    </row>
    <row r="1153" spans="27:27" ht="12.75" customHeight="1" x14ac:dyDescent="0.25">
      <c r="AA1153" s="57" t="str">
        <f t="shared" si="17"/>
        <v/>
      </c>
    </row>
    <row r="1154" spans="27:27" ht="12.75" customHeight="1" x14ac:dyDescent="0.25">
      <c r="AA1154" s="57" t="str">
        <f t="shared" si="17"/>
        <v/>
      </c>
    </row>
    <row r="1155" spans="27:27" ht="12.75" customHeight="1" x14ac:dyDescent="0.25">
      <c r="AA1155" s="57" t="str">
        <f t="shared" si="17"/>
        <v/>
      </c>
    </row>
    <row r="1156" spans="27:27" ht="12.75" customHeight="1" x14ac:dyDescent="0.25">
      <c r="AA1156" s="57" t="str">
        <f t="shared" si="17"/>
        <v/>
      </c>
    </row>
    <row r="1157" spans="27:27" ht="12.75" customHeight="1" x14ac:dyDescent="0.25">
      <c r="AA1157" s="57" t="str">
        <f t="shared" si="17"/>
        <v/>
      </c>
    </row>
    <row r="1158" spans="27:27" ht="12.75" customHeight="1" x14ac:dyDescent="0.25">
      <c r="AA1158" s="57" t="str">
        <f t="shared" si="17"/>
        <v/>
      </c>
    </row>
    <row r="1159" spans="27:27" ht="12.75" customHeight="1" x14ac:dyDescent="0.25">
      <c r="AA1159" s="57" t="str">
        <f t="shared" si="17"/>
        <v/>
      </c>
    </row>
    <row r="1160" spans="27:27" ht="12.75" customHeight="1" x14ac:dyDescent="0.25">
      <c r="AA1160" s="57" t="str">
        <f t="shared" si="17"/>
        <v/>
      </c>
    </row>
    <row r="1161" spans="27:27" ht="12.75" customHeight="1" x14ac:dyDescent="0.25">
      <c r="AA1161" s="57" t="str">
        <f t="shared" si="17"/>
        <v/>
      </c>
    </row>
    <row r="1162" spans="27:27" ht="12.75" customHeight="1" x14ac:dyDescent="0.25">
      <c r="AA1162" s="57" t="str">
        <f t="shared" si="17"/>
        <v/>
      </c>
    </row>
    <row r="1163" spans="27:27" ht="12.75" customHeight="1" x14ac:dyDescent="0.25">
      <c r="AA1163" s="57" t="str">
        <f t="shared" si="17"/>
        <v/>
      </c>
    </row>
    <row r="1164" spans="27:27" ht="12.75" customHeight="1" x14ac:dyDescent="0.25">
      <c r="AA1164" s="57" t="str">
        <f t="shared" ref="AA1164:AA1227" si="18">IFERROR(
IF(AND(X1164="Não",Y1164="Sim"),"REP",
IF(AND(X1164="Sim",Y1164="Não"),"Técnico",
IF(AND(X1164="Sim",Y1164="Sim"),"Ambos",""))),
"")</f>
        <v/>
      </c>
    </row>
    <row r="1165" spans="27:27" ht="12.75" customHeight="1" x14ac:dyDescent="0.25">
      <c r="AA1165" s="57" t="str">
        <f t="shared" si="18"/>
        <v/>
      </c>
    </row>
    <row r="1166" spans="27:27" ht="12.75" customHeight="1" x14ac:dyDescent="0.25">
      <c r="AA1166" s="57" t="str">
        <f t="shared" si="18"/>
        <v/>
      </c>
    </row>
    <row r="1167" spans="27:27" ht="12.75" customHeight="1" x14ac:dyDescent="0.25">
      <c r="AA1167" s="57" t="str">
        <f t="shared" si="18"/>
        <v/>
      </c>
    </row>
    <row r="1168" spans="27:27" ht="12.75" customHeight="1" x14ac:dyDescent="0.25">
      <c r="AA1168" s="57" t="str">
        <f t="shared" si="18"/>
        <v/>
      </c>
    </row>
    <row r="1169" spans="27:27" ht="12.75" customHeight="1" x14ac:dyDescent="0.25">
      <c r="AA1169" s="57" t="str">
        <f t="shared" si="18"/>
        <v/>
      </c>
    </row>
    <row r="1170" spans="27:27" ht="12.75" customHeight="1" x14ac:dyDescent="0.25">
      <c r="AA1170" s="57" t="str">
        <f t="shared" si="18"/>
        <v/>
      </c>
    </row>
    <row r="1171" spans="27:27" ht="12.75" customHeight="1" x14ac:dyDescent="0.25">
      <c r="AA1171" s="57" t="str">
        <f t="shared" si="18"/>
        <v/>
      </c>
    </row>
    <row r="1172" spans="27:27" ht="12.75" customHeight="1" x14ac:dyDescent="0.25">
      <c r="AA1172" s="57" t="str">
        <f t="shared" si="18"/>
        <v/>
      </c>
    </row>
    <row r="1173" spans="27:27" ht="12.75" customHeight="1" x14ac:dyDescent="0.25">
      <c r="AA1173" s="57" t="str">
        <f t="shared" si="18"/>
        <v/>
      </c>
    </row>
    <row r="1174" spans="27:27" ht="12.75" customHeight="1" x14ac:dyDescent="0.25">
      <c r="AA1174" s="57" t="str">
        <f t="shared" si="18"/>
        <v/>
      </c>
    </row>
    <row r="1175" spans="27:27" ht="12.75" customHeight="1" x14ac:dyDescent="0.25">
      <c r="AA1175" s="57" t="str">
        <f t="shared" si="18"/>
        <v/>
      </c>
    </row>
    <row r="1176" spans="27:27" ht="12.75" customHeight="1" x14ac:dyDescent="0.25">
      <c r="AA1176" s="57" t="str">
        <f t="shared" si="18"/>
        <v/>
      </c>
    </row>
    <row r="1177" spans="27:27" ht="12.75" customHeight="1" x14ac:dyDescent="0.25">
      <c r="AA1177" s="57" t="str">
        <f t="shared" si="18"/>
        <v/>
      </c>
    </row>
    <row r="1178" spans="27:27" ht="12.75" customHeight="1" x14ac:dyDescent="0.25">
      <c r="AA1178" s="57" t="str">
        <f t="shared" si="18"/>
        <v/>
      </c>
    </row>
    <row r="1179" spans="27:27" ht="12.75" customHeight="1" x14ac:dyDescent="0.25">
      <c r="AA1179" s="57" t="str">
        <f t="shared" si="18"/>
        <v/>
      </c>
    </row>
    <row r="1180" spans="27:27" ht="12.75" customHeight="1" x14ac:dyDescent="0.25">
      <c r="AA1180" s="57" t="str">
        <f t="shared" si="18"/>
        <v/>
      </c>
    </row>
    <row r="1181" spans="27:27" ht="12.75" customHeight="1" x14ac:dyDescent="0.25">
      <c r="AA1181" s="57" t="str">
        <f t="shared" si="18"/>
        <v/>
      </c>
    </row>
    <row r="1182" spans="27:27" ht="12.75" customHeight="1" x14ac:dyDescent="0.25">
      <c r="AA1182" s="57" t="str">
        <f t="shared" si="18"/>
        <v/>
      </c>
    </row>
    <row r="1183" spans="27:27" ht="12.75" customHeight="1" x14ac:dyDescent="0.25">
      <c r="AA1183" s="57" t="str">
        <f t="shared" si="18"/>
        <v/>
      </c>
    </row>
    <row r="1184" spans="27:27" ht="12.75" customHeight="1" x14ac:dyDescent="0.25">
      <c r="AA1184" s="57" t="str">
        <f t="shared" si="18"/>
        <v/>
      </c>
    </row>
    <row r="1185" spans="27:27" ht="12.75" customHeight="1" x14ac:dyDescent="0.25">
      <c r="AA1185" s="57" t="str">
        <f t="shared" si="18"/>
        <v/>
      </c>
    </row>
    <row r="1186" spans="27:27" ht="12.75" customHeight="1" x14ac:dyDescent="0.25">
      <c r="AA1186" s="57" t="str">
        <f t="shared" si="18"/>
        <v/>
      </c>
    </row>
    <row r="1187" spans="27:27" ht="12.75" customHeight="1" x14ac:dyDescent="0.25">
      <c r="AA1187" s="57" t="str">
        <f t="shared" si="18"/>
        <v/>
      </c>
    </row>
    <row r="1188" spans="27:27" ht="12.75" customHeight="1" x14ac:dyDescent="0.25">
      <c r="AA1188" s="57" t="str">
        <f t="shared" si="18"/>
        <v/>
      </c>
    </row>
    <row r="1189" spans="27:27" ht="12.75" customHeight="1" x14ac:dyDescent="0.25">
      <c r="AA1189" s="57" t="str">
        <f t="shared" si="18"/>
        <v/>
      </c>
    </row>
    <row r="1190" spans="27:27" ht="12.75" customHeight="1" x14ac:dyDescent="0.25">
      <c r="AA1190" s="57" t="str">
        <f t="shared" si="18"/>
        <v/>
      </c>
    </row>
    <row r="1191" spans="27:27" ht="12.75" customHeight="1" x14ac:dyDescent="0.25">
      <c r="AA1191" s="57" t="str">
        <f t="shared" si="18"/>
        <v/>
      </c>
    </row>
    <row r="1192" spans="27:27" ht="12.75" customHeight="1" x14ac:dyDescent="0.25">
      <c r="AA1192" s="57" t="str">
        <f t="shared" si="18"/>
        <v/>
      </c>
    </row>
    <row r="1193" spans="27:27" ht="12.75" customHeight="1" x14ac:dyDescent="0.25">
      <c r="AA1193" s="57" t="str">
        <f t="shared" si="18"/>
        <v/>
      </c>
    </row>
    <row r="1194" spans="27:27" ht="12.75" customHeight="1" x14ac:dyDescent="0.25">
      <c r="AA1194" s="57" t="str">
        <f t="shared" si="18"/>
        <v/>
      </c>
    </row>
    <row r="1195" spans="27:27" ht="12.75" customHeight="1" x14ac:dyDescent="0.25">
      <c r="AA1195" s="57" t="str">
        <f t="shared" si="18"/>
        <v/>
      </c>
    </row>
    <row r="1196" spans="27:27" ht="12.75" customHeight="1" x14ac:dyDescent="0.25">
      <c r="AA1196" s="57" t="str">
        <f t="shared" si="18"/>
        <v/>
      </c>
    </row>
    <row r="1197" spans="27:27" ht="12.75" customHeight="1" x14ac:dyDescent="0.25">
      <c r="AA1197" s="57" t="str">
        <f t="shared" si="18"/>
        <v/>
      </c>
    </row>
    <row r="1198" spans="27:27" ht="12.75" customHeight="1" x14ac:dyDescent="0.25">
      <c r="AA1198" s="57" t="str">
        <f t="shared" si="18"/>
        <v/>
      </c>
    </row>
    <row r="1199" spans="27:27" ht="12.75" customHeight="1" x14ac:dyDescent="0.25">
      <c r="AA1199" s="57" t="str">
        <f t="shared" si="18"/>
        <v/>
      </c>
    </row>
    <row r="1200" spans="27:27" ht="12.75" customHeight="1" x14ac:dyDescent="0.25">
      <c r="AA1200" s="57" t="str">
        <f t="shared" si="18"/>
        <v/>
      </c>
    </row>
    <row r="1201" spans="27:27" ht="12.75" customHeight="1" x14ac:dyDescent="0.25">
      <c r="AA1201" s="57" t="str">
        <f t="shared" si="18"/>
        <v/>
      </c>
    </row>
    <row r="1202" spans="27:27" ht="12.75" customHeight="1" x14ac:dyDescent="0.25">
      <c r="AA1202" s="57" t="str">
        <f t="shared" si="18"/>
        <v/>
      </c>
    </row>
    <row r="1203" spans="27:27" ht="12.75" customHeight="1" x14ac:dyDescent="0.25">
      <c r="AA1203" s="57" t="str">
        <f t="shared" si="18"/>
        <v/>
      </c>
    </row>
    <row r="1204" spans="27:27" ht="12.75" customHeight="1" x14ac:dyDescent="0.25">
      <c r="AA1204" s="57" t="str">
        <f t="shared" si="18"/>
        <v/>
      </c>
    </row>
    <row r="1205" spans="27:27" ht="12.75" customHeight="1" x14ac:dyDescent="0.25">
      <c r="AA1205" s="57" t="str">
        <f t="shared" si="18"/>
        <v/>
      </c>
    </row>
    <row r="1206" spans="27:27" ht="12.75" customHeight="1" x14ac:dyDescent="0.25">
      <c r="AA1206" s="57" t="str">
        <f t="shared" si="18"/>
        <v/>
      </c>
    </row>
    <row r="1207" spans="27:27" ht="12.75" customHeight="1" x14ac:dyDescent="0.25">
      <c r="AA1207" s="57" t="str">
        <f t="shared" si="18"/>
        <v/>
      </c>
    </row>
    <row r="1208" spans="27:27" ht="12.75" customHeight="1" x14ac:dyDescent="0.25">
      <c r="AA1208" s="57" t="str">
        <f t="shared" si="18"/>
        <v/>
      </c>
    </row>
    <row r="1209" spans="27:27" ht="12.75" customHeight="1" x14ac:dyDescent="0.25">
      <c r="AA1209" s="57" t="str">
        <f t="shared" si="18"/>
        <v/>
      </c>
    </row>
    <row r="1210" spans="27:27" ht="12.75" customHeight="1" x14ac:dyDescent="0.25">
      <c r="AA1210" s="57" t="str">
        <f t="shared" si="18"/>
        <v/>
      </c>
    </row>
    <row r="1211" spans="27:27" ht="12.75" customHeight="1" x14ac:dyDescent="0.25">
      <c r="AA1211" s="57" t="str">
        <f t="shared" si="18"/>
        <v/>
      </c>
    </row>
    <row r="1212" spans="27:27" ht="12.75" customHeight="1" x14ac:dyDescent="0.25">
      <c r="AA1212" s="57" t="str">
        <f t="shared" si="18"/>
        <v/>
      </c>
    </row>
    <row r="1213" spans="27:27" ht="12.75" customHeight="1" x14ac:dyDescent="0.25">
      <c r="AA1213" s="57" t="str">
        <f t="shared" si="18"/>
        <v/>
      </c>
    </row>
    <row r="1214" spans="27:27" ht="12.75" customHeight="1" x14ac:dyDescent="0.25">
      <c r="AA1214" s="57" t="str">
        <f t="shared" si="18"/>
        <v/>
      </c>
    </row>
    <row r="1215" spans="27:27" ht="12.75" customHeight="1" x14ac:dyDescent="0.25">
      <c r="AA1215" s="57" t="str">
        <f t="shared" si="18"/>
        <v/>
      </c>
    </row>
    <row r="1216" spans="27:27" ht="12.75" customHeight="1" x14ac:dyDescent="0.25">
      <c r="AA1216" s="57" t="str">
        <f t="shared" si="18"/>
        <v/>
      </c>
    </row>
    <row r="1217" spans="27:27" ht="12.75" customHeight="1" x14ac:dyDescent="0.25">
      <c r="AA1217" s="57" t="str">
        <f t="shared" si="18"/>
        <v/>
      </c>
    </row>
    <row r="1218" spans="27:27" ht="12.75" customHeight="1" x14ac:dyDescent="0.25">
      <c r="AA1218" s="57" t="str">
        <f t="shared" si="18"/>
        <v/>
      </c>
    </row>
    <row r="1219" spans="27:27" ht="12.75" customHeight="1" x14ac:dyDescent="0.25">
      <c r="AA1219" s="57" t="str">
        <f t="shared" si="18"/>
        <v/>
      </c>
    </row>
    <row r="1220" spans="27:27" ht="12.75" customHeight="1" x14ac:dyDescent="0.25">
      <c r="AA1220" s="57" t="str">
        <f t="shared" si="18"/>
        <v/>
      </c>
    </row>
    <row r="1221" spans="27:27" ht="12.75" customHeight="1" x14ac:dyDescent="0.25">
      <c r="AA1221" s="57" t="str">
        <f t="shared" si="18"/>
        <v/>
      </c>
    </row>
    <row r="1222" spans="27:27" ht="12.75" customHeight="1" x14ac:dyDescent="0.25">
      <c r="AA1222" s="57" t="str">
        <f t="shared" si="18"/>
        <v/>
      </c>
    </row>
    <row r="1223" spans="27:27" ht="12.75" customHeight="1" x14ac:dyDescent="0.25">
      <c r="AA1223" s="57" t="str">
        <f t="shared" si="18"/>
        <v/>
      </c>
    </row>
    <row r="1224" spans="27:27" ht="12.75" customHeight="1" x14ac:dyDescent="0.25">
      <c r="AA1224" s="57" t="str">
        <f t="shared" si="18"/>
        <v/>
      </c>
    </row>
    <row r="1225" spans="27:27" ht="12.75" customHeight="1" x14ac:dyDescent="0.25">
      <c r="AA1225" s="57" t="str">
        <f t="shared" si="18"/>
        <v/>
      </c>
    </row>
    <row r="1226" spans="27:27" ht="12.75" customHeight="1" x14ac:dyDescent="0.25">
      <c r="AA1226" s="57" t="str">
        <f t="shared" si="18"/>
        <v/>
      </c>
    </row>
    <row r="1227" spans="27:27" ht="12.75" customHeight="1" x14ac:dyDescent="0.25">
      <c r="AA1227" s="57" t="str">
        <f t="shared" si="18"/>
        <v/>
      </c>
    </row>
    <row r="1228" spans="27:27" ht="12.75" customHeight="1" x14ac:dyDescent="0.25">
      <c r="AA1228" s="57" t="str">
        <f t="shared" ref="AA1228:AA1291" si="19">IFERROR(
IF(AND(X1228="Não",Y1228="Sim"),"REP",
IF(AND(X1228="Sim",Y1228="Não"),"Técnico",
IF(AND(X1228="Sim",Y1228="Sim"),"Ambos",""))),
"")</f>
        <v/>
      </c>
    </row>
    <row r="1229" spans="27:27" ht="12.75" customHeight="1" x14ac:dyDescent="0.25">
      <c r="AA1229" s="57" t="str">
        <f t="shared" si="19"/>
        <v/>
      </c>
    </row>
    <row r="1230" spans="27:27" ht="12.75" customHeight="1" x14ac:dyDescent="0.25">
      <c r="AA1230" s="57" t="str">
        <f t="shared" si="19"/>
        <v/>
      </c>
    </row>
    <row r="1231" spans="27:27" ht="12.75" customHeight="1" x14ac:dyDescent="0.25">
      <c r="AA1231" s="57" t="str">
        <f t="shared" si="19"/>
        <v/>
      </c>
    </row>
    <row r="1232" spans="27:27" ht="12.75" customHeight="1" x14ac:dyDescent="0.25">
      <c r="AA1232" s="57" t="str">
        <f t="shared" si="19"/>
        <v/>
      </c>
    </row>
    <row r="1233" spans="27:27" ht="12.75" customHeight="1" x14ac:dyDescent="0.25">
      <c r="AA1233" s="57" t="str">
        <f t="shared" si="19"/>
        <v/>
      </c>
    </row>
    <row r="1234" spans="27:27" ht="12.75" customHeight="1" x14ac:dyDescent="0.25">
      <c r="AA1234" s="57" t="str">
        <f t="shared" si="19"/>
        <v/>
      </c>
    </row>
    <row r="1235" spans="27:27" ht="12.75" customHeight="1" x14ac:dyDescent="0.25">
      <c r="AA1235" s="57" t="str">
        <f t="shared" si="19"/>
        <v/>
      </c>
    </row>
    <row r="1236" spans="27:27" ht="12.75" customHeight="1" x14ac:dyDescent="0.25">
      <c r="AA1236" s="57" t="str">
        <f t="shared" si="19"/>
        <v/>
      </c>
    </row>
    <row r="1237" spans="27:27" ht="12.75" customHeight="1" x14ac:dyDescent="0.25">
      <c r="AA1237" s="57" t="str">
        <f t="shared" si="19"/>
        <v/>
      </c>
    </row>
    <row r="1238" spans="27:27" ht="12.75" customHeight="1" x14ac:dyDescent="0.25">
      <c r="AA1238" s="57" t="str">
        <f t="shared" si="19"/>
        <v/>
      </c>
    </row>
    <row r="1239" spans="27:27" ht="12.75" customHeight="1" x14ac:dyDescent="0.25">
      <c r="AA1239" s="57" t="str">
        <f t="shared" si="19"/>
        <v/>
      </c>
    </row>
    <row r="1240" spans="27:27" ht="12.75" customHeight="1" x14ac:dyDescent="0.25">
      <c r="AA1240" s="57" t="str">
        <f t="shared" si="19"/>
        <v/>
      </c>
    </row>
    <row r="1241" spans="27:27" ht="12.75" customHeight="1" x14ac:dyDescent="0.25">
      <c r="AA1241" s="57" t="str">
        <f t="shared" si="19"/>
        <v/>
      </c>
    </row>
    <row r="1242" spans="27:27" ht="12.75" customHeight="1" x14ac:dyDescent="0.25">
      <c r="AA1242" s="57" t="str">
        <f t="shared" si="19"/>
        <v/>
      </c>
    </row>
    <row r="1243" spans="27:27" ht="12.75" customHeight="1" x14ac:dyDescent="0.25">
      <c r="AA1243" s="57" t="str">
        <f t="shared" si="19"/>
        <v/>
      </c>
    </row>
    <row r="1244" spans="27:27" ht="12.75" customHeight="1" x14ac:dyDescent="0.25">
      <c r="AA1244" s="57" t="str">
        <f t="shared" si="19"/>
        <v/>
      </c>
    </row>
    <row r="1245" spans="27:27" ht="12.75" customHeight="1" x14ac:dyDescent="0.25">
      <c r="AA1245" s="57" t="str">
        <f t="shared" si="19"/>
        <v/>
      </c>
    </row>
    <row r="1246" spans="27:27" ht="12.75" customHeight="1" x14ac:dyDescent="0.25">
      <c r="AA1246" s="57" t="str">
        <f t="shared" si="19"/>
        <v/>
      </c>
    </row>
    <row r="1247" spans="27:27" ht="12.75" customHeight="1" x14ac:dyDescent="0.25">
      <c r="AA1247" s="57" t="str">
        <f t="shared" si="19"/>
        <v/>
      </c>
    </row>
    <row r="1248" spans="27:27" ht="12.75" customHeight="1" x14ac:dyDescent="0.25">
      <c r="AA1248" s="57" t="str">
        <f t="shared" si="19"/>
        <v/>
      </c>
    </row>
    <row r="1249" spans="27:27" ht="12.75" customHeight="1" x14ac:dyDescent="0.25">
      <c r="AA1249" s="57" t="str">
        <f t="shared" si="19"/>
        <v/>
      </c>
    </row>
    <row r="1250" spans="27:27" ht="12.75" customHeight="1" x14ac:dyDescent="0.25">
      <c r="AA1250" s="57" t="str">
        <f t="shared" si="19"/>
        <v/>
      </c>
    </row>
    <row r="1251" spans="27:27" ht="12.75" customHeight="1" x14ac:dyDescent="0.25">
      <c r="AA1251" s="57" t="str">
        <f t="shared" si="19"/>
        <v/>
      </c>
    </row>
    <row r="1252" spans="27:27" ht="12.75" customHeight="1" x14ac:dyDescent="0.25">
      <c r="AA1252" s="57" t="str">
        <f t="shared" si="19"/>
        <v/>
      </c>
    </row>
    <row r="1253" spans="27:27" ht="12.75" customHeight="1" x14ac:dyDescent="0.25">
      <c r="AA1253" s="57" t="str">
        <f t="shared" si="19"/>
        <v/>
      </c>
    </row>
    <row r="1254" spans="27:27" ht="12.75" customHeight="1" x14ac:dyDescent="0.25">
      <c r="AA1254" s="57" t="str">
        <f t="shared" si="19"/>
        <v/>
      </c>
    </row>
    <row r="1255" spans="27:27" ht="12.75" customHeight="1" x14ac:dyDescent="0.25">
      <c r="AA1255" s="57" t="str">
        <f t="shared" si="19"/>
        <v/>
      </c>
    </row>
    <row r="1256" spans="27:27" ht="12.75" customHeight="1" x14ac:dyDescent="0.25">
      <c r="AA1256" s="57" t="str">
        <f t="shared" si="19"/>
        <v/>
      </c>
    </row>
    <row r="1257" spans="27:27" ht="12.75" customHeight="1" x14ac:dyDescent="0.25">
      <c r="AA1257" s="57" t="str">
        <f t="shared" si="19"/>
        <v/>
      </c>
    </row>
    <row r="1258" spans="27:27" ht="12.75" customHeight="1" x14ac:dyDescent="0.25">
      <c r="AA1258" s="57" t="str">
        <f t="shared" si="19"/>
        <v/>
      </c>
    </row>
    <row r="1259" spans="27:27" ht="12.75" customHeight="1" x14ac:dyDescent="0.25">
      <c r="AA1259" s="57" t="str">
        <f t="shared" si="19"/>
        <v/>
      </c>
    </row>
    <row r="1260" spans="27:27" ht="12.75" customHeight="1" x14ac:dyDescent="0.25">
      <c r="AA1260" s="57" t="str">
        <f t="shared" si="19"/>
        <v/>
      </c>
    </row>
    <row r="1261" spans="27:27" ht="12.75" customHeight="1" x14ac:dyDescent="0.25">
      <c r="AA1261" s="57" t="str">
        <f t="shared" si="19"/>
        <v/>
      </c>
    </row>
    <row r="1262" spans="27:27" ht="12.75" customHeight="1" x14ac:dyDescent="0.25">
      <c r="AA1262" s="57" t="str">
        <f t="shared" si="19"/>
        <v/>
      </c>
    </row>
    <row r="1263" spans="27:27" ht="12.75" customHeight="1" x14ac:dyDescent="0.25">
      <c r="AA1263" s="57" t="str">
        <f t="shared" si="19"/>
        <v/>
      </c>
    </row>
    <row r="1264" spans="27:27" ht="12.75" customHeight="1" x14ac:dyDescent="0.25">
      <c r="AA1264" s="57" t="str">
        <f t="shared" si="19"/>
        <v/>
      </c>
    </row>
    <row r="1265" spans="27:27" ht="12.75" customHeight="1" x14ac:dyDescent="0.25">
      <c r="AA1265" s="57" t="str">
        <f t="shared" si="19"/>
        <v/>
      </c>
    </row>
    <row r="1266" spans="27:27" ht="12.75" customHeight="1" x14ac:dyDescent="0.25">
      <c r="AA1266" s="57" t="str">
        <f t="shared" si="19"/>
        <v/>
      </c>
    </row>
    <row r="1267" spans="27:27" ht="12.75" customHeight="1" x14ac:dyDescent="0.25">
      <c r="AA1267" s="57" t="str">
        <f t="shared" si="19"/>
        <v/>
      </c>
    </row>
    <row r="1268" spans="27:27" ht="12.75" customHeight="1" x14ac:dyDescent="0.25">
      <c r="AA1268" s="57" t="str">
        <f t="shared" si="19"/>
        <v/>
      </c>
    </row>
    <row r="1269" spans="27:27" ht="12.75" customHeight="1" x14ac:dyDescent="0.25">
      <c r="AA1269" s="57" t="str">
        <f t="shared" si="19"/>
        <v/>
      </c>
    </row>
    <row r="1270" spans="27:27" ht="12.75" customHeight="1" x14ac:dyDescent="0.25">
      <c r="AA1270" s="57" t="str">
        <f t="shared" si="19"/>
        <v/>
      </c>
    </row>
    <row r="1271" spans="27:27" ht="12.75" customHeight="1" x14ac:dyDescent="0.25">
      <c r="AA1271" s="57" t="str">
        <f t="shared" si="19"/>
        <v/>
      </c>
    </row>
    <row r="1272" spans="27:27" ht="12.75" customHeight="1" x14ac:dyDescent="0.25">
      <c r="AA1272" s="57" t="str">
        <f t="shared" si="19"/>
        <v/>
      </c>
    </row>
    <row r="1273" spans="27:27" ht="12.75" customHeight="1" x14ac:dyDescent="0.25">
      <c r="AA1273" s="57" t="str">
        <f t="shared" si="19"/>
        <v/>
      </c>
    </row>
    <row r="1274" spans="27:27" ht="12.75" customHeight="1" x14ac:dyDescent="0.25">
      <c r="AA1274" s="57" t="str">
        <f t="shared" si="19"/>
        <v/>
      </c>
    </row>
    <row r="1275" spans="27:27" ht="12.75" customHeight="1" x14ac:dyDescent="0.25">
      <c r="AA1275" s="57" t="str">
        <f t="shared" si="19"/>
        <v/>
      </c>
    </row>
    <row r="1276" spans="27:27" ht="12.75" customHeight="1" x14ac:dyDescent="0.25">
      <c r="AA1276" s="57" t="str">
        <f t="shared" si="19"/>
        <v/>
      </c>
    </row>
    <row r="1277" spans="27:27" ht="12.75" customHeight="1" x14ac:dyDescent="0.25">
      <c r="AA1277" s="57" t="str">
        <f t="shared" si="19"/>
        <v/>
      </c>
    </row>
    <row r="1278" spans="27:27" ht="12.75" customHeight="1" x14ac:dyDescent="0.25">
      <c r="AA1278" s="57" t="str">
        <f t="shared" si="19"/>
        <v/>
      </c>
    </row>
    <row r="1279" spans="27:27" ht="12.75" customHeight="1" x14ac:dyDescent="0.25">
      <c r="AA1279" s="57" t="str">
        <f t="shared" si="19"/>
        <v/>
      </c>
    </row>
    <row r="1280" spans="27:27" ht="12.75" customHeight="1" x14ac:dyDescent="0.25">
      <c r="AA1280" s="57" t="str">
        <f t="shared" si="19"/>
        <v/>
      </c>
    </row>
    <row r="1281" spans="27:27" ht="12.75" customHeight="1" x14ac:dyDescent="0.25">
      <c r="AA1281" s="57" t="str">
        <f t="shared" si="19"/>
        <v/>
      </c>
    </row>
    <row r="1282" spans="27:27" ht="12.75" customHeight="1" x14ac:dyDescent="0.25">
      <c r="AA1282" s="57" t="str">
        <f t="shared" si="19"/>
        <v/>
      </c>
    </row>
    <row r="1283" spans="27:27" ht="12.75" customHeight="1" x14ac:dyDescent="0.25">
      <c r="AA1283" s="57" t="str">
        <f t="shared" si="19"/>
        <v/>
      </c>
    </row>
    <row r="1284" spans="27:27" ht="12.75" customHeight="1" x14ac:dyDescent="0.25">
      <c r="AA1284" s="57" t="str">
        <f t="shared" si="19"/>
        <v/>
      </c>
    </row>
    <row r="1285" spans="27:27" ht="12.75" customHeight="1" x14ac:dyDescent="0.25">
      <c r="AA1285" s="57" t="str">
        <f t="shared" si="19"/>
        <v/>
      </c>
    </row>
    <row r="1286" spans="27:27" ht="12.75" customHeight="1" x14ac:dyDescent="0.25">
      <c r="AA1286" s="57" t="str">
        <f t="shared" si="19"/>
        <v/>
      </c>
    </row>
    <row r="1287" spans="27:27" ht="12.75" customHeight="1" x14ac:dyDescent="0.25">
      <c r="AA1287" s="57" t="str">
        <f t="shared" si="19"/>
        <v/>
      </c>
    </row>
    <row r="1288" spans="27:27" ht="12.75" customHeight="1" x14ac:dyDescent="0.25">
      <c r="AA1288" s="57" t="str">
        <f t="shared" si="19"/>
        <v/>
      </c>
    </row>
    <row r="1289" spans="27:27" ht="12.75" customHeight="1" x14ac:dyDescent="0.25">
      <c r="AA1289" s="57" t="str">
        <f t="shared" si="19"/>
        <v/>
      </c>
    </row>
    <row r="1290" spans="27:27" ht="12.75" customHeight="1" x14ac:dyDescent="0.25">
      <c r="AA1290" s="57" t="str">
        <f t="shared" si="19"/>
        <v/>
      </c>
    </row>
    <row r="1291" spans="27:27" ht="12.75" customHeight="1" x14ac:dyDescent="0.25">
      <c r="AA1291" s="57" t="str">
        <f t="shared" si="19"/>
        <v/>
      </c>
    </row>
    <row r="1292" spans="27:27" ht="12.75" customHeight="1" x14ac:dyDescent="0.25">
      <c r="AA1292" s="57" t="str">
        <f t="shared" ref="AA1292:AA1355" si="20">IFERROR(
IF(AND(X1292="Não",Y1292="Sim"),"REP",
IF(AND(X1292="Sim",Y1292="Não"),"Técnico",
IF(AND(X1292="Sim",Y1292="Sim"),"Ambos",""))),
"")</f>
        <v/>
      </c>
    </row>
    <row r="1293" spans="27:27" ht="12.75" customHeight="1" x14ac:dyDescent="0.25">
      <c r="AA1293" s="57" t="str">
        <f t="shared" si="20"/>
        <v/>
      </c>
    </row>
    <row r="1294" spans="27:27" ht="12.75" customHeight="1" x14ac:dyDescent="0.25">
      <c r="AA1294" s="57" t="str">
        <f t="shared" si="20"/>
        <v/>
      </c>
    </row>
    <row r="1295" spans="27:27" ht="12.75" customHeight="1" x14ac:dyDescent="0.25">
      <c r="AA1295" s="57" t="str">
        <f t="shared" si="20"/>
        <v/>
      </c>
    </row>
    <row r="1296" spans="27:27" ht="12.75" customHeight="1" x14ac:dyDescent="0.25">
      <c r="AA1296" s="57" t="str">
        <f t="shared" si="20"/>
        <v/>
      </c>
    </row>
    <row r="1297" spans="27:27" ht="12.75" customHeight="1" x14ac:dyDescent="0.25">
      <c r="AA1297" s="57" t="str">
        <f t="shared" si="20"/>
        <v/>
      </c>
    </row>
    <row r="1298" spans="27:27" ht="12.75" customHeight="1" x14ac:dyDescent="0.25">
      <c r="AA1298" s="57" t="str">
        <f t="shared" si="20"/>
        <v/>
      </c>
    </row>
    <row r="1299" spans="27:27" ht="12.75" customHeight="1" x14ac:dyDescent="0.25">
      <c r="AA1299" s="57" t="str">
        <f t="shared" si="20"/>
        <v/>
      </c>
    </row>
    <row r="1300" spans="27:27" ht="12.75" customHeight="1" x14ac:dyDescent="0.25">
      <c r="AA1300" s="57" t="str">
        <f t="shared" si="20"/>
        <v/>
      </c>
    </row>
    <row r="1301" spans="27:27" ht="12.75" customHeight="1" x14ac:dyDescent="0.25">
      <c r="AA1301" s="57" t="str">
        <f t="shared" si="20"/>
        <v/>
      </c>
    </row>
    <row r="1302" spans="27:27" ht="12.75" customHeight="1" x14ac:dyDescent="0.25">
      <c r="AA1302" s="57" t="str">
        <f t="shared" si="20"/>
        <v/>
      </c>
    </row>
    <row r="1303" spans="27:27" ht="12.75" customHeight="1" x14ac:dyDescent="0.25">
      <c r="AA1303" s="57" t="str">
        <f t="shared" si="20"/>
        <v/>
      </c>
    </row>
    <row r="1304" spans="27:27" ht="12.75" customHeight="1" x14ac:dyDescent="0.25">
      <c r="AA1304" s="57" t="str">
        <f t="shared" si="20"/>
        <v/>
      </c>
    </row>
    <row r="1305" spans="27:27" ht="12.75" customHeight="1" x14ac:dyDescent="0.25">
      <c r="AA1305" s="57" t="str">
        <f t="shared" si="20"/>
        <v/>
      </c>
    </row>
    <row r="1306" spans="27:27" ht="12.75" customHeight="1" x14ac:dyDescent="0.25">
      <c r="AA1306" s="57" t="str">
        <f t="shared" si="20"/>
        <v/>
      </c>
    </row>
    <row r="1307" spans="27:27" ht="12.75" customHeight="1" x14ac:dyDescent="0.25">
      <c r="AA1307" s="57" t="str">
        <f t="shared" si="20"/>
        <v/>
      </c>
    </row>
    <row r="1308" spans="27:27" ht="12.75" customHeight="1" x14ac:dyDescent="0.25">
      <c r="AA1308" s="57" t="str">
        <f t="shared" si="20"/>
        <v/>
      </c>
    </row>
    <row r="1309" spans="27:27" ht="12.75" customHeight="1" x14ac:dyDescent="0.25">
      <c r="AA1309" s="57" t="str">
        <f t="shared" si="20"/>
        <v/>
      </c>
    </row>
    <row r="1310" spans="27:27" ht="12.75" customHeight="1" x14ac:dyDescent="0.25">
      <c r="AA1310" s="57" t="str">
        <f t="shared" si="20"/>
        <v/>
      </c>
    </row>
    <row r="1311" spans="27:27" ht="12.75" customHeight="1" x14ac:dyDescent="0.25">
      <c r="AA1311" s="57" t="str">
        <f t="shared" si="20"/>
        <v/>
      </c>
    </row>
    <row r="1312" spans="27:27" ht="12.75" customHeight="1" x14ac:dyDescent="0.25">
      <c r="AA1312" s="57" t="str">
        <f t="shared" si="20"/>
        <v/>
      </c>
    </row>
    <row r="1313" spans="27:27" ht="12.75" customHeight="1" x14ac:dyDescent="0.25">
      <c r="AA1313" s="57" t="str">
        <f t="shared" si="20"/>
        <v/>
      </c>
    </row>
    <row r="1314" spans="27:27" ht="12.75" customHeight="1" x14ac:dyDescent="0.25">
      <c r="AA1314" s="57" t="str">
        <f t="shared" si="20"/>
        <v/>
      </c>
    </row>
    <row r="1315" spans="27:27" ht="12.75" customHeight="1" x14ac:dyDescent="0.25">
      <c r="AA1315" s="57" t="str">
        <f t="shared" si="20"/>
        <v/>
      </c>
    </row>
    <row r="1316" spans="27:27" ht="12.75" customHeight="1" x14ac:dyDescent="0.25">
      <c r="AA1316" s="57" t="str">
        <f t="shared" si="20"/>
        <v/>
      </c>
    </row>
    <row r="1317" spans="27:27" ht="12.75" customHeight="1" x14ac:dyDescent="0.25">
      <c r="AA1317" s="57" t="str">
        <f t="shared" si="20"/>
        <v/>
      </c>
    </row>
    <row r="1318" spans="27:27" ht="12.75" customHeight="1" x14ac:dyDescent="0.25">
      <c r="AA1318" s="57" t="str">
        <f t="shared" si="20"/>
        <v/>
      </c>
    </row>
    <row r="1319" spans="27:27" ht="12.75" customHeight="1" x14ac:dyDescent="0.25">
      <c r="AA1319" s="57" t="str">
        <f t="shared" si="20"/>
        <v/>
      </c>
    </row>
    <row r="1320" spans="27:27" ht="12.75" customHeight="1" x14ac:dyDescent="0.25">
      <c r="AA1320" s="57" t="str">
        <f t="shared" si="20"/>
        <v/>
      </c>
    </row>
    <row r="1321" spans="27:27" ht="12.75" customHeight="1" x14ac:dyDescent="0.25">
      <c r="AA1321" s="57" t="str">
        <f t="shared" si="20"/>
        <v/>
      </c>
    </row>
    <row r="1322" spans="27:27" ht="12.75" customHeight="1" x14ac:dyDescent="0.25">
      <c r="AA1322" s="57" t="str">
        <f t="shared" si="20"/>
        <v/>
      </c>
    </row>
    <row r="1323" spans="27:27" ht="12.75" customHeight="1" x14ac:dyDescent="0.25">
      <c r="AA1323" s="57" t="str">
        <f t="shared" si="20"/>
        <v/>
      </c>
    </row>
    <row r="1324" spans="27:27" ht="12.75" customHeight="1" x14ac:dyDescent="0.25">
      <c r="AA1324" s="57" t="str">
        <f t="shared" si="20"/>
        <v/>
      </c>
    </row>
    <row r="1325" spans="27:27" ht="12.75" customHeight="1" x14ac:dyDescent="0.25">
      <c r="AA1325" s="57" t="str">
        <f t="shared" si="20"/>
        <v/>
      </c>
    </row>
    <row r="1326" spans="27:27" ht="12.75" customHeight="1" x14ac:dyDescent="0.25">
      <c r="AA1326" s="57" t="str">
        <f t="shared" si="20"/>
        <v/>
      </c>
    </row>
    <row r="1327" spans="27:27" ht="12.75" customHeight="1" x14ac:dyDescent="0.25">
      <c r="AA1327" s="57" t="str">
        <f t="shared" si="20"/>
        <v/>
      </c>
    </row>
    <row r="1328" spans="27:27" ht="12.75" customHeight="1" x14ac:dyDescent="0.25">
      <c r="AA1328" s="57" t="str">
        <f t="shared" si="20"/>
        <v/>
      </c>
    </row>
    <row r="1329" spans="27:27" ht="12.75" customHeight="1" x14ac:dyDescent="0.25">
      <c r="AA1329" s="57" t="str">
        <f t="shared" si="20"/>
        <v/>
      </c>
    </row>
    <row r="1330" spans="27:27" ht="12.75" customHeight="1" x14ac:dyDescent="0.25">
      <c r="AA1330" s="57" t="str">
        <f t="shared" si="20"/>
        <v/>
      </c>
    </row>
    <row r="1331" spans="27:27" ht="12.75" customHeight="1" x14ac:dyDescent="0.25">
      <c r="AA1331" s="57" t="str">
        <f t="shared" si="20"/>
        <v/>
      </c>
    </row>
    <row r="1332" spans="27:27" ht="12.75" customHeight="1" x14ac:dyDescent="0.25">
      <c r="AA1332" s="57" t="str">
        <f t="shared" si="20"/>
        <v/>
      </c>
    </row>
    <row r="1333" spans="27:27" ht="12.75" customHeight="1" x14ac:dyDescent="0.25">
      <c r="AA1333" s="57" t="str">
        <f t="shared" si="20"/>
        <v/>
      </c>
    </row>
    <row r="1334" spans="27:27" ht="12.75" customHeight="1" x14ac:dyDescent="0.25">
      <c r="AA1334" s="57" t="str">
        <f t="shared" si="20"/>
        <v/>
      </c>
    </row>
    <row r="1335" spans="27:27" ht="12.75" customHeight="1" x14ac:dyDescent="0.25">
      <c r="AA1335" s="57" t="str">
        <f t="shared" si="20"/>
        <v/>
      </c>
    </row>
    <row r="1336" spans="27:27" ht="12.75" customHeight="1" x14ac:dyDescent="0.25">
      <c r="AA1336" s="57" t="str">
        <f t="shared" si="20"/>
        <v/>
      </c>
    </row>
    <row r="1337" spans="27:27" ht="12.75" customHeight="1" x14ac:dyDescent="0.25">
      <c r="AA1337" s="57" t="str">
        <f t="shared" si="20"/>
        <v/>
      </c>
    </row>
    <row r="1338" spans="27:27" ht="12.75" customHeight="1" x14ac:dyDescent="0.25">
      <c r="AA1338" s="57" t="str">
        <f t="shared" si="20"/>
        <v/>
      </c>
    </row>
    <row r="1339" spans="27:27" ht="12.75" customHeight="1" x14ac:dyDescent="0.25">
      <c r="AA1339" s="57" t="str">
        <f t="shared" si="20"/>
        <v/>
      </c>
    </row>
    <row r="1340" spans="27:27" ht="12.75" customHeight="1" x14ac:dyDescent="0.25">
      <c r="AA1340" s="57" t="str">
        <f t="shared" si="20"/>
        <v/>
      </c>
    </row>
    <row r="1341" spans="27:27" ht="12.75" customHeight="1" x14ac:dyDescent="0.25">
      <c r="AA1341" s="57" t="str">
        <f t="shared" si="20"/>
        <v/>
      </c>
    </row>
    <row r="1342" spans="27:27" ht="12.75" customHeight="1" x14ac:dyDescent="0.25">
      <c r="AA1342" s="57" t="str">
        <f t="shared" si="20"/>
        <v/>
      </c>
    </row>
    <row r="1343" spans="27:27" ht="12.75" customHeight="1" x14ac:dyDescent="0.25">
      <c r="AA1343" s="57" t="str">
        <f t="shared" si="20"/>
        <v/>
      </c>
    </row>
    <row r="1344" spans="27:27" ht="12.75" customHeight="1" x14ac:dyDescent="0.25">
      <c r="AA1344" s="57" t="str">
        <f t="shared" si="20"/>
        <v/>
      </c>
    </row>
    <row r="1345" spans="27:27" ht="12.75" customHeight="1" x14ac:dyDescent="0.25">
      <c r="AA1345" s="57" t="str">
        <f t="shared" si="20"/>
        <v/>
      </c>
    </row>
    <row r="1346" spans="27:27" ht="12.75" customHeight="1" x14ac:dyDescent="0.25">
      <c r="AA1346" s="57" t="str">
        <f t="shared" si="20"/>
        <v/>
      </c>
    </row>
    <row r="1347" spans="27:27" ht="12.75" customHeight="1" x14ac:dyDescent="0.25">
      <c r="AA1347" s="57" t="str">
        <f t="shared" si="20"/>
        <v/>
      </c>
    </row>
    <row r="1348" spans="27:27" ht="12.75" customHeight="1" x14ac:dyDescent="0.25">
      <c r="AA1348" s="57" t="str">
        <f t="shared" si="20"/>
        <v/>
      </c>
    </row>
    <row r="1349" spans="27:27" ht="12.75" customHeight="1" x14ac:dyDescent="0.25">
      <c r="AA1349" s="57" t="str">
        <f t="shared" si="20"/>
        <v/>
      </c>
    </row>
    <row r="1350" spans="27:27" ht="12.75" customHeight="1" x14ac:dyDescent="0.25">
      <c r="AA1350" s="57" t="str">
        <f t="shared" si="20"/>
        <v/>
      </c>
    </row>
    <row r="1351" spans="27:27" ht="12.75" customHeight="1" x14ac:dyDescent="0.25">
      <c r="AA1351" s="57" t="str">
        <f t="shared" si="20"/>
        <v/>
      </c>
    </row>
    <row r="1352" spans="27:27" ht="12.75" customHeight="1" x14ac:dyDescent="0.25">
      <c r="AA1352" s="57" t="str">
        <f t="shared" si="20"/>
        <v/>
      </c>
    </row>
    <row r="1353" spans="27:27" ht="12.75" customHeight="1" x14ac:dyDescent="0.25">
      <c r="AA1353" s="57" t="str">
        <f t="shared" si="20"/>
        <v/>
      </c>
    </row>
    <row r="1354" spans="27:27" ht="12.75" customHeight="1" x14ac:dyDescent="0.25">
      <c r="AA1354" s="57" t="str">
        <f t="shared" si="20"/>
        <v/>
      </c>
    </row>
    <row r="1355" spans="27:27" ht="12.75" customHeight="1" x14ac:dyDescent="0.25">
      <c r="AA1355" s="57" t="str">
        <f t="shared" si="20"/>
        <v/>
      </c>
    </row>
    <row r="1356" spans="27:27" ht="12.75" customHeight="1" x14ac:dyDescent="0.25">
      <c r="AA1356" s="57" t="str">
        <f t="shared" ref="AA1356:AA1419" si="21">IFERROR(
IF(AND(X1356="Não",Y1356="Sim"),"REP",
IF(AND(X1356="Sim",Y1356="Não"),"Técnico",
IF(AND(X1356="Sim",Y1356="Sim"),"Ambos",""))),
"")</f>
        <v/>
      </c>
    </row>
    <row r="1357" spans="27:27" ht="12.75" customHeight="1" x14ac:dyDescent="0.25">
      <c r="AA1357" s="57" t="str">
        <f t="shared" si="21"/>
        <v/>
      </c>
    </row>
    <row r="1358" spans="27:27" ht="12.75" customHeight="1" x14ac:dyDescent="0.25">
      <c r="AA1358" s="57" t="str">
        <f t="shared" si="21"/>
        <v/>
      </c>
    </row>
    <row r="1359" spans="27:27" ht="12.75" customHeight="1" x14ac:dyDescent="0.25">
      <c r="AA1359" s="57" t="str">
        <f t="shared" si="21"/>
        <v/>
      </c>
    </row>
    <row r="1360" spans="27:27" ht="12.75" customHeight="1" x14ac:dyDescent="0.25">
      <c r="AA1360" s="57" t="str">
        <f t="shared" si="21"/>
        <v/>
      </c>
    </row>
    <row r="1361" spans="27:27" ht="12.75" customHeight="1" x14ac:dyDescent="0.25">
      <c r="AA1361" s="57" t="str">
        <f t="shared" si="21"/>
        <v/>
      </c>
    </row>
    <row r="1362" spans="27:27" ht="12.75" customHeight="1" x14ac:dyDescent="0.25">
      <c r="AA1362" s="57" t="str">
        <f t="shared" si="21"/>
        <v/>
      </c>
    </row>
    <row r="1363" spans="27:27" ht="12.75" customHeight="1" x14ac:dyDescent="0.25">
      <c r="AA1363" s="57" t="str">
        <f t="shared" si="21"/>
        <v/>
      </c>
    </row>
    <row r="1364" spans="27:27" ht="12.75" customHeight="1" x14ac:dyDescent="0.25">
      <c r="AA1364" s="57" t="str">
        <f t="shared" si="21"/>
        <v/>
      </c>
    </row>
    <row r="1365" spans="27:27" ht="12.75" customHeight="1" x14ac:dyDescent="0.25">
      <c r="AA1365" s="57" t="str">
        <f t="shared" si="21"/>
        <v/>
      </c>
    </row>
    <row r="1366" spans="27:27" ht="12.75" customHeight="1" x14ac:dyDescent="0.25">
      <c r="AA1366" s="57" t="str">
        <f t="shared" si="21"/>
        <v/>
      </c>
    </row>
    <row r="1367" spans="27:27" ht="12.75" customHeight="1" x14ac:dyDescent="0.25">
      <c r="AA1367" s="57" t="str">
        <f t="shared" si="21"/>
        <v/>
      </c>
    </row>
    <row r="1368" spans="27:27" ht="12.75" customHeight="1" x14ac:dyDescent="0.25">
      <c r="AA1368" s="57" t="str">
        <f t="shared" si="21"/>
        <v/>
      </c>
    </row>
    <row r="1369" spans="27:27" ht="12.75" customHeight="1" x14ac:dyDescent="0.25">
      <c r="AA1369" s="57" t="str">
        <f t="shared" si="21"/>
        <v/>
      </c>
    </row>
    <row r="1370" spans="27:27" ht="12.75" customHeight="1" x14ac:dyDescent="0.25">
      <c r="AA1370" s="57" t="str">
        <f t="shared" si="21"/>
        <v/>
      </c>
    </row>
    <row r="1371" spans="27:27" ht="12.75" customHeight="1" x14ac:dyDescent="0.25">
      <c r="AA1371" s="57" t="str">
        <f t="shared" si="21"/>
        <v/>
      </c>
    </row>
    <row r="1372" spans="27:27" ht="12.75" customHeight="1" x14ac:dyDescent="0.25">
      <c r="AA1372" s="57" t="str">
        <f t="shared" si="21"/>
        <v/>
      </c>
    </row>
    <row r="1373" spans="27:27" ht="12.75" customHeight="1" x14ac:dyDescent="0.25">
      <c r="AA1373" s="57" t="str">
        <f t="shared" si="21"/>
        <v/>
      </c>
    </row>
    <row r="1374" spans="27:27" ht="12.75" customHeight="1" x14ac:dyDescent="0.25">
      <c r="AA1374" s="57" t="str">
        <f t="shared" si="21"/>
        <v/>
      </c>
    </row>
    <row r="1375" spans="27:27" ht="12.75" customHeight="1" x14ac:dyDescent="0.25">
      <c r="AA1375" s="57" t="str">
        <f t="shared" si="21"/>
        <v/>
      </c>
    </row>
    <row r="1376" spans="27:27" ht="12.75" customHeight="1" x14ac:dyDescent="0.25">
      <c r="AA1376" s="57" t="str">
        <f t="shared" si="21"/>
        <v/>
      </c>
    </row>
    <row r="1377" spans="27:27" ht="12.75" customHeight="1" x14ac:dyDescent="0.25">
      <c r="AA1377" s="57" t="str">
        <f t="shared" si="21"/>
        <v/>
      </c>
    </row>
    <row r="1378" spans="27:27" ht="12.75" customHeight="1" x14ac:dyDescent="0.25">
      <c r="AA1378" s="57" t="str">
        <f t="shared" si="21"/>
        <v/>
      </c>
    </row>
    <row r="1379" spans="27:27" ht="12.75" customHeight="1" x14ac:dyDescent="0.25">
      <c r="AA1379" s="57" t="str">
        <f t="shared" si="21"/>
        <v/>
      </c>
    </row>
    <row r="1380" spans="27:27" ht="12.75" customHeight="1" x14ac:dyDescent="0.25">
      <c r="AA1380" s="57" t="str">
        <f t="shared" si="21"/>
        <v/>
      </c>
    </row>
    <row r="1381" spans="27:27" ht="12.75" customHeight="1" x14ac:dyDescent="0.25">
      <c r="AA1381" s="57" t="str">
        <f t="shared" si="21"/>
        <v/>
      </c>
    </row>
    <row r="1382" spans="27:27" ht="12.75" customHeight="1" x14ac:dyDescent="0.25">
      <c r="AA1382" s="57" t="str">
        <f t="shared" si="21"/>
        <v/>
      </c>
    </row>
    <row r="1383" spans="27:27" ht="12.75" customHeight="1" x14ac:dyDescent="0.25">
      <c r="AA1383" s="57" t="str">
        <f t="shared" si="21"/>
        <v/>
      </c>
    </row>
    <row r="1384" spans="27:27" ht="12.75" customHeight="1" x14ac:dyDescent="0.25">
      <c r="AA1384" s="57" t="str">
        <f t="shared" si="21"/>
        <v/>
      </c>
    </row>
    <row r="1385" spans="27:27" ht="12.75" customHeight="1" x14ac:dyDescent="0.25">
      <c r="AA1385" s="57" t="str">
        <f t="shared" si="21"/>
        <v/>
      </c>
    </row>
    <row r="1386" spans="27:27" ht="12.75" customHeight="1" x14ac:dyDescent="0.25">
      <c r="AA1386" s="57" t="str">
        <f t="shared" si="21"/>
        <v/>
      </c>
    </row>
    <row r="1387" spans="27:27" ht="12.75" customHeight="1" x14ac:dyDescent="0.25">
      <c r="AA1387" s="57" t="str">
        <f t="shared" si="21"/>
        <v/>
      </c>
    </row>
    <row r="1388" spans="27:27" ht="12.75" customHeight="1" x14ac:dyDescent="0.25">
      <c r="AA1388" s="57" t="str">
        <f t="shared" si="21"/>
        <v/>
      </c>
    </row>
    <row r="1389" spans="27:27" ht="12.75" customHeight="1" x14ac:dyDescent="0.25">
      <c r="AA1389" s="57" t="str">
        <f t="shared" si="21"/>
        <v/>
      </c>
    </row>
    <row r="1390" spans="27:27" ht="12.75" customHeight="1" x14ac:dyDescent="0.25">
      <c r="AA1390" s="57" t="str">
        <f t="shared" si="21"/>
        <v/>
      </c>
    </row>
    <row r="1391" spans="27:27" ht="12.75" customHeight="1" x14ac:dyDescent="0.25">
      <c r="AA1391" s="57" t="str">
        <f t="shared" si="21"/>
        <v/>
      </c>
    </row>
    <row r="1392" spans="27:27" ht="12.75" customHeight="1" x14ac:dyDescent="0.25">
      <c r="AA1392" s="57" t="str">
        <f t="shared" si="21"/>
        <v/>
      </c>
    </row>
    <row r="1393" spans="27:27" ht="12.75" customHeight="1" x14ac:dyDescent="0.25">
      <c r="AA1393" s="57" t="str">
        <f t="shared" si="21"/>
        <v/>
      </c>
    </row>
    <row r="1394" spans="27:27" ht="12.75" customHeight="1" x14ac:dyDescent="0.25">
      <c r="AA1394" s="57" t="str">
        <f t="shared" si="21"/>
        <v/>
      </c>
    </row>
    <row r="1395" spans="27:27" ht="12.75" customHeight="1" x14ac:dyDescent="0.25">
      <c r="AA1395" s="57" t="str">
        <f t="shared" si="21"/>
        <v/>
      </c>
    </row>
    <row r="1396" spans="27:27" ht="12.75" customHeight="1" x14ac:dyDescent="0.25">
      <c r="AA1396" s="57" t="str">
        <f t="shared" si="21"/>
        <v/>
      </c>
    </row>
    <row r="1397" spans="27:27" ht="12.75" customHeight="1" x14ac:dyDescent="0.25">
      <c r="AA1397" s="57" t="str">
        <f t="shared" si="21"/>
        <v/>
      </c>
    </row>
    <row r="1398" spans="27:27" ht="12.75" customHeight="1" x14ac:dyDescent="0.25">
      <c r="AA1398" s="57" t="str">
        <f t="shared" si="21"/>
        <v/>
      </c>
    </row>
    <row r="1399" spans="27:27" ht="12.75" customHeight="1" x14ac:dyDescent="0.25">
      <c r="AA1399" s="57" t="str">
        <f t="shared" si="21"/>
        <v/>
      </c>
    </row>
    <row r="1400" spans="27:27" ht="12.75" customHeight="1" x14ac:dyDescent="0.25">
      <c r="AA1400" s="57" t="str">
        <f t="shared" si="21"/>
        <v/>
      </c>
    </row>
    <row r="1401" spans="27:27" ht="12.75" customHeight="1" x14ac:dyDescent="0.25">
      <c r="AA1401" s="57" t="str">
        <f t="shared" si="21"/>
        <v/>
      </c>
    </row>
    <row r="1402" spans="27:27" ht="12.75" customHeight="1" x14ac:dyDescent="0.25">
      <c r="AA1402" s="57" t="str">
        <f t="shared" si="21"/>
        <v/>
      </c>
    </row>
    <row r="1403" spans="27:27" ht="12.75" customHeight="1" x14ac:dyDescent="0.25">
      <c r="AA1403" s="57" t="str">
        <f t="shared" si="21"/>
        <v/>
      </c>
    </row>
    <row r="1404" spans="27:27" ht="12.75" customHeight="1" x14ac:dyDescent="0.25">
      <c r="AA1404" s="57" t="str">
        <f t="shared" si="21"/>
        <v/>
      </c>
    </row>
    <row r="1405" spans="27:27" ht="12.75" customHeight="1" x14ac:dyDescent="0.25">
      <c r="AA1405" s="57" t="str">
        <f t="shared" si="21"/>
        <v/>
      </c>
    </row>
    <row r="1406" spans="27:27" ht="12.75" customHeight="1" x14ac:dyDescent="0.25">
      <c r="AA1406" s="57" t="str">
        <f t="shared" si="21"/>
        <v/>
      </c>
    </row>
    <row r="1407" spans="27:27" ht="12.75" customHeight="1" x14ac:dyDescent="0.25">
      <c r="AA1407" s="57" t="str">
        <f t="shared" si="21"/>
        <v/>
      </c>
    </row>
    <row r="1408" spans="27:27" ht="12.75" customHeight="1" x14ac:dyDescent="0.25">
      <c r="AA1408" s="57" t="str">
        <f t="shared" si="21"/>
        <v/>
      </c>
    </row>
    <row r="1409" spans="27:27" ht="12.75" customHeight="1" x14ac:dyDescent="0.25">
      <c r="AA1409" s="57" t="str">
        <f t="shared" si="21"/>
        <v/>
      </c>
    </row>
    <row r="1410" spans="27:27" ht="12.75" customHeight="1" x14ac:dyDescent="0.25">
      <c r="AA1410" s="57" t="str">
        <f t="shared" si="21"/>
        <v/>
      </c>
    </row>
    <row r="1411" spans="27:27" ht="12.75" customHeight="1" x14ac:dyDescent="0.25">
      <c r="AA1411" s="57" t="str">
        <f t="shared" si="21"/>
        <v/>
      </c>
    </row>
    <row r="1412" spans="27:27" ht="12.75" customHeight="1" x14ac:dyDescent="0.25">
      <c r="AA1412" s="57" t="str">
        <f t="shared" si="21"/>
        <v/>
      </c>
    </row>
    <row r="1413" spans="27:27" ht="12.75" customHeight="1" x14ac:dyDescent="0.25">
      <c r="AA1413" s="57" t="str">
        <f t="shared" si="21"/>
        <v/>
      </c>
    </row>
    <row r="1414" spans="27:27" ht="12.75" customHeight="1" x14ac:dyDescent="0.25">
      <c r="AA1414" s="57" t="str">
        <f t="shared" si="21"/>
        <v/>
      </c>
    </row>
    <row r="1415" spans="27:27" ht="12.75" customHeight="1" x14ac:dyDescent="0.25">
      <c r="AA1415" s="57" t="str">
        <f t="shared" si="21"/>
        <v/>
      </c>
    </row>
    <row r="1416" spans="27:27" ht="12.75" customHeight="1" x14ac:dyDescent="0.25">
      <c r="AA1416" s="57" t="str">
        <f t="shared" si="21"/>
        <v/>
      </c>
    </row>
    <row r="1417" spans="27:27" ht="12.75" customHeight="1" x14ac:dyDescent="0.25">
      <c r="AA1417" s="57" t="str">
        <f t="shared" si="21"/>
        <v/>
      </c>
    </row>
    <row r="1418" spans="27:27" ht="12.75" customHeight="1" x14ac:dyDescent="0.25">
      <c r="AA1418" s="57" t="str">
        <f t="shared" si="21"/>
        <v/>
      </c>
    </row>
    <row r="1419" spans="27:27" ht="12.75" customHeight="1" x14ac:dyDescent="0.25">
      <c r="AA1419" s="57" t="str">
        <f t="shared" si="21"/>
        <v/>
      </c>
    </row>
    <row r="1420" spans="27:27" ht="12.75" customHeight="1" x14ac:dyDescent="0.25">
      <c r="AA1420" s="57" t="str">
        <f t="shared" ref="AA1420:AA1483" si="22">IFERROR(
IF(AND(X1420="Não",Y1420="Sim"),"REP",
IF(AND(X1420="Sim",Y1420="Não"),"Técnico",
IF(AND(X1420="Sim",Y1420="Sim"),"Ambos",""))),
"")</f>
        <v/>
      </c>
    </row>
    <row r="1421" spans="27:27" ht="12.75" customHeight="1" x14ac:dyDescent="0.25">
      <c r="AA1421" s="57" t="str">
        <f t="shared" si="22"/>
        <v/>
      </c>
    </row>
    <row r="1422" spans="27:27" ht="12.75" customHeight="1" x14ac:dyDescent="0.25">
      <c r="AA1422" s="57" t="str">
        <f t="shared" si="22"/>
        <v/>
      </c>
    </row>
    <row r="1423" spans="27:27" ht="12.75" customHeight="1" x14ac:dyDescent="0.25">
      <c r="AA1423" s="57" t="str">
        <f t="shared" si="22"/>
        <v/>
      </c>
    </row>
    <row r="1424" spans="27:27" ht="12.75" customHeight="1" x14ac:dyDescent="0.25">
      <c r="AA1424" s="57" t="str">
        <f t="shared" si="22"/>
        <v/>
      </c>
    </row>
    <row r="1425" spans="27:27" ht="12.75" customHeight="1" x14ac:dyDescent="0.25">
      <c r="AA1425" s="57" t="str">
        <f t="shared" si="22"/>
        <v/>
      </c>
    </row>
    <row r="1426" spans="27:27" ht="12.75" customHeight="1" x14ac:dyDescent="0.25">
      <c r="AA1426" s="57" t="str">
        <f t="shared" si="22"/>
        <v/>
      </c>
    </row>
    <row r="1427" spans="27:27" ht="12.75" customHeight="1" x14ac:dyDescent="0.25">
      <c r="AA1427" s="57" t="str">
        <f t="shared" si="22"/>
        <v/>
      </c>
    </row>
    <row r="1428" spans="27:27" ht="12.75" customHeight="1" x14ac:dyDescent="0.25">
      <c r="AA1428" s="57" t="str">
        <f t="shared" si="22"/>
        <v/>
      </c>
    </row>
    <row r="1429" spans="27:27" ht="12.75" customHeight="1" x14ac:dyDescent="0.25">
      <c r="AA1429" s="57" t="str">
        <f t="shared" si="22"/>
        <v/>
      </c>
    </row>
    <row r="1430" spans="27:27" ht="12.75" customHeight="1" x14ac:dyDescent="0.25">
      <c r="AA1430" s="57" t="str">
        <f t="shared" si="22"/>
        <v/>
      </c>
    </row>
    <row r="1431" spans="27:27" ht="12.75" customHeight="1" x14ac:dyDescent="0.25">
      <c r="AA1431" s="57" t="str">
        <f t="shared" si="22"/>
        <v/>
      </c>
    </row>
    <row r="1432" spans="27:27" ht="12.75" customHeight="1" x14ac:dyDescent="0.25">
      <c r="AA1432" s="57" t="str">
        <f t="shared" si="22"/>
        <v/>
      </c>
    </row>
    <row r="1433" spans="27:27" ht="12.75" customHeight="1" x14ac:dyDescent="0.25">
      <c r="AA1433" s="57" t="str">
        <f t="shared" si="22"/>
        <v/>
      </c>
    </row>
    <row r="1434" spans="27:27" ht="12.75" customHeight="1" x14ac:dyDescent="0.25">
      <c r="AA1434" s="57" t="str">
        <f t="shared" si="22"/>
        <v/>
      </c>
    </row>
    <row r="1435" spans="27:27" ht="12.75" customHeight="1" x14ac:dyDescent="0.25">
      <c r="AA1435" s="57" t="str">
        <f t="shared" si="22"/>
        <v/>
      </c>
    </row>
    <row r="1436" spans="27:27" ht="12.75" customHeight="1" x14ac:dyDescent="0.25">
      <c r="AA1436" s="57" t="str">
        <f t="shared" si="22"/>
        <v/>
      </c>
    </row>
    <row r="1437" spans="27:27" ht="12.75" customHeight="1" x14ac:dyDescent="0.25">
      <c r="AA1437" s="57" t="str">
        <f t="shared" si="22"/>
        <v/>
      </c>
    </row>
    <row r="1438" spans="27:27" ht="12.75" customHeight="1" x14ac:dyDescent="0.25">
      <c r="AA1438" s="57" t="str">
        <f t="shared" si="22"/>
        <v/>
      </c>
    </row>
    <row r="1439" spans="27:27" ht="12.75" customHeight="1" x14ac:dyDescent="0.25">
      <c r="AA1439" s="57" t="str">
        <f t="shared" si="22"/>
        <v/>
      </c>
    </row>
    <row r="1440" spans="27:27" ht="12.75" customHeight="1" x14ac:dyDescent="0.25">
      <c r="AA1440" s="57" t="str">
        <f t="shared" si="22"/>
        <v/>
      </c>
    </row>
    <row r="1441" spans="27:27" ht="12.75" customHeight="1" x14ac:dyDescent="0.25">
      <c r="AA1441" s="57" t="str">
        <f t="shared" si="22"/>
        <v/>
      </c>
    </row>
    <row r="1442" spans="27:27" ht="12.75" customHeight="1" x14ac:dyDescent="0.25">
      <c r="AA1442" s="57" t="str">
        <f t="shared" si="22"/>
        <v/>
      </c>
    </row>
    <row r="1443" spans="27:27" ht="12.75" customHeight="1" x14ac:dyDescent="0.25">
      <c r="AA1443" s="57" t="str">
        <f t="shared" si="22"/>
        <v/>
      </c>
    </row>
    <row r="1444" spans="27:27" ht="12.75" customHeight="1" x14ac:dyDescent="0.25">
      <c r="AA1444" s="57" t="str">
        <f t="shared" si="22"/>
        <v/>
      </c>
    </row>
    <row r="1445" spans="27:27" ht="12.75" customHeight="1" x14ac:dyDescent="0.25">
      <c r="AA1445" s="57" t="str">
        <f t="shared" si="22"/>
        <v/>
      </c>
    </row>
    <row r="1446" spans="27:27" ht="12.75" customHeight="1" x14ac:dyDescent="0.25">
      <c r="AA1446" s="57" t="str">
        <f t="shared" si="22"/>
        <v/>
      </c>
    </row>
    <row r="1447" spans="27:27" ht="12.75" customHeight="1" x14ac:dyDescent="0.25">
      <c r="AA1447" s="57" t="str">
        <f t="shared" si="22"/>
        <v/>
      </c>
    </row>
    <row r="1448" spans="27:27" ht="12.75" customHeight="1" x14ac:dyDescent="0.25">
      <c r="AA1448" s="57" t="str">
        <f t="shared" si="22"/>
        <v/>
      </c>
    </row>
    <row r="1449" spans="27:27" ht="12.75" customHeight="1" x14ac:dyDescent="0.25">
      <c r="AA1449" s="57" t="str">
        <f t="shared" si="22"/>
        <v/>
      </c>
    </row>
    <row r="1450" spans="27:27" ht="12.75" customHeight="1" x14ac:dyDescent="0.25">
      <c r="AA1450" s="57" t="str">
        <f t="shared" si="22"/>
        <v/>
      </c>
    </row>
    <row r="1451" spans="27:27" ht="12.75" customHeight="1" x14ac:dyDescent="0.25">
      <c r="AA1451" s="57" t="str">
        <f t="shared" si="22"/>
        <v/>
      </c>
    </row>
    <row r="1452" spans="27:27" ht="12.75" customHeight="1" x14ac:dyDescent="0.25">
      <c r="AA1452" s="57" t="str">
        <f t="shared" si="22"/>
        <v/>
      </c>
    </row>
    <row r="1453" spans="27:27" ht="12.75" customHeight="1" x14ac:dyDescent="0.25">
      <c r="AA1453" s="57" t="str">
        <f t="shared" si="22"/>
        <v/>
      </c>
    </row>
    <row r="1454" spans="27:27" ht="12.75" customHeight="1" x14ac:dyDescent="0.25">
      <c r="AA1454" s="57" t="str">
        <f t="shared" si="22"/>
        <v/>
      </c>
    </row>
    <row r="1455" spans="27:27" ht="12.75" customHeight="1" x14ac:dyDescent="0.25">
      <c r="AA1455" s="57" t="str">
        <f t="shared" si="22"/>
        <v/>
      </c>
    </row>
    <row r="1456" spans="27:27" ht="12.75" customHeight="1" x14ac:dyDescent="0.25">
      <c r="AA1456" s="57" t="str">
        <f t="shared" si="22"/>
        <v/>
      </c>
    </row>
    <row r="1457" spans="27:27" ht="12.75" customHeight="1" x14ac:dyDescent="0.25">
      <c r="AA1457" s="57" t="str">
        <f t="shared" si="22"/>
        <v/>
      </c>
    </row>
    <row r="1458" spans="27:27" ht="12.75" customHeight="1" x14ac:dyDescent="0.25">
      <c r="AA1458" s="57" t="str">
        <f t="shared" si="22"/>
        <v/>
      </c>
    </row>
    <row r="1459" spans="27:27" ht="12.75" customHeight="1" x14ac:dyDescent="0.25">
      <c r="AA1459" s="57" t="str">
        <f t="shared" si="22"/>
        <v/>
      </c>
    </row>
    <row r="1460" spans="27:27" ht="12.75" customHeight="1" x14ac:dyDescent="0.25">
      <c r="AA1460" s="57" t="str">
        <f t="shared" si="22"/>
        <v/>
      </c>
    </row>
    <row r="1461" spans="27:27" ht="12.75" customHeight="1" x14ac:dyDescent="0.25">
      <c r="AA1461" s="57" t="str">
        <f t="shared" si="22"/>
        <v/>
      </c>
    </row>
    <row r="1462" spans="27:27" ht="12.75" customHeight="1" x14ac:dyDescent="0.25">
      <c r="AA1462" s="57" t="str">
        <f t="shared" si="22"/>
        <v/>
      </c>
    </row>
    <row r="1463" spans="27:27" ht="12.75" customHeight="1" x14ac:dyDescent="0.25">
      <c r="AA1463" s="57" t="str">
        <f t="shared" si="22"/>
        <v/>
      </c>
    </row>
    <row r="1464" spans="27:27" ht="12.75" customHeight="1" x14ac:dyDescent="0.25">
      <c r="AA1464" s="57" t="str">
        <f t="shared" si="22"/>
        <v/>
      </c>
    </row>
    <row r="1465" spans="27:27" ht="12.75" customHeight="1" x14ac:dyDescent="0.25">
      <c r="AA1465" s="57" t="str">
        <f t="shared" si="22"/>
        <v/>
      </c>
    </row>
    <row r="1466" spans="27:27" ht="12.75" customHeight="1" x14ac:dyDescent="0.25">
      <c r="AA1466" s="57" t="str">
        <f t="shared" si="22"/>
        <v/>
      </c>
    </row>
    <row r="1467" spans="27:27" ht="12.75" customHeight="1" x14ac:dyDescent="0.25">
      <c r="AA1467" s="57" t="str">
        <f t="shared" si="22"/>
        <v/>
      </c>
    </row>
    <row r="1468" spans="27:27" ht="12.75" customHeight="1" x14ac:dyDescent="0.25">
      <c r="AA1468" s="57" t="str">
        <f t="shared" si="22"/>
        <v/>
      </c>
    </row>
    <row r="1469" spans="27:27" ht="12.75" customHeight="1" x14ac:dyDescent="0.25">
      <c r="AA1469" s="57" t="str">
        <f t="shared" si="22"/>
        <v/>
      </c>
    </row>
    <row r="1470" spans="27:27" ht="12.75" customHeight="1" x14ac:dyDescent="0.25">
      <c r="AA1470" s="57" t="str">
        <f t="shared" si="22"/>
        <v/>
      </c>
    </row>
    <row r="1471" spans="27:27" ht="12.75" customHeight="1" x14ac:dyDescent="0.25">
      <c r="AA1471" s="57" t="str">
        <f t="shared" si="22"/>
        <v/>
      </c>
    </row>
    <row r="1472" spans="27:27" ht="12.75" customHeight="1" x14ac:dyDescent="0.25">
      <c r="AA1472" s="57" t="str">
        <f t="shared" si="22"/>
        <v/>
      </c>
    </row>
    <row r="1473" spans="27:27" ht="12.75" customHeight="1" x14ac:dyDescent="0.25">
      <c r="AA1473" s="57" t="str">
        <f t="shared" si="22"/>
        <v/>
      </c>
    </row>
    <row r="1474" spans="27:27" ht="12.75" customHeight="1" x14ac:dyDescent="0.25">
      <c r="AA1474" s="57" t="str">
        <f t="shared" si="22"/>
        <v/>
      </c>
    </row>
    <row r="1475" spans="27:27" ht="12.75" customHeight="1" x14ac:dyDescent="0.25">
      <c r="AA1475" s="57" t="str">
        <f t="shared" si="22"/>
        <v/>
      </c>
    </row>
    <row r="1476" spans="27:27" ht="12.75" customHeight="1" x14ac:dyDescent="0.25">
      <c r="AA1476" s="57" t="str">
        <f t="shared" si="22"/>
        <v/>
      </c>
    </row>
    <row r="1477" spans="27:27" ht="12.75" customHeight="1" x14ac:dyDescent="0.25">
      <c r="AA1477" s="57" t="str">
        <f t="shared" si="22"/>
        <v/>
      </c>
    </row>
    <row r="1478" spans="27:27" ht="12.75" customHeight="1" x14ac:dyDescent="0.25">
      <c r="AA1478" s="57" t="str">
        <f t="shared" si="22"/>
        <v/>
      </c>
    </row>
    <row r="1479" spans="27:27" ht="12.75" customHeight="1" x14ac:dyDescent="0.25">
      <c r="AA1479" s="57" t="str">
        <f t="shared" si="22"/>
        <v/>
      </c>
    </row>
    <row r="1480" spans="27:27" ht="12.75" customHeight="1" x14ac:dyDescent="0.25">
      <c r="AA1480" s="57" t="str">
        <f t="shared" si="22"/>
        <v/>
      </c>
    </row>
    <row r="1481" spans="27:27" ht="12.75" customHeight="1" x14ac:dyDescent="0.25">
      <c r="AA1481" s="57" t="str">
        <f t="shared" si="22"/>
        <v/>
      </c>
    </row>
    <row r="1482" spans="27:27" ht="12.75" customHeight="1" x14ac:dyDescent="0.25">
      <c r="AA1482" s="57" t="str">
        <f t="shared" si="22"/>
        <v/>
      </c>
    </row>
    <row r="1483" spans="27:27" ht="12.75" customHeight="1" x14ac:dyDescent="0.25">
      <c r="AA1483" s="57" t="str">
        <f t="shared" si="22"/>
        <v/>
      </c>
    </row>
    <row r="1484" spans="27:27" ht="12.75" customHeight="1" x14ac:dyDescent="0.25">
      <c r="AA1484" s="57" t="str">
        <f t="shared" ref="AA1484:AA1547" si="23">IFERROR(
IF(AND(X1484="Não",Y1484="Sim"),"REP",
IF(AND(X1484="Sim",Y1484="Não"),"Técnico",
IF(AND(X1484="Sim",Y1484="Sim"),"Ambos",""))),
"")</f>
        <v/>
      </c>
    </row>
    <row r="1485" spans="27:27" ht="12.75" customHeight="1" x14ac:dyDescent="0.25">
      <c r="AA1485" s="57" t="str">
        <f t="shared" si="23"/>
        <v/>
      </c>
    </row>
    <row r="1486" spans="27:27" ht="12.75" customHeight="1" x14ac:dyDescent="0.25">
      <c r="AA1486" s="57" t="str">
        <f t="shared" si="23"/>
        <v/>
      </c>
    </row>
    <row r="1487" spans="27:27" ht="12.75" customHeight="1" x14ac:dyDescent="0.25">
      <c r="AA1487" s="57" t="str">
        <f t="shared" si="23"/>
        <v/>
      </c>
    </row>
    <row r="1488" spans="27:27" ht="12.75" customHeight="1" x14ac:dyDescent="0.25">
      <c r="AA1488" s="57" t="str">
        <f t="shared" si="23"/>
        <v/>
      </c>
    </row>
    <row r="1489" spans="27:27" ht="12.75" customHeight="1" x14ac:dyDescent="0.25">
      <c r="AA1489" s="57" t="str">
        <f t="shared" si="23"/>
        <v/>
      </c>
    </row>
    <row r="1490" spans="27:27" ht="12.75" customHeight="1" x14ac:dyDescent="0.25">
      <c r="AA1490" s="57" t="str">
        <f t="shared" si="23"/>
        <v/>
      </c>
    </row>
    <row r="1491" spans="27:27" ht="12.75" customHeight="1" x14ac:dyDescent="0.25">
      <c r="AA1491" s="57" t="str">
        <f t="shared" si="23"/>
        <v/>
      </c>
    </row>
    <row r="1492" spans="27:27" ht="12.75" customHeight="1" x14ac:dyDescent="0.25">
      <c r="AA1492" s="57" t="str">
        <f t="shared" si="23"/>
        <v/>
      </c>
    </row>
    <row r="1493" spans="27:27" ht="12.75" customHeight="1" x14ac:dyDescent="0.25">
      <c r="AA1493" s="57" t="str">
        <f t="shared" si="23"/>
        <v/>
      </c>
    </row>
    <row r="1494" spans="27:27" ht="12.75" customHeight="1" x14ac:dyDescent="0.25">
      <c r="AA1494" s="57" t="str">
        <f t="shared" si="23"/>
        <v/>
      </c>
    </row>
    <row r="1495" spans="27:27" ht="12.75" customHeight="1" x14ac:dyDescent="0.25">
      <c r="AA1495" s="57" t="str">
        <f t="shared" si="23"/>
        <v/>
      </c>
    </row>
    <row r="1496" spans="27:27" ht="12.75" customHeight="1" x14ac:dyDescent="0.25">
      <c r="AA1496" s="57" t="str">
        <f t="shared" si="23"/>
        <v/>
      </c>
    </row>
    <row r="1497" spans="27:27" ht="12.75" customHeight="1" x14ac:dyDescent="0.25">
      <c r="AA1497" s="57" t="str">
        <f t="shared" si="23"/>
        <v/>
      </c>
    </row>
    <row r="1498" spans="27:27" ht="12.75" customHeight="1" x14ac:dyDescent="0.25">
      <c r="AA1498" s="57" t="str">
        <f t="shared" si="23"/>
        <v/>
      </c>
    </row>
    <row r="1499" spans="27:27" ht="12.75" customHeight="1" x14ac:dyDescent="0.25">
      <c r="AA1499" s="57" t="str">
        <f t="shared" si="23"/>
        <v/>
      </c>
    </row>
    <row r="1500" spans="27:27" ht="12.75" customHeight="1" x14ac:dyDescent="0.25">
      <c r="AA1500" s="57" t="str">
        <f t="shared" si="23"/>
        <v/>
      </c>
    </row>
    <row r="1501" spans="27:27" ht="12.75" customHeight="1" x14ac:dyDescent="0.25">
      <c r="AA1501" s="57" t="str">
        <f t="shared" si="23"/>
        <v/>
      </c>
    </row>
    <row r="1502" spans="27:27" ht="12.75" customHeight="1" x14ac:dyDescent="0.25">
      <c r="AA1502" s="57" t="str">
        <f t="shared" si="23"/>
        <v/>
      </c>
    </row>
    <row r="1503" spans="27:27" ht="12.75" customHeight="1" x14ac:dyDescent="0.25">
      <c r="AA1503" s="57" t="str">
        <f t="shared" si="23"/>
        <v/>
      </c>
    </row>
    <row r="1504" spans="27:27" ht="12.75" customHeight="1" x14ac:dyDescent="0.25">
      <c r="AA1504" s="57" t="str">
        <f t="shared" si="23"/>
        <v/>
      </c>
    </row>
    <row r="1505" spans="27:27" ht="12.75" customHeight="1" x14ac:dyDescent="0.25">
      <c r="AA1505" s="57" t="str">
        <f t="shared" si="23"/>
        <v/>
      </c>
    </row>
    <row r="1506" spans="27:27" ht="12.75" customHeight="1" x14ac:dyDescent="0.25">
      <c r="AA1506" s="57" t="str">
        <f t="shared" si="23"/>
        <v/>
      </c>
    </row>
    <row r="1507" spans="27:27" ht="12.75" customHeight="1" x14ac:dyDescent="0.25">
      <c r="AA1507" s="57" t="str">
        <f t="shared" si="23"/>
        <v/>
      </c>
    </row>
    <row r="1508" spans="27:27" ht="12.75" customHeight="1" x14ac:dyDescent="0.25">
      <c r="AA1508" s="57" t="str">
        <f t="shared" si="23"/>
        <v/>
      </c>
    </row>
    <row r="1509" spans="27:27" ht="12.75" customHeight="1" x14ac:dyDescent="0.25">
      <c r="AA1509" s="57" t="str">
        <f t="shared" si="23"/>
        <v/>
      </c>
    </row>
    <row r="1510" spans="27:27" ht="12.75" customHeight="1" x14ac:dyDescent="0.25">
      <c r="AA1510" s="57" t="str">
        <f t="shared" si="23"/>
        <v/>
      </c>
    </row>
    <row r="1511" spans="27:27" ht="12.75" customHeight="1" x14ac:dyDescent="0.25">
      <c r="AA1511" s="57" t="str">
        <f t="shared" si="23"/>
        <v/>
      </c>
    </row>
    <row r="1512" spans="27:27" ht="12.75" customHeight="1" x14ac:dyDescent="0.25">
      <c r="AA1512" s="57" t="str">
        <f t="shared" si="23"/>
        <v/>
      </c>
    </row>
    <row r="1513" spans="27:27" ht="12.75" customHeight="1" x14ac:dyDescent="0.25">
      <c r="AA1513" s="57" t="str">
        <f t="shared" si="23"/>
        <v/>
      </c>
    </row>
    <row r="1514" spans="27:27" ht="12.75" customHeight="1" x14ac:dyDescent="0.25">
      <c r="AA1514" s="57" t="str">
        <f t="shared" si="23"/>
        <v/>
      </c>
    </row>
    <row r="1515" spans="27:27" ht="12.75" customHeight="1" x14ac:dyDescent="0.25">
      <c r="AA1515" s="57" t="str">
        <f t="shared" si="23"/>
        <v/>
      </c>
    </row>
    <row r="1516" spans="27:27" ht="12.75" customHeight="1" x14ac:dyDescent="0.25">
      <c r="AA1516" s="57" t="str">
        <f t="shared" si="23"/>
        <v/>
      </c>
    </row>
    <row r="1517" spans="27:27" ht="12.75" customHeight="1" x14ac:dyDescent="0.25">
      <c r="AA1517" s="57" t="str">
        <f t="shared" si="23"/>
        <v/>
      </c>
    </row>
    <row r="1518" spans="27:27" ht="12.75" customHeight="1" x14ac:dyDescent="0.25">
      <c r="AA1518" s="57" t="str">
        <f t="shared" si="23"/>
        <v/>
      </c>
    </row>
    <row r="1519" spans="27:27" ht="12.75" customHeight="1" x14ac:dyDescent="0.25">
      <c r="AA1519" s="57" t="str">
        <f t="shared" si="23"/>
        <v/>
      </c>
    </row>
    <row r="1520" spans="27:27" ht="12.75" customHeight="1" x14ac:dyDescent="0.25">
      <c r="AA1520" s="57" t="str">
        <f t="shared" si="23"/>
        <v/>
      </c>
    </row>
    <row r="1521" spans="27:27" ht="12.75" customHeight="1" x14ac:dyDescent="0.25">
      <c r="AA1521" s="57" t="str">
        <f t="shared" si="23"/>
        <v/>
      </c>
    </row>
    <row r="1522" spans="27:27" ht="12.75" customHeight="1" x14ac:dyDescent="0.25">
      <c r="AA1522" s="57" t="str">
        <f t="shared" si="23"/>
        <v/>
      </c>
    </row>
    <row r="1523" spans="27:27" ht="12.75" customHeight="1" x14ac:dyDescent="0.25">
      <c r="AA1523" s="57" t="str">
        <f t="shared" si="23"/>
        <v/>
      </c>
    </row>
    <row r="1524" spans="27:27" ht="12.75" customHeight="1" x14ac:dyDescent="0.25">
      <c r="AA1524" s="57" t="str">
        <f t="shared" si="23"/>
        <v/>
      </c>
    </row>
    <row r="1525" spans="27:27" ht="12.75" customHeight="1" x14ac:dyDescent="0.25">
      <c r="AA1525" s="57" t="str">
        <f t="shared" si="23"/>
        <v/>
      </c>
    </row>
    <row r="1526" spans="27:27" ht="12.75" customHeight="1" x14ac:dyDescent="0.25">
      <c r="AA1526" s="57" t="str">
        <f t="shared" si="23"/>
        <v/>
      </c>
    </row>
    <row r="1527" spans="27:27" ht="12.75" customHeight="1" x14ac:dyDescent="0.25">
      <c r="AA1527" s="57" t="str">
        <f t="shared" si="23"/>
        <v/>
      </c>
    </row>
    <row r="1528" spans="27:27" ht="12.75" customHeight="1" x14ac:dyDescent="0.25">
      <c r="AA1528" s="57" t="str">
        <f t="shared" si="23"/>
        <v/>
      </c>
    </row>
    <row r="1529" spans="27:27" ht="12.75" customHeight="1" x14ac:dyDescent="0.25">
      <c r="AA1529" s="57" t="str">
        <f t="shared" si="23"/>
        <v/>
      </c>
    </row>
    <row r="1530" spans="27:27" ht="12.75" customHeight="1" x14ac:dyDescent="0.25">
      <c r="AA1530" s="57" t="str">
        <f t="shared" si="23"/>
        <v/>
      </c>
    </row>
    <row r="1531" spans="27:27" ht="12.75" customHeight="1" x14ac:dyDescent="0.25">
      <c r="AA1531" s="57" t="str">
        <f t="shared" si="23"/>
        <v/>
      </c>
    </row>
    <row r="1532" spans="27:27" ht="12.75" customHeight="1" x14ac:dyDescent="0.25">
      <c r="AA1532" s="57" t="str">
        <f t="shared" si="23"/>
        <v/>
      </c>
    </row>
    <row r="1533" spans="27:27" ht="12.75" customHeight="1" x14ac:dyDescent="0.25">
      <c r="AA1533" s="57" t="str">
        <f t="shared" si="23"/>
        <v/>
      </c>
    </row>
    <row r="1534" spans="27:27" ht="12.75" customHeight="1" x14ac:dyDescent="0.25">
      <c r="AA1534" s="57" t="str">
        <f t="shared" si="23"/>
        <v/>
      </c>
    </row>
    <row r="1535" spans="27:27" ht="12.75" customHeight="1" x14ac:dyDescent="0.25">
      <c r="AA1535" s="57" t="str">
        <f t="shared" si="23"/>
        <v/>
      </c>
    </row>
    <row r="1536" spans="27:27" ht="12.75" customHeight="1" x14ac:dyDescent="0.25">
      <c r="AA1536" s="57" t="str">
        <f t="shared" si="23"/>
        <v/>
      </c>
    </row>
    <row r="1537" spans="27:27" ht="12.75" customHeight="1" x14ac:dyDescent="0.25">
      <c r="AA1537" s="57" t="str">
        <f t="shared" si="23"/>
        <v/>
      </c>
    </row>
    <row r="1538" spans="27:27" ht="12.75" customHeight="1" x14ac:dyDescent="0.25">
      <c r="AA1538" s="57" t="str">
        <f t="shared" si="23"/>
        <v/>
      </c>
    </row>
    <row r="1539" spans="27:27" ht="12.75" customHeight="1" x14ac:dyDescent="0.25">
      <c r="AA1539" s="57" t="str">
        <f t="shared" si="23"/>
        <v/>
      </c>
    </row>
    <row r="1540" spans="27:27" ht="12.75" customHeight="1" x14ac:dyDescent="0.25">
      <c r="AA1540" s="57" t="str">
        <f t="shared" si="23"/>
        <v/>
      </c>
    </row>
    <row r="1541" spans="27:27" ht="12.75" customHeight="1" x14ac:dyDescent="0.25">
      <c r="AA1541" s="57" t="str">
        <f t="shared" si="23"/>
        <v/>
      </c>
    </row>
    <row r="1542" spans="27:27" ht="12.75" customHeight="1" x14ac:dyDescent="0.25">
      <c r="AA1542" s="57" t="str">
        <f t="shared" si="23"/>
        <v/>
      </c>
    </row>
    <row r="1543" spans="27:27" ht="12.75" customHeight="1" x14ac:dyDescent="0.25">
      <c r="AA1543" s="57" t="str">
        <f t="shared" si="23"/>
        <v/>
      </c>
    </row>
    <row r="1544" spans="27:27" ht="12.75" customHeight="1" x14ac:dyDescent="0.25">
      <c r="AA1544" s="57" t="str">
        <f t="shared" si="23"/>
        <v/>
      </c>
    </row>
    <row r="1545" spans="27:27" ht="12.75" customHeight="1" x14ac:dyDescent="0.25">
      <c r="AA1545" s="57" t="str">
        <f t="shared" si="23"/>
        <v/>
      </c>
    </row>
    <row r="1546" spans="27:27" ht="12.75" customHeight="1" x14ac:dyDescent="0.25">
      <c r="AA1546" s="57" t="str">
        <f t="shared" si="23"/>
        <v/>
      </c>
    </row>
    <row r="1547" spans="27:27" ht="12.75" customHeight="1" x14ac:dyDescent="0.25">
      <c r="AA1547" s="57" t="str">
        <f t="shared" si="23"/>
        <v/>
      </c>
    </row>
    <row r="1548" spans="27:27" ht="12.75" customHeight="1" x14ac:dyDescent="0.25">
      <c r="AA1548" s="57" t="str">
        <f t="shared" ref="AA1548:AA1611" si="24">IFERROR(
IF(AND(X1548="Não",Y1548="Sim"),"REP",
IF(AND(X1548="Sim",Y1548="Não"),"Técnico",
IF(AND(X1548="Sim",Y1548="Sim"),"Ambos",""))),
"")</f>
        <v/>
      </c>
    </row>
    <row r="1549" spans="27:27" ht="12.75" customHeight="1" x14ac:dyDescent="0.25">
      <c r="AA1549" s="57" t="str">
        <f t="shared" si="24"/>
        <v/>
      </c>
    </row>
    <row r="1550" spans="27:27" ht="12.75" customHeight="1" x14ac:dyDescent="0.25">
      <c r="AA1550" s="57" t="str">
        <f t="shared" si="24"/>
        <v/>
      </c>
    </row>
    <row r="1551" spans="27:27" ht="12.75" customHeight="1" x14ac:dyDescent="0.25">
      <c r="AA1551" s="57" t="str">
        <f t="shared" si="24"/>
        <v/>
      </c>
    </row>
    <row r="1552" spans="27:27" ht="12.75" customHeight="1" x14ac:dyDescent="0.25">
      <c r="AA1552" s="57" t="str">
        <f t="shared" si="24"/>
        <v/>
      </c>
    </row>
    <row r="1553" spans="27:27" ht="12.75" customHeight="1" x14ac:dyDescent="0.25">
      <c r="AA1553" s="57" t="str">
        <f t="shared" si="24"/>
        <v/>
      </c>
    </row>
    <row r="1554" spans="27:27" ht="12.75" customHeight="1" x14ac:dyDescent="0.25">
      <c r="AA1554" s="57" t="str">
        <f t="shared" si="24"/>
        <v/>
      </c>
    </row>
    <row r="1555" spans="27:27" ht="12.75" customHeight="1" x14ac:dyDescent="0.25">
      <c r="AA1555" s="57" t="str">
        <f t="shared" si="24"/>
        <v/>
      </c>
    </row>
    <row r="1556" spans="27:27" ht="12.75" customHeight="1" x14ac:dyDescent="0.25">
      <c r="AA1556" s="57" t="str">
        <f t="shared" si="24"/>
        <v/>
      </c>
    </row>
    <row r="1557" spans="27:27" ht="12.75" customHeight="1" x14ac:dyDescent="0.25">
      <c r="AA1557" s="57" t="str">
        <f t="shared" si="24"/>
        <v/>
      </c>
    </row>
    <row r="1558" spans="27:27" ht="12.75" customHeight="1" x14ac:dyDescent="0.25">
      <c r="AA1558" s="57" t="str">
        <f t="shared" si="24"/>
        <v/>
      </c>
    </row>
    <row r="1559" spans="27:27" ht="12.75" customHeight="1" x14ac:dyDescent="0.25">
      <c r="AA1559" s="57" t="str">
        <f t="shared" si="24"/>
        <v/>
      </c>
    </row>
    <row r="1560" spans="27:27" ht="12.75" customHeight="1" x14ac:dyDescent="0.25">
      <c r="AA1560" s="57" t="str">
        <f t="shared" si="24"/>
        <v/>
      </c>
    </row>
    <row r="1561" spans="27:27" ht="12.75" customHeight="1" x14ac:dyDescent="0.25">
      <c r="AA1561" s="57" t="str">
        <f t="shared" si="24"/>
        <v/>
      </c>
    </row>
    <row r="1562" spans="27:27" ht="12.75" customHeight="1" x14ac:dyDescent="0.25">
      <c r="AA1562" s="57" t="str">
        <f t="shared" si="24"/>
        <v/>
      </c>
    </row>
    <row r="1563" spans="27:27" ht="12.75" customHeight="1" x14ac:dyDescent="0.25">
      <c r="AA1563" s="57" t="str">
        <f t="shared" si="24"/>
        <v/>
      </c>
    </row>
    <row r="1564" spans="27:27" ht="12.75" customHeight="1" x14ac:dyDescent="0.25">
      <c r="AA1564" s="57" t="str">
        <f t="shared" si="24"/>
        <v/>
      </c>
    </row>
    <row r="1565" spans="27:27" ht="12.75" customHeight="1" x14ac:dyDescent="0.25">
      <c r="AA1565" s="57" t="str">
        <f t="shared" si="24"/>
        <v/>
      </c>
    </row>
    <row r="1566" spans="27:27" ht="12.75" customHeight="1" x14ac:dyDescent="0.25">
      <c r="AA1566" s="57" t="str">
        <f t="shared" si="24"/>
        <v/>
      </c>
    </row>
    <row r="1567" spans="27:27" ht="12.75" customHeight="1" x14ac:dyDescent="0.25">
      <c r="AA1567" s="57" t="str">
        <f t="shared" si="24"/>
        <v/>
      </c>
    </row>
    <row r="1568" spans="27:27" ht="12.75" customHeight="1" x14ac:dyDescent="0.25">
      <c r="AA1568" s="57" t="str">
        <f t="shared" si="24"/>
        <v/>
      </c>
    </row>
    <row r="1569" spans="27:27" ht="12.75" customHeight="1" x14ac:dyDescent="0.25">
      <c r="AA1569" s="57" t="str">
        <f t="shared" si="24"/>
        <v/>
      </c>
    </row>
    <row r="1570" spans="27:27" ht="12.75" customHeight="1" x14ac:dyDescent="0.25">
      <c r="AA1570" s="57" t="str">
        <f t="shared" si="24"/>
        <v/>
      </c>
    </row>
    <row r="1571" spans="27:27" ht="12.75" customHeight="1" x14ac:dyDescent="0.25">
      <c r="AA1571" s="57" t="str">
        <f t="shared" si="24"/>
        <v/>
      </c>
    </row>
    <row r="1572" spans="27:27" ht="12.75" customHeight="1" x14ac:dyDescent="0.25">
      <c r="AA1572" s="57" t="str">
        <f t="shared" si="24"/>
        <v/>
      </c>
    </row>
    <row r="1573" spans="27:27" ht="12.75" customHeight="1" x14ac:dyDescent="0.25">
      <c r="AA1573" s="57" t="str">
        <f t="shared" si="24"/>
        <v/>
      </c>
    </row>
    <row r="1574" spans="27:27" ht="12.75" customHeight="1" x14ac:dyDescent="0.25">
      <c r="AA1574" s="57" t="str">
        <f t="shared" si="24"/>
        <v/>
      </c>
    </row>
    <row r="1575" spans="27:27" ht="12.75" customHeight="1" x14ac:dyDescent="0.25">
      <c r="AA1575" s="57" t="str">
        <f t="shared" si="24"/>
        <v/>
      </c>
    </row>
    <row r="1576" spans="27:27" ht="12.75" customHeight="1" x14ac:dyDescent="0.25">
      <c r="AA1576" s="57" t="str">
        <f t="shared" si="24"/>
        <v/>
      </c>
    </row>
    <row r="1577" spans="27:27" ht="12.75" customHeight="1" x14ac:dyDescent="0.25">
      <c r="AA1577" s="57" t="str">
        <f t="shared" si="24"/>
        <v/>
      </c>
    </row>
    <row r="1578" spans="27:27" ht="12.75" customHeight="1" x14ac:dyDescent="0.25">
      <c r="AA1578" s="57" t="str">
        <f t="shared" si="24"/>
        <v/>
      </c>
    </row>
    <row r="1579" spans="27:27" ht="12.75" customHeight="1" x14ac:dyDescent="0.25">
      <c r="AA1579" s="57" t="str">
        <f t="shared" si="24"/>
        <v/>
      </c>
    </row>
    <row r="1580" spans="27:27" ht="12.75" customHeight="1" x14ac:dyDescent="0.25">
      <c r="AA1580" s="57" t="str">
        <f t="shared" si="24"/>
        <v/>
      </c>
    </row>
    <row r="1581" spans="27:27" ht="12.75" customHeight="1" x14ac:dyDescent="0.25">
      <c r="AA1581" s="57" t="str">
        <f t="shared" si="24"/>
        <v/>
      </c>
    </row>
    <row r="1582" spans="27:27" ht="12.75" customHeight="1" x14ac:dyDescent="0.25">
      <c r="AA1582" s="57" t="str">
        <f t="shared" si="24"/>
        <v/>
      </c>
    </row>
    <row r="1583" spans="27:27" ht="12.75" customHeight="1" x14ac:dyDescent="0.25">
      <c r="AA1583" s="57" t="str">
        <f t="shared" si="24"/>
        <v/>
      </c>
    </row>
    <row r="1584" spans="27:27" ht="12.75" customHeight="1" x14ac:dyDescent="0.25">
      <c r="AA1584" s="57" t="str">
        <f t="shared" si="24"/>
        <v/>
      </c>
    </row>
    <row r="1585" spans="27:27" ht="12.75" customHeight="1" x14ac:dyDescent="0.25">
      <c r="AA1585" s="57" t="str">
        <f t="shared" si="24"/>
        <v/>
      </c>
    </row>
    <row r="1586" spans="27:27" ht="12.75" customHeight="1" x14ac:dyDescent="0.25">
      <c r="AA1586" s="57" t="str">
        <f t="shared" si="24"/>
        <v/>
      </c>
    </row>
    <row r="1587" spans="27:27" ht="12.75" customHeight="1" x14ac:dyDescent="0.25">
      <c r="AA1587" s="57" t="str">
        <f t="shared" si="24"/>
        <v/>
      </c>
    </row>
    <row r="1588" spans="27:27" ht="12.75" customHeight="1" x14ac:dyDescent="0.25">
      <c r="AA1588" s="57" t="str">
        <f t="shared" si="24"/>
        <v/>
      </c>
    </row>
    <row r="1589" spans="27:27" ht="12.75" customHeight="1" x14ac:dyDescent="0.25">
      <c r="AA1589" s="57" t="str">
        <f t="shared" si="24"/>
        <v/>
      </c>
    </row>
    <row r="1590" spans="27:27" ht="12.75" customHeight="1" x14ac:dyDescent="0.25">
      <c r="AA1590" s="57" t="str">
        <f t="shared" si="24"/>
        <v/>
      </c>
    </row>
    <row r="1591" spans="27:27" ht="12.75" customHeight="1" x14ac:dyDescent="0.25">
      <c r="AA1591" s="57" t="str">
        <f t="shared" si="24"/>
        <v/>
      </c>
    </row>
    <row r="1592" spans="27:27" ht="12.75" customHeight="1" x14ac:dyDescent="0.25">
      <c r="AA1592" s="57" t="str">
        <f t="shared" si="24"/>
        <v/>
      </c>
    </row>
    <row r="1593" spans="27:27" ht="12.75" customHeight="1" x14ac:dyDescent="0.25">
      <c r="AA1593" s="57" t="str">
        <f t="shared" si="24"/>
        <v/>
      </c>
    </row>
    <row r="1594" spans="27:27" ht="12.75" customHeight="1" x14ac:dyDescent="0.25">
      <c r="AA1594" s="57" t="str">
        <f t="shared" si="24"/>
        <v/>
      </c>
    </row>
    <row r="1595" spans="27:27" ht="12.75" customHeight="1" x14ac:dyDescent="0.25">
      <c r="AA1595" s="57" t="str">
        <f t="shared" si="24"/>
        <v/>
      </c>
    </row>
    <row r="1596" spans="27:27" ht="12.75" customHeight="1" x14ac:dyDescent="0.25">
      <c r="AA1596" s="57" t="str">
        <f t="shared" si="24"/>
        <v/>
      </c>
    </row>
    <row r="1597" spans="27:27" ht="12.75" customHeight="1" x14ac:dyDescent="0.25">
      <c r="AA1597" s="57" t="str">
        <f t="shared" si="24"/>
        <v/>
      </c>
    </row>
    <row r="1598" spans="27:27" ht="12.75" customHeight="1" x14ac:dyDescent="0.25">
      <c r="AA1598" s="57" t="str">
        <f t="shared" si="24"/>
        <v/>
      </c>
    </row>
    <row r="1599" spans="27:27" ht="12.75" customHeight="1" x14ac:dyDescent="0.25">
      <c r="AA1599" s="57" t="str">
        <f t="shared" si="24"/>
        <v/>
      </c>
    </row>
    <row r="1600" spans="27:27" ht="12.75" customHeight="1" x14ac:dyDescent="0.25">
      <c r="AA1600" s="57" t="str">
        <f t="shared" si="24"/>
        <v/>
      </c>
    </row>
    <row r="1601" spans="27:27" ht="12.75" customHeight="1" x14ac:dyDescent="0.25">
      <c r="AA1601" s="57" t="str">
        <f t="shared" si="24"/>
        <v/>
      </c>
    </row>
    <row r="1602" spans="27:27" ht="12.75" customHeight="1" x14ac:dyDescent="0.25">
      <c r="AA1602" s="57" t="str">
        <f t="shared" si="24"/>
        <v/>
      </c>
    </row>
    <row r="1603" spans="27:27" ht="12.75" customHeight="1" x14ac:dyDescent="0.25">
      <c r="AA1603" s="57" t="str">
        <f t="shared" si="24"/>
        <v/>
      </c>
    </row>
    <row r="1604" spans="27:27" ht="12.75" customHeight="1" x14ac:dyDescent="0.25">
      <c r="AA1604" s="57" t="str">
        <f t="shared" si="24"/>
        <v/>
      </c>
    </row>
    <row r="1605" spans="27:27" ht="12.75" customHeight="1" x14ac:dyDescent="0.25">
      <c r="AA1605" s="57" t="str">
        <f t="shared" si="24"/>
        <v/>
      </c>
    </row>
    <row r="1606" spans="27:27" ht="12.75" customHeight="1" x14ac:dyDescent="0.25">
      <c r="AA1606" s="57" t="str">
        <f t="shared" si="24"/>
        <v/>
      </c>
    </row>
    <row r="1607" spans="27:27" ht="12.75" customHeight="1" x14ac:dyDescent="0.25">
      <c r="AA1607" s="57" t="str">
        <f t="shared" si="24"/>
        <v/>
      </c>
    </row>
    <row r="1608" spans="27:27" ht="12.75" customHeight="1" x14ac:dyDescent="0.25">
      <c r="AA1608" s="57" t="str">
        <f t="shared" si="24"/>
        <v/>
      </c>
    </row>
    <row r="1609" spans="27:27" ht="12.75" customHeight="1" x14ac:dyDescent="0.25">
      <c r="AA1609" s="57" t="str">
        <f t="shared" si="24"/>
        <v/>
      </c>
    </row>
    <row r="1610" spans="27:27" ht="12.75" customHeight="1" x14ac:dyDescent="0.25">
      <c r="AA1610" s="57" t="str">
        <f t="shared" si="24"/>
        <v/>
      </c>
    </row>
    <row r="1611" spans="27:27" ht="12.75" customHeight="1" x14ac:dyDescent="0.25">
      <c r="AA1611" s="57" t="str">
        <f t="shared" si="24"/>
        <v/>
      </c>
    </row>
    <row r="1612" spans="27:27" ht="12.75" customHeight="1" x14ac:dyDescent="0.25">
      <c r="AA1612" s="57" t="str">
        <f t="shared" ref="AA1612:AA1675" si="25">IFERROR(
IF(AND(X1612="Não",Y1612="Sim"),"REP",
IF(AND(X1612="Sim",Y1612="Não"),"Técnico",
IF(AND(X1612="Sim",Y1612="Sim"),"Ambos",""))),
"")</f>
        <v/>
      </c>
    </row>
    <row r="1613" spans="27:27" ht="12.75" customHeight="1" x14ac:dyDescent="0.25">
      <c r="AA1613" s="57" t="str">
        <f t="shared" si="25"/>
        <v/>
      </c>
    </row>
    <row r="1614" spans="27:27" ht="12.75" customHeight="1" x14ac:dyDescent="0.25">
      <c r="AA1614" s="57" t="str">
        <f t="shared" si="25"/>
        <v/>
      </c>
    </row>
    <row r="1615" spans="27:27" ht="12.75" customHeight="1" x14ac:dyDescent="0.25">
      <c r="AA1615" s="57" t="str">
        <f t="shared" si="25"/>
        <v/>
      </c>
    </row>
    <row r="1616" spans="27:27" ht="12.75" customHeight="1" x14ac:dyDescent="0.25">
      <c r="AA1616" s="57" t="str">
        <f t="shared" si="25"/>
        <v/>
      </c>
    </row>
    <row r="1617" spans="27:27" ht="12.75" customHeight="1" x14ac:dyDescent="0.25">
      <c r="AA1617" s="57" t="str">
        <f t="shared" si="25"/>
        <v/>
      </c>
    </row>
    <row r="1618" spans="27:27" ht="12.75" customHeight="1" x14ac:dyDescent="0.25">
      <c r="AA1618" s="57" t="str">
        <f t="shared" si="25"/>
        <v/>
      </c>
    </row>
    <row r="1619" spans="27:27" ht="12.75" customHeight="1" x14ac:dyDescent="0.25">
      <c r="AA1619" s="57" t="str">
        <f t="shared" si="25"/>
        <v/>
      </c>
    </row>
    <row r="1620" spans="27:27" ht="12.75" customHeight="1" x14ac:dyDescent="0.25">
      <c r="AA1620" s="57" t="str">
        <f t="shared" si="25"/>
        <v/>
      </c>
    </row>
    <row r="1621" spans="27:27" ht="12.75" customHeight="1" x14ac:dyDescent="0.25">
      <c r="AA1621" s="57" t="str">
        <f t="shared" si="25"/>
        <v/>
      </c>
    </row>
    <row r="1622" spans="27:27" ht="12.75" customHeight="1" x14ac:dyDescent="0.25">
      <c r="AA1622" s="57" t="str">
        <f t="shared" si="25"/>
        <v/>
      </c>
    </row>
    <row r="1623" spans="27:27" ht="12.75" customHeight="1" x14ac:dyDescent="0.25">
      <c r="AA1623" s="57" t="str">
        <f t="shared" si="25"/>
        <v/>
      </c>
    </row>
    <row r="1624" spans="27:27" ht="12.75" customHeight="1" x14ac:dyDescent="0.25">
      <c r="AA1624" s="57" t="str">
        <f t="shared" si="25"/>
        <v/>
      </c>
    </row>
    <row r="1625" spans="27:27" ht="12.75" customHeight="1" x14ac:dyDescent="0.25">
      <c r="AA1625" s="57" t="str">
        <f t="shared" si="25"/>
        <v/>
      </c>
    </row>
    <row r="1626" spans="27:27" ht="12.75" customHeight="1" x14ac:dyDescent="0.25">
      <c r="AA1626" s="57" t="str">
        <f t="shared" si="25"/>
        <v/>
      </c>
    </row>
    <row r="1627" spans="27:27" ht="12.75" customHeight="1" x14ac:dyDescent="0.25">
      <c r="AA1627" s="57" t="str">
        <f t="shared" si="25"/>
        <v/>
      </c>
    </row>
    <row r="1628" spans="27:27" ht="12.75" customHeight="1" x14ac:dyDescent="0.25">
      <c r="AA1628" s="57" t="str">
        <f t="shared" si="25"/>
        <v/>
      </c>
    </row>
    <row r="1629" spans="27:27" ht="12.75" customHeight="1" x14ac:dyDescent="0.25">
      <c r="AA1629" s="57" t="str">
        <f t="shared" si="25"/>
        <v/>
      </c>
    </row>
    <row r="1630" spans="27:27" ht="12.75" customHeight="1" x14ac:dyDescent="0.25">
      <c r="AA1630" s="57" t="str">
        <f t="shared" si="25"/>
        <v/>
      </c>
    </row>
    <row r="1631" spans="27:27" ht="12.75" customHeight="1" x14ac:dyDescent="0.25">
      <c r="AA1631" s="57" t="str">
        <f t="shared" si="25"/>
        <v/>
      </c>
    </row>
    <row r="1632" spans="27:27" ht="12.75" customHeight="1" x14ac:dyDescent="0.25">
      <c r="AA1632" s="57" t="str">
        <f t="shared" si="25"/>
        <v/>
      </c>
    </row>
    <row r="1633" spans="27:27" ht="12.75" customHeight="1" x14ac:dyDescent="0.25">
      <c r="AA1633" s="57" t="str">
        <f t="shared" si="25"/>
        <v/>
      </c>
    </row>
    <row r="1634" spans="27:27" ht="12.75" customHeight="1" x14ac:dyDescent="0.25">
      <c r="AA1634" s="57" t="str">
        <f t="shared" si="25"/>
        <v/>
      </c>
    </row>
    <row r="1635" spans="27:27" ht="12.75" customHeight="1" x14ac:dyDescent="0.25">
      <c r="AA1635" s="57" t="str">
        <f t="shared" si="25"/>
        <v/>
      </c>
    </row>
    <row r="1636" spans="27:27" ht="12.75" customHeight="1" x14ac:dyDescent="0.25">
      <c r="AA1636" s="57" t="str">
        <f t="shared" si="25"/>
        <v/>
      </c>
    </row>
    <row r="1637" spans="27:27" ht="12.75" customHeight="1" x14ac:dyDescent="0.25">
      <c r="AA1637" s="57" t="str">
        <f t="shared" si="25"/>
        <v/>
      </c>
    </row>
    <row r="1638" spans="27:27" ht="12.75" customHeight="1" x14ac:dyDescent="0.25">
      <c r="AA1638" s="57" t="str">
        <f t="shared" si="25"/>
        <v/>
      </c>
    </row>
    <row r="1639" spans="27:27" ht="12.75" customHeight="1" x14ac:dyDescent="0.25">
      <c r="AA1639" s="57" t="str">
        <f t="shared" si="25"/>
        <v/>
      </c>
    </row>
    <row r="1640" spans="27:27" ht="12.75" customHeight="1" x14ac:dyDescent="0.25">
      <c r="AA1640" s="57" t="str">
        <f t="shared" si="25"/>
        <v/>
      </c>
    </row>
    <row r="1641" spans="27:27" ht="12.75" customHeight="1" x14ac:dyDescent="0.25">
      <c r="AA1641" s="57" t="str">
        <f t="shared" si="25"/>
        <v/>
      </c>
    </row>
    <row r="1642" spans="27:27" ht="12.75" customHeight="1" x14ac:dyDescent="0.25">
      <c r="AA1642" s="57" t="str">
        <f t="shared" si="25"/>
        <v/>
      </c>
    </row>
    <row r="1643" spans="27:27" ht="12.75" customHeight="1" x14ac:dyDescent="0.25">
      <c r="AA1643" s="57" t="str">
        <f t="shared" si="25"/>
        <v/>
      </c>
    </row>
    <row r="1644" spans="27:27" ht="12.75" customHeight="1" x14ac:dyDescent="0.25">
      <c r="AA1644" s="57" t="str">
        <f t="shared" si="25"/>
        <v/>
      </c>
    </row>
    <row r="1645" spans="27:27" ht="12.75" customHeight="1" x14ac:dyDescent="0.25">
      <c r="AA1645" s="57" t="str">
        <f t="shared" si="25"/>
        <v/>
      </c>
    </row>
    <row r="1646" spans="27:27" ht="12.75" customHeight="1" x14ac:dyDescent="0.25">
      <c r="AA1646" s="57" t="str">
        <f t="shared" si="25"/>
        <v/>
      </c>
    </row>
    <row r="1647" spans="27:27" ht="12.75" customHeight="1" x14ac:dyDescent="0.25">
      <c r="AA1647" s="57" t="str">
        <f t="shared" si="25"/>
        <v/>
      </c>
    </row>
    <row r="1648" spans="27:27" ht="12.75" customHeight="1" x14ac:dyDescent="0.25">
      <c r="AA1648" s="57" t="str">
        <f t="shared" si="25"/>
        <v/>
      </c>
    </row>
    <row r="1649" spans="27:27" ht="12.75" customHeight="1" x14ac:dyDescent="0.25">
      <c r="AA1649" s="57" t="str">
        <f t="shared" si="25"/>
        <v/>
      </c>
    </row>
    <row r="1650" spans="27:27" ht="12.75" customHeight="1" x14ac:dyDescent="0.25">
      <c r="AA1650" s="57" t="str">
        <f t="shared" si="25"/>
        <v/>
      </c>
    </row>
    <row r="1651" spans="27:27" ht="12.75" customHeight="1" x14ac:dyDescent="0.25">
      <c r="AA1651" s="57" t="str">
        <f t="shared" si="25"/>
        <v/>
      </c>
    </row>
    <row r="1652" spans="27:27" ht="12.75" customHeight="1" x14ac:dyDescent="0.25">
      <c r="AA1652" s="57" t="str">
        <f t="shared" si="25"/>
        <v/>
      </c>
    </row>
    <row r="1653" spans="27:27" ht="12.75" customHeight="1" x14ac:dyDescent="0.25">
      <c r="AA1653" s="57" t="str">
        <f t="shared" si="25"/>
        <v/>
      </c>
    </row>
    <row r="1654" spans="27:27" ht="12.75" customHeight="1" x14ac:dyDescent="0.25">
      <c r="AA1654" s="57" t="str">
        <f t="shared" si="25"/>
        <v/>
      </c>
    </row>
    <row r="1655" spans="27:27" ht="12.75" customHeight="1" x14ac:dyDescent="0.25">
      <c r="AA1655" s="57" t="str">
        <f t="shared" si="25"/>
        <v/>
      </c>
    </row>
    <row r="1656" spans="27:27" ht="12.75" customHeight="1" x14ac:dyDescent="0.25">
      <c r="AA1656" s="57" t="str">
        <f t="shared" si="25"/>
        <v/>
      </c>
    </row>
    <row r="1657" spans="27:27" ht="12.75" customHeight="1" x14ac:dyDescent="0.25">
      <c r="AA1657" s="57" t="str">
        <f t="shared" si="25"/>
        <v/>
      </c>
    </row>
    <row r="1658" spans="27:27" ht="12.75" customHeight="1" x14ac:dyDescent="0.25">
      <c r="AA1658" s="57" t="str">
        <f t="shared" si="25"/>
        <v/>
      </c>
    </row>
    <row r="1659" spans="27:27" ht="12.75" customHeight="1" x14ac:dyDescent="0.25">
      <c r="AA1659" s="57" t="str">
        <f t="shared" si="25"/>
        <v/>
      </c>
    </row>
    <row r="1660" spans="27:27" ht="12.75" customHeight="1" x14ac:dyDescent="0.25">
      <c r="AA1660" s="57" t="str">
        <f t="shared" si="25"/>
        <v/>
      </c>
    </row>
    <row r="1661" spans="27:27" ht="12.75" customHeight="1" x14ac:dyDescent="0.25">
      <c r="AA1661" s="57" t="str">
        <f t="shared" si="25"/>
        <v/>
      </c>
    </row>
    <row r="1662" spans="27:27" ht="12.75" customHeight="1" x14ac:dyDescent="0.25">
      <c r="AA1662" s="57" t="str">
        <f t="shared" si="25"/>
        <v/>
      </c>
    </row>
    <row r="1663" spans="27:27" ht="12.75" customHeight="1" x14ac:dyDescent="0.25">
      <c r="AA1663" s="57" t="str">
        <f t="shared" si="25"/>
        <v/>
      </c>
    </row>
    <row r="1664" spans="27:27" ht="12.75" customHeight="1" x14ac:dyDescent="0.25">
      <c r="AA1664" s="57" t="str">
        <f t="shared" si="25"/>
        <v/>
      </c>
    </row>
    <row r="1665" spans="27:27" ht="12.75" customHeight="1" x14ac:dyDescent="0.25">
      <c r="AA1665" s="57" t="str">
        <f t="shared" si="25"/>
        <v/>
      </c>
    </row>
    <row r="1666" spans="27:27" ht="12.75" customHeight="1" x14ac:dyDescent="0.25">
      <c r="AA1666" s="57" t="str">
        <f t="shared" si="25"/>
        <v/>
      </c>
    </row>
    <row r="1667" spans="27:27" ht="12.75" customHeight="1" x14ac:dyDescent="0.25">
      <c r="AA1667" s="57" t="str">
        <f t="shared" si="25"/>
        <v/>
      </c>
    </row>
    <row r="1668" spans="27:27" ht="12.75" customHeight="1" x14ac:dyDescent="0.25">
      <c r="AA1668" s="57" t="str">
        <f t="shared" si="25"/>
        <v/>
      </c>
    </row>
    <row r="1669" spans="27:27" ht="12.75" customHeight="1" x14ac:dyDescent="0.25">
      <c r="AA1669" s="57" t="str">
        <f t="shared" si="25"/>
        <v/>
      </c>
    </row>
    <row r="1670" spans="27:27" ht="12.75" customHeight="1" x14ac:dyDescent="0.25">
      <c r="AA1670" s="57" t="str">
        <f t="shared" si="25"/>
        <v/>
      </c>
    </row>
    <row r="1671" spans="27:27" ht="12.75" customHeight="1" x14ac:dyDescent="0.25">
      <c r="AA1671" s="57" t="str">
        <f t="shared" si="25"/>
        <v/>
      </c>
    </row>
    <row r="1672" spans="27:27" ht="12.75" customHeight="1" x14ac:dyDescent="0.25">
      <c r="AA1672" s="57" t="str">
        <f t="shared" si="25"/>
        <v/>
      </c>
    </row>
    <row r="1673" spans="27:27" ht="12.75" customHeight="1" x14ac:dyDescent="0.25">
      <c r="AA1673" s="57" t="str">
        <f t="shared" si="25"/>
        <v/>
      </c>
    </row>
    <row r="1674" spans="27:27" ht="12.75" customHeight="1" x14ac:dyDescent="0.25">
      <c r="AA1674" s="57" t="str">
        <f t="shared" si="25"/>
        <v/>
      </c>
    </row>
    <row r="1675" spans="27:27" ht="12.75" customHeight="1" x14ac:dyDescent="0.25">
      <c r="AA1675" s="57" t="str">
        <f t="shared" si="25"/>
        <v/>
      </c>
    </row>
    <row r="1676" spans="27:27" ht="12.75" customHeight="1" x14ac:dyDescent="0.25">
      <c r="AA1676" s="57" t="str">
        <f t="shared" ref="AA1676:AA1739" si="26">IFERROR(
IF(AND(X1676="Não",Y1676="Sim"),"REP",
IF(AND(X1676="Sim",Y1676="Não"),"Técnico",
IF(AND(X1676="Sim",Y1676="Sim"),"Ambos",""))),
"")</f>
        <v/>
      </c>
    </row>
    <row r="1677" spans="27:27" ht="12.75" customHeight="1" x14ac:dyDescent="0.25">
      <c r="AA1677" s="57" t="str">
        <f t="shared" si="26"/>
        <v/>
      </c>
    </row>
    <row r="1678" spans="27:27" ht="12.75" customHeight="1" x14ac:dyDescent="0.25">
      <c r="AA1678" s="57" t="str">
        <f t="shared" si="26"/>
        <v/>
      </c>
    </row>
    <row r="1679" spans="27:27" ht="12.75" customHeight="1" x14ac:dyDescent="0.25">
      <c r="AA1679" s="57" t="str">
        <f t="shared" si="26"/>
        <v/>
      </c>
    </row>
    <row r="1680" spans="27:27" ht="12.75" customHeight="1" x14ac:dyDescent="0.25">
      <c r="AA1680" s="57" t="str">
        <f t="shared" si="26"/>
        <v/>
      </c>
    </row>
    <row r="1681" spans="27:27" ht="12.75" customHeight="1" x14ac:dyDescent="0.25">
      <c r="AA1681" s="57" t="str">
        <f t="shared" si="26"/>
        <v/>
      </c>
    </row>
    <row r="1682" spans="27:27" ht="12.75" customHeight="1" x14ac:dyDescent="0.25">
      <c r="AA1682" s="57" t="str">
        <f t="shared" si="26"/>
        <v/>
      </c>
    </row>
    <row r="1683" spans="27:27" ht="12.75" customHeight="1" x14ac:dyDescent="0.25">
      <c r="AA1683" s="57" t="str">
        <f t="shared" si="26"/>
        <v/>
      </c>
    </row>
    <row r="1684" spans="27:27" ht="12.75" customHeight="1" x14ac:dyDescent="0.25">
      <c r="AA1684" s="57" t="str">
        <f t="shared" si="26"/>
        <v/>
      </c>
    </row>
    <row r="1685" spans="27:27" ht="12.75" customHeight="1" x14ac:dyDescent="0.25">
      <c r="AA1685" s="57" t="str">
        <f t="shared" si="26"/>
        <v/>
      </c>
    </row>
    <row r="1686" spans="27:27" ht="12.75" customHeight="1" x14ac:dyDescent="0.25">
      <c r="AA1686" s="57" t="str">
        <f t="shared" si="26"/>
        <v/>
      </c>
    </row>
    <row r="1687" spans="27:27" ht="12.75" customHeight="1" x14ac:dyDescent="0.25">
      <c r="AA1687" s="57" t="str">
        <f t="shared" si="26"/>
        <v/>
      </c>
    </row>
    <row r="1688" spans="27:27" ht="12.75" customHeight="1" x14ac:dyDescent="0.25">
      <c r="AA1688" s="57" t="str">
        <f t="shared" si="26"/>
        <v/>
      </c>
    </row>
    <row r="1689" spans="27:27" ht="12.75" customHeight="1" x14ac:dyDescent="0.25">
      <c r="AA1689" s="57" t="str">
        <f t="shared" si="26"/>
        <v/>
      </c>
    </row>
    <row r="1690" spans="27:27" ht="12.75" customHeight="1" x14ac:dyDescent="0.25">
      <c r="AA1690" s="57" t="str">
        <f t="shared" si="26"/>
        <v/>
      </c>
    </row>
    <row r="1691" spans="27:27" ht="12.75" customHeight="1" x14ac:dyDescent="0.25">
      <c r="AA1691" s="57" t="str">
        <f t="shared" si="26"/>
        <v/>
      </c>
    </row>
    <row r="1692" spans="27:27" ht="12.75" customHeight="1" x14ac:dyDescent="0.25">
      <c r="AA1692" s="57" t="str">
        <f t="shared" si="26"/>
        <v/>
      </c>
    </row>
    <row r="1693" spans="27:27" ht="12.75" customHeight="1" x14ac:dyDescent="0.25">
      <c r="AA1693" s="57" t="str">
        <f t="shared" si="26"/>
        <v/>
      </c>
    </row>
    <row r="1694" spans="27:27" ht="12.75" customHeight="1" x14ac:dyDescent="0.25">
      <c r="AA1694" s="57" t="str">
        <f t="shared" si="26"/>
        <v/>
      </c>
    </row>
    <row r="1695" spans="27:27" ht="12.75" customHeight="1" x14ac:dyDescent="0.25">
      <c r="AA1695" s="57" t="str">
        <f t="shared" si="26"/>
        <v/>
      </c>
    </row>
    <row r="1696" spans="27:27" ht="12.75" customHeight="1" x14ac:dyDescent="0.25">
      <c r="AA1696" s="57" t="str">
        <f t="shared" si="26"/>
        <v/>
      </c>
    </row>
    <row r="1697" spans="27:27" ht="12.75" customHeight="1" x14ac:dyDescent="0.25">
      <c r="AA1697" s="57" t="str">
        <f t="shared" si="26"/>
        <v/>
      </c>
    </row>
    <row r="1698" spans="27:27" ht="12.75" customHeight="1" x14ac:dyDescent="0.25">
      <c r="AA1698" s="57" t="str">
        <f t="shared" si="26"/>
        <v/>
      </c>
    </row>
    <row r="1699" spans="27:27" ht="12.75" customHeight="1" x14ac:dyDescent="0.25">
      <c r="AA1699" s="57" t="str">
        <f t="shared" si="26"/>
        <v/>
      </c>
    </row>
    <row r="1700" spans="27:27" ht="12.75" customHeight="1" x14ac:dyDescent="0.25">
      <c r="AA1700" s="57" t="str">
        <f t="shared" si="26"/>
        <v/>
      </c>
    </row>
    <row r="1701" spans="27:27" ht="12.75" customHeight="1" x14ac:dyDescent="0.25">
      <c r="AA1701" s="57" t="str">
        <f t="shared" si="26"/>
        <v/>
      </c>
    </row>
    <row r="1702" spans="27:27" ht="12.75" customHeight="1" x14ac:dyDescent="0.25">
      <c r="AA1702" s="57" t="str">
        <f t="shared" si="26"/>
        <v/>
      </c>
    </row>
    <row r="1703" spans="27:27" ht="12.75" customHeight="1" x14ac:dyDescent="0.25">
      <c r="AA1703" s="57" t="str">
        <f t="shared" si="26"/>
        <v/>
      </c>
    </row>
    <row r="1704" spans="27:27" ht="12.75" customHeight="1" x14ac:dyDescent="0.25">
      <c r="AA1704" s="57" t="str">
        <f t="shared" si="26"/>
        <v/>
      </c>
    </row>
    <row r="1705" spans="27:27" ht="12.75" customHeight="1" x14ac:dyDescent="0.25">
      <c r="AA1705" s="57" t="str">
        <f t="shared" si="26"/>
        <v/>
      </c>
    </row>
    <row r="1706" spans="27:27" ht="12.75" customHeight="1" x14ac:dyDescent="0.25">
      <c r="AA1706" s="57" t="str">
        <f t="shared" si="26"/>
        <v/>
      </c>
    </row>
    <row r="1707" spans="27:27" ht="12.75" customHeight="1" x14ac:dyDescent="0.25">
      <c r="AA1707" s="57" t="str">
        <f t="shared" si="26"/>
        <v/>
      </c>
    </row>
    <row r="1708" spans="27:27" ht="12.75" customHeight="1" x14ac:dyDescent="0.25">
      <c r="AA1708" s="57" t="str">
        <f t="shared" si="26"/>
        <v/>
      </c>
    </row>
    <row r="1709" spans="27:27" ht="12.75" customHeight="1" x14ac:dyDescent="0.25">
      <c r="AA1709" s="57" t="str">
        <f t="shared" si="26"/>
        <v/>
      </c>
    </row>
    <row r="1710" spans="27:27" ht="12.75" customHeight="1" x14ac:dyDescent="0.25">
      <c r="AA1710" s="57" t="str">
        <f t="shared" si="26"/>
        <v/>
      </c>
    </row>
    <row r="1711" spans="27:27" ht="12.75" customHeight="1" x14ac:dyDescent="0.25">
      <c r="AA1711" s="57" t="str">
        <f t="shared" si="26"/>
        <v/>
      </c>
    </row>
    <row r="1712" spans="27:27" ht="12.75" customHeight="1" x14ac:dyDescent="0.25">
      <c r="AA1712" s="57" t="str">
        <f t="shared" si="26"/>
        <v/>
      </c>
    </row>
    <row r="1713" spans="27:27" ht="12.75" customHeight="1" x14ac:dyDescent="0.25">
      <c r="AA1713" s="57" t="str">
        <f t="shared" si="26"/>
        <v/>
      </c>
    </row>
    <row r="1714" spans="27:27" ht="12.75" customHeight="1" x14ac:dyDescent="0.25">
      <c r="AA1714" s="57" t="str">
        <f t="shared" si="26"/>
        <v/>
      </c>
    </row>
    <row r="1715" spans="27:27" ht="12.75" customHeight="1" x14ac:dyDescent="0.25">
      <c r="AA1715" s="57" t="str">
        <f t="shared" si="26"/>
        <v/>
      </c>
    </row>
    <row r="1716" spans="27:27" ht="12.75" customHeight="1" x14ac:dyDescent="0.25">
      <c r="AA1716" s="57" t="str">
        <f t="shared" si="26"/>
        <v/>
      </c>
    </row>
    <row r="1717" spans="27:27" ht="12.75" customHeight="1" x14ac:dyDescent="0.25">
      <c r="AA1717" s="57" t="str">
        <f t="shared" si="26"/>
        <v/>
      </c>
    </row>
    <row r="1718" spans="27:27" ht="12.75" customHeight="1" x14ac:dyDescent="0.25">
      <c r="AA1718" s="57" t="str">
        <f t="shared" si="26"/>
        <v/>
      </c>
    </row>
    <row r="1719" spans="27:27" ht="12.75" customHeight="1" x14ac:dyDescent="0.25">
      <c r="AA1719" s="57" t="str">
        <f t="shared" si="26"/>
        <v/>
      </c>
    </row>
    <row r="1720" spans="27:27" ht="12.75" customHeight="1" x14ac:dyDescent="0.25">
      <c r="AA1720" s="57" t="str">
        <f t="shared" si="26"/>
        <v/>
      </c>
    </row>
    <row r="1721" spans="27:27" ht="12.75" customHeight="1" x14ac:dyDescent="0.25">
      <c r="AA1721" s="57" t="str">
        <f t="shared" si="26"/>
        <v/>
      </c>
    </row>
    <row r="1722" spans="27:27" ht="12.75" customHeight="1" x14ac:dyDescent="0.25">
      <c r="AA1722" s="57" t="str">
        <f t="shared" si="26"/>
        <v/>
      </c>
    </row>
    <row r="1723" spans="27:27" ht="12.75" customHeight="1" x14ac:dyDescent="0.25">
      <c r="AA1723" s="57" t="str">
        <f t="shared" si="26"/>
        <v/>
      </c>
    </row>
    <row r="1724" spans="27:27" ht="12.75" customHeight="1" x14ac:dyDescent="0.25">
      <c r="AA1724" s="57" t="str">
        <f t="shared" si="26"/>
        <v/>
      </c>
    </row>
    <row r="1725" spans="27:27" ht="12.75" customHeight="1" x14ac:dyDescent="0.25">
      <c r="AA1725" s="57" t="str">
        <f t="shared" si="26"/>
        <v/>
      </c>
    </row>
    <row r="1726" spans="27:27" ht="12.75" customHeight="1" x14ac:dyDescent="0.25">
      <c r="AA1726" s="57" t="str">
        <f t="shared" si="26"/>
        <v/>
      </c>
    </row>
    <row r="1727" spans="27:27" ht="12.75" customHeight="1" x14ac:dyDescent="0.25">
      <c r="AA1727" s="57" t="str">
        <f t="shared" si="26"/>
        <v/>
      </c>
    </row>
    <row r="1728" spans="27:27" ht="12.75" customHeight="1" x14ac:dyDescent="0.25">
      <c r="AA1728" s="57" t="str">
        <f t="shared" si="26"/>
        <v/>
      </c>
    </row>
    <row r="1729" spans="27:27" ht="12.75" customHeight="1" x14ac:dyDescent="0.25">
      <c r="AA1729" s="57" t="str">
        <f t="shared" si="26"/>
        <v/>
      </c>
    </row>
    <row r="1730" spans="27:27" ht="12.75" customHeight="1" x14ac:dyDescent="0.25">
      <c r="AA1730" s="57" t="str">
        <f t="shared" si="26"/>
        <v/>
      </c>
    </row>
    <row r="1731" spans="27:27" ht="12.75" customHeight="1" x14ac:dyDescent="0.25">
      <c r="AA1731" s="57" t="str">
        <f t="shared" si="26"/>
        <v/>
      </c>
    </row>
    <row r="1732" spans="27:27" ht="12.75" customHeight="1" x14ac:dyDescent="0.25">
      <c r="AA1732" s="57" t="str">
        <f t="shared" si="26"/>
        <v/>
      </c>
    </row>
    <row r="1733" spans="27:27" ht="12.75" customHeight="1" x14ac:dyDescent="0.25">
      <c r="AA1733" s="57" t="str">
        <f t="shared" si="26"/>
        <v/>
      </c>
    </row>
    <row r="1734" spans="27:27" ht="12.75" customHeight="1" x14ac:dyDescent="0.25">
      <c r="AA1734" s="57" t="str">
        <f t="shared" si="26"/>
        <v/>
      </c>
    </row>
    <row r="1735" spans="27:27" ht="12.75" customHeight="1" x14ac:dyDescent="0.25">
      <c r="AA1735" s="57" t="str">
        <f t="shared" si="26"/>
        <v/>
      </c>
    </row>
    <row r="1736" spans="27:27" ht="12.75" customHeight="1" x14ac:dyDescent="0.25">
      <c r="AA1736" s="57" t="str">
        <f t="shared" si="26"/>
        <v/>
      </c>
    </row>
    <row r="1737" spans="27:27" ht="12.75" customHeight="1" x14ac:dyDescent="0.25">
      <c r="AA1737" s="57" t="str">
        <f t="shared" si="26"/>
        <v/>
      </c>
    </row>
    <row r="1738" spans="27:27" ht="12.75" customHeight="1" x14ac:dyDescent="0.25">
      <c r="AA1738" s="57" t="str">
        <f t="shared" si="26"/>
        <v/>
      </c>
    </row>
    <row r="1739" spans="27:27" ht="12.75" customHeight="1" x14ac:dyDescent="0.25">
      <c r="AA1739" s="57" t="str">
        <f t="shared" si="26"/>
        <v/>
      </c>
    </row>
    <row r="1740" spans="27:27" ht="12.75" customHeight="1" x14ac:dyDescent="0.25">
      <c r="AA1740" s="57" t="str">
        <f t="shared" ref="AA1740:AA1803" si="27">IFERROR(
IF(AND(X1740="Não",Y1740="Sim"),"REP",
IF(AND(X1740="Sim",Y1740="Não"),"Técnico",
IF(AND(X1740="Sim",Y1740="Sim"),"Ambos",""))),
"")</f>
        <v/>
      </c>
    </row>
    <row r="1741" spans="27:27" ht="12.75" customHeight="1" x14ac:dyDescent="0.25">
      <c r="AA1741" s="57" t="str">
        <f t="shared" si="27"/>
        <v/>
      </c>
    </row>
    <row r="1742" spans="27:27" ht="12.75" customHeight="1" x14ac:dyDescent="0.25">
      <c r="AA1742" s="57" t="str">
        <f t="shared" si="27"/>
        <v/>
      </c>
    </row>
    <row r="1743" spans="27:27" ht="12.75" customHeight="1" x14ac:dyDescent="0.25">
      <c r="AA1743" s="57" t="str">
        <f t="shared" si="27"/>
        <v/>
      </c>
    </row>
    <row r="1744" spans="27:27" ht="12.75" customHeight="1" x14ac:dyDescent="0.25">
      <c r="AA1744" s="57" t="str">
        <f t="shared" si="27"/>
        <v/>
      </c>
    </row>
    <row r="1745" spans="27:27" ht="12.75" customHeight="1" x14ac:dyDescent="0.25">
      <c r="AA1745" s="57" t="str">
        <f t="shared" si="27"/>
        <v/>
      </c>
    </row>
    <row r="1746" spans="27:27" ht="12.75" customHeight="1" x14ac:dyDescent="0.25">
      <c r="AA1746" s="57" t="str">
        <f t="shared" si="27"/>
        <v/>
      </c>
    </row>
    <row r="1747" spans="27:27" ht="12.75" customHeight="1" x14ac:dyDescent="0.25">
      <c r="AA1747" s="57" t="str">
        <f t="shared" si="27"/>
        <v/>
      </c>
    </row>
    <row r="1748" spans="27:27" ht="12.75" customHeight="1" x14ac:dyDescent="0.25">
      <c r="AA1748" s="57" t="str">
        <f t="shared" si="27"/>
        <v/>
      </c>
    </row>
    <row r="1749" spans="27:27" ht="12.75" customHeight="1" x14ac:dyDescent="0.25">
      <c r="AA1749" s="57" t="str">
        <f t="shared" si="27"/>
        <v/>
      </c>
    </row>
    <row r="1750" spans="27:27" ht="12.75" customHeight="1" x14ac:dyDescent="0.25">
      <c r="AA1750" s="57" t="str">
        <f t="shared" si="27"/>
        <v/>
      </c>
    </row>
    <row r="1751" spans="27:27" ht="12.75" customHeight="1" x14ac:dyDescent="0.25">
      <c r="AA1751" s="57" t="str">
        <f t="shared" si="27"/>
        <v/>
      </c>
    </row>
    <row r="1752" spans="27:27" ht="12.75" customHeight="1" x14ac:dyDescent="0.25">
      <c r="AA1752" s="57" t="str">
        <f t="shared" si="27"/>
        <v/>
      </c>
    </row>
    <row r="1753" spans="27:27" ht="12.75" customHeight="1" x14ac:dyDescent="0.25">
      <c r="AA1753" s="57" t="str">
        <f t="shared" si="27"/>
        <v/>
      </c>
    </row>
    <row r="1754" spans="27:27" ht="12.75" customHeight="1" x14ac:dyDescent="0.25">
      <c r="AA1754" s="57" t="str">
        <f t="shared" si="27"/>
        <v/>
      </c>
    </row>
    <row r="1755" spans="27:27" ht="12.75" customHeight="1" x14ac:dyDescent="0.25">
      <c r="AA1755" s="57" t="str">
        <f t="shared" si="27"/>
        <v/>
      </c>
    </row>
    <row r="1756" spans="27:27" ht="12.75" customHeight="1" x14ac:dyDescent="0.25">
      <c r="AA1756" s="57" t="str">
        <f t="shared" si="27"/>
        <v/>
      </c>
    </row>
    <row r="1757" spans="27:27" ht="12.75" customHeight="1" x14ac:dyDescent="0.25">
      <c r="AA1757" s="57" t="str">
        <f t="shared" si="27"/>
        <v/>
      </c>
    </row>
    <row r="1758" spans="27:27" ht="12.75" customHeight="1" x14ac:dyDescent="0.25">
      <c r="AA1758" s="57" t="str">
        <f t="shared" si="27"/>
        <v/>
      </c>
    </row>
    <row r="1759" spans="27:27" ht="12.75" customHeight="1" x14ac:dyDescent="0.25">
      <c r="AA1759" s="57" t="str">
        <f t="shared" si="27"/>
        <v/>
      </c>
    </row>
    <row r="1760" spans="27:27" ht="12.75" customHeight="1" x14ac:dyDescent="0.25">
      <c r="AA1760" s="57" t="str">
        <f t="shared" si="27"/>
        <v/>
      </c>
    </row>
    <row r="1761" spans="27:27" ht="12.75" customHeight="1" x14ac:dyDescent="0.25">
      <c r="AA1761" s="57" t="str">
        <f t="shared" si="27"/>
        <v/>
      </c>
    </row>
    <row r="1762" spans="27:27" ht="12.75" customHeight="1" x14ac:dyDescent="0.25">
      <c r="AA1762" s="57" t="str">
        <f t="shared" si="27"/>
        <v/>
      </c>
    </row>
    <row r="1763" spans="27:27" ht="12.75" customHeight="1" x14ac:dyDescent="0.25">
      <c r="AA1763" s="57" t="str">
        <f t="shared" si="27"/>
        <v/>
      </c>
    </row>
    <row r="1764" spans="27:27" ht="12.75" customHeight="1" x14ac:dyDescent="0.25">
      <c r="AA1764" s="57" t="str">
        <f t="shared" si="27"/>
        <v/>
      </c>
    </row>
    <row r="1765" spans="27:27" ht="12.75" customHeight="1" x14ac:dyDescent="0.25">
      <c r="AA1765" s="57" t="str">
        <f t="shared" si="27"/>
        <v/>
      </c>
    </row>
    <row r="1766" spans="27:27" ht="12.75" customHeight="1" x14ac:dyDescent="0.25">
      <c r="AA1766" s="57" t="str">
        <f t="shared" si="27"/>
        <v/>
      </c>
    </row>
    <row r="1767" spans="27:27" ht="12.75" customHeight="1" x14ac:dyDescent="0.25">
      <c r="AA1767" s="57" t="str">
        <f t="shared" si="27"/>
        <v/>
      </c>
    </row>
    <row r="1768" spans="27:27" ht="12.75" customHeight="1" x14ac:dyDescent="0.25">
      <c r="AA1768" s="57" t="str">
        <f t="shared" si="27"/>
        <v/>
      </c>
    </row>
    <row r="1769" spans="27:27" ht="12.75" customHeight="1" x14ac:dyDescent="0.25">
      <c r="AA1769" s="57" t="str">
        <f t="shared" si="27"/>
        <v/>
      </c>
    </row>
    <row r="1770" spans="27:27" ht="12.75" customHeight="1" x14ac:dyDescent="0.25">
      <c r="AA1770" s="57" t="str">
        <f t="shared" si="27"/>
        <v/>
      </c>
    </row>
    <row r="1771" spans="27:27" ht="12.75" customHeight="1" x14ac:dyDescent="0.25">
      <c r="AA1771" s="57" t="str">
        <f t="shared" si="27"/>
        <v/>
      </c>
    </row>
    <row r="1772" spans="27:27" ht="12.75" customHeight="1" x14ac:dyDescent="0.25">
      <c r="AA1772" s="57" t="str">
        <f t="shared" si="27"/>
        <v/>
      </c>
    </row>
    <row r="1773" spans="27:27" ht="12.75" customHeight="1" x14ac:dyDescent="0.25">
      <c r="AA1773" s="57" t="str">
        <f t="shared" si="27"/>
        <v/>
      </c>
    </row>
    <row r="1774" spans="27:27" ht="12.75" customHeight="1" x14ac:dyDescent="0.25">
      <c r="AA1774" s="57" t="str">
        <f t="shared" si="27"/>
        <v/>
      </c>
    </row>
    <row r="1775" spans="27:27" ht="12.75" customHeight="1" x14ac:dyDescent="0.25">
      <c r="AA1775" s="57" t="str">
        <f t="shared" si="27"/>
        <v/>
      </c>
    </row>
    <row r="1776" spans="27:27" ht="12.75" customHeight="1" x14ac:dyDescent="0.25">
      <c r="AA1776" s="57" t="str">
        <f t="shared" si="27"/>
        <v/>
      </c>
    </row>
    <row r="1777" spans="27:27" ht="12.75" customHeight="1" x14ac:dyDescent="0.25">
      <c r="AA1777" s="57" t="str">
        <f t="shared" si="27"/>
        <v/>
      </c>
    </row>
    <row r="1778" spans="27:27" ht="12.75" customHeight="1" x14ac:dyDescent="0.25">
      <c r="AA1778" s="57" t="str">
        <f t="shared" si="27"/>
        <v/>
      </c>
    </row>
    <row r="1779" spans="27:27" ht="12.75" customHeight="1" x14ac:dyDescent="0.25">
      <c r="AA1779" s="57" t="str">
        <f t="shared" si="27"/>
        <v/>
      </c>
    </row>
    <row r="1780" spans="27:27" ht="12.75" customHeight="1" x14ac:dyDescent="0.25">
      <c r="AA1780" s="57" t="str">
        <f t="shared" si="27"/>
        <v/>
      </c>
    </row>
    <row r="1781" spans="27:27" ht="12.75" customHeight="1" x14ac:dyDescent="0.25">
      <c r="AA1781" s="57" t="str">
        <f t="shared" si="27"/>
        <v/>
      </c>
    </row>
    <row r="1782" spans="27:27" ht="12.75" customHeight="1" x14ac:dyDescent="0.25">
      <c r="AA1782" s="57" t="str">
        <f t="shared" si="27"/>
        <v/>
      </c>
    </row>
    <row r="1783" spans="27:27" ht="12.75" customHeight="1" x14ac:dyDescent="0.25">
      <c r="AA1783" s="57" t="str">
        <f t="shared" si="27"/>
        <v/>
      </c>
    </row>
    <row r="1784" spans="27:27" ht="12.75" customHeight="1" x14ac:dyDescent="0.25">
      <c r="AA1784" s="57" t="str">
        <f t="shared" si="27"/>
        <v/>
      </c>
    </row>
    <row r="1785" spans="27:27" ht="12.75" customHeight="1" x14ac:dyDescent="0.25">
      <c r="AA1785" s="57" t="str">
        <f t="shared" si="27"/>
        <v/>
      </c>
    </row>
    <row r="1786" spans="27:27" ht="12.75" customHeight="1" x14ac:dyDescent="0.25">
      <c r="AA1786" s="57" t="str">
        <f t="shared" si="27"/>
        <v/>
      </c>
    </row>
    <row r="1787" spans="27:27" ht="12.75" customHeight="1" x14ac:dyDescent="0.25">
      <c r="AA1787" s="57" t="str">
        <f t="shared" si="27"/>
        <v/>
      </c>
    </row>
    <row r="1788" spans="27:27" ht="12.75" customHeight="1" x14ac:dyDescent="0.25">
      <c r="AA1788" s="57" t="str">
        <f t="shared" si="27"/>
        <v/>
      </c>
    </row>
    <row r="1789" spans="27:27" ht="12.75" customHeight="1" x14ac:dyDescent="0.25">
      <c r="AA1789" s="57" t="str">
        <f t="shared" si="27"/>
        <v/>
      </c>
    </row>
    <row r="1790" spans="27:27" ht="12.75" customHeight="1" x14ac:dyDescent="0.25">
      <c r="AA1790" s="57" t="str">
        <f t="shared" si="27"/>
        <v/>
      </c>
    </row>
    <row r="1791" spans="27:27" ht="12.75" customHeight="1" x14ac:dyDescent="0.25">
      <c r="AA1791" s="57" t="str">
        <f t="shared" si="27"/>
        <v/>
      </c>
    </row>
    <row r="1792" spans="27:27" ht="12.75" customHeight="1" x14ac:dyDescent="0.25">
      <c r="AA1792" s="57" t="str">
        <f t="shared" si="27"/>
        <v/>
      </c>
    </row>
    <row r="1793" spans="27:27" ht="12.75" customHeight="1" x14ac:dyDescent="0.25">
      <c r="AA1793" s="57" t="str">
        <f t="shared" si="27"/>
        <v/>
      </c>
    </row>
    <row r="1794" spans="27:27" ht="12.75" customHeight="1" x14ac:dyDescent="0.25">
      <c r="AA1794" s="57" t="str">
        <f t="shared" si="27"/>
        <v/>
      </c>
    </row>
    <row r="1795" spans="27:27" ht="12.75" customHeight="1" x14ac:dyDescent="0.25">
      <c r="AA1795" s="57" t="str">
        <f t="shared" si="27"/>
        <v/>
      </c>
    </row>
    <row r="1796" spans="27:27" ht="12.75" customHeight="1" x14ac:dyDescent="0.25">
      <c r="AA1796" s="57" t="str">
        <f t="shared" si="27"/>
        <v/>
      </c>
    </row>
    <row r="1797" spans="27:27" ht="12.75" customHeight="1" x14ac:dyDescent="0.25">
      <c r="AA1797" s="57" t="str">
        <f t="shared" si="27"/>
        <v/>
      </c>
    </row>
    <row r="1798" spans="27:27" ht="12.75" customHeight="1" x14ac:dyDescent="0.25">
      <c r="AA1798" s="57" t="str">
        <f t="shared" si="27"/>
        <v/>
      </c>
    </row>
    <row r="1799" spans="27:27" ht="12.75" customHeight="1" x14ac:dyDescent="0.25">
      <c r="AA1799" s="57" t="str">
        <f t="shared" si="27"/>
        <v/>
      </c>
    </row>
    <row r="1800" spans="27:27" ht="12.75" customHeight="1" x14ac:dyDescent="0.25">
      <c r="AA1800" s="57" t="str">
        <f t="shared" si="27"/>
        <v/>
      </c>
    </row>
    <row r="1801" spans="27:27" ht="12.75" customHeight="1" x14ac:dyDescent="0.25">
      <c r="AA1801" s="57" t="str">
        <f t="shared" si="27"/>
        <v/>
      </c>
    </row>
    <row r="1802" spans="27:27" ht="12.75" customHeight="1" x14ac:dyDescent="0.25">
      <c r="AA1802" s="57" t="str">
        <f t="shared" si="27"/>
        <v/>
      </c>
    </row>
    <row r="1803" spans="27:27" ht="12.75" customHeight="1" x14ac:dyDescent="0.25">
      <c r="AA1803" s="57" t="str">
        <f t="shared" si="27"/>
        <v/>
      </c>
    </row>
    <row r="1804" spans="27:27" ht="12.75" customHeight="1" x14ac:dyDescent="0.25">
      <c r="AA1804" s="57" t="str">
        <f t="shared" ref="AA1804:AA1867" si="28">IFERROR(
IF(AND(X1804="Não",Y1804="Sim"),"REP",
IF(AND(X1804="Sim",Y1804="Não"),"Técnico",
IF(AND(X1804="Sim",Y1804="Sim"),"Ambos",""))),
"")</f>
        <v/>
      </c>
    </row>
    <row r="1805" spans="27:27" ht="12.75" customHeight="1" x14ac:dyDescent="0.25">
      <c r="AA1805" s="57" t="str">
        <f t="shared" si="28"/>
        <v/>
      </c>
    </row>
    <row r="1806" spans="27:27" ht="12.75" customHeight="1" x14ac:dyDescent="0.25">
      <c r="AA1806" s="57" t="str">
        <f t="shared" si="28"/>
        <v/>
      </c>
    </row>
    <row r="1807" spans="27:27" ht="12.75" customHeight="1" x14ac:dyDescent="0.25">
      <c r="AA1807" s="57" t="str">
        <f t="shared" si="28"/>
        <v/>
      </c>
    </row>
    <row r="1808" spans="27:27" ht="12.75" customHeight="1" x14ac:dyDescent="0.25">
      <c r="AA1808" s="57" t="str">
        <f t="shared" si="28"/>
        <v/>
      </c>
    </row>
    <row r="1809" spans="27:27" ht="12.75" customHeight="1" x14ac:dyDescent="0.25">
      <c r="AA1809" s="57" t="str">
        <f t="shared" si="28"/>
        <v/>
      </c>
    </row>
    <row r="1810" spans="27:27" ht="12.75" customHeight="1" x14ac:dyDescent="0.25">
      <c r="AA1810" s="57" t="str">
        <f t="shared" si="28"/>
        <v/>
      </c>
    </row>
    <row r="1811" spans="27:27" ht="12.75" customHeight="1" x14ac:dyDescent="0.25">
      <c r="AA1811" s="57" t="str">
        <f t="shared" si="28"/>
        <v/>
      </c>
    </row>
    <row r="1812" spans="27:27" ht="12.75" customHeight="1" x14ac:dyDescent="0.25">
      <c r="AA1812" s="57" t="str">
        <f t="shared" si="28"/>
        <v/>
      </c>
    </row>
    <row r="1813" spans="27:27" ht="12.75" customHeight="1" x14ac:dyDescent="0.25">
      <c r="AA1813" s="57" t="str">
        <f t="shared" si="28"/>
        <v/>
      </c>
    </row>
    <row r="1814" spans="27:27" ht="12.75" customHeight="1" x14ac:dyDescent="0.25">
      <c r="AA1814" s="57" t="str">
        <f t="shared" si="28"/>
        <v/>
      </c>
    </row>
    <row r="1815" spans="27:27" ht="12.75" customHeight="1" x14ac:dyDescent="0.25">
      <c r="AA1815" s="57" t="str">
        <f t="shared" si="28"/>
        <v/>
      </c>
    </row>
    <row r="1816" spans="27:27" ht="12.75" customHeight="1" x14ac:dyDescent="0.25">
      <c r="AA1816" s="57" t="str">
        <f t="shared" si="28"/>
        <v/>
      </c>
    </row>
    <row r="1817" spans="27:27" ht="12.75" customHeight="1" x14ac:dyDescent="0.25">
      <c r="AA1817" s="57" t="str">
        <f t="shared" si="28"/>
        <v/>
      </c>
    </row>
    <row r="1818" spans="27:27" ht="12.75" customHeight="1" x14ac:dyDescent="0.25">
      <c r="AA1818" s="57" t="str">
        <f t="shared" si="28"/>
        <v/>
      </c>
    </row>
    <row r="1819" spans="27:27" ht="12.75" customHeight="1" x14ac:dyDescent="0.25">
      <c r="AA1819" s="57" t="str">
        <f t="shared" si="28"/>
        <v/>
      </c>
    </row>
    <row r="1820" spans="27:27" ht="12.75" customHeight="1" x14ac:dyDescent="0.25">
      <c r="AA1820" s="57" t="str">
        <f t="shared" si="28"/>
        <v/>
      </c>
    </row>
    <row r="1821" spans="27:27" ht="12.75" customHeight="1" x14ac:dyDescent="0.25">
      <c r="AA1821" s="57" t="str">
        <f t="shared" si="28"/>
        <v/>
      </c>
    </row>
    <row r="1822" spans="27:27" ht="12.75" customHeight="1" x14ac:dyDescent="0.25">
      <c r="AA1822" s="57" t="str">
        <f t="shared" si="28"/>
        <v/>
      </c>
    </row>
    <row r="1823" spans="27:27" ht="12.75" customHeight="1" x14ac:dyDescent="0.25">
      <c r="AA1823" s="57" t="str">
        <f t="shared" si="28"/>
        <v/>
      </c>
    </row>
    <row r="1824" spans="27:27" ht="12.75" customHeight="1" x14ac:dyDescent="0.25">
      <c r="AA1824" s="57" t="str">
        <f t="shared" si="28"/>
        <v/>
      </c>
    </row>
    <row r="1825" spans="27:27" ht="12.75" customHeight="1" x14ac:dyDescent="0.25">
      <c r="AA1825" s="57" t="str">
        <f t="shared" si="28"/>
        <v/>
      </c>
    </row>
    <row r="1826" spans="27:27" ht="12.75" customHeight="1" x14ac:dyDescent="0.25">
      <c r="AA1826" s="57" t="str">
        <f t="shared" si="28"/>
        <v/>
      </c>
    </row>
    <row r="1827" spans="27:27" ht="12.75" customHeight="1" x14ac:dyDescent="0.25">
      <c r="AA1827" s="57" t="str">
        <f t="shared" si="28"/>
        <v/>
      </c>
    </row>
    <row r="1828" spans="27:27" ht="12.75" customHeight="1" x14ac:dyDescent="0.25">
      <c r="AA1828" s="57" t="str">
        <f t="shared" si="28"/>
        <v/>
      </c>
    </row>
    <row r="1829" spans="27:27" ht="12.75" customHeight="1" x14ac:dyDescent="0.25">
      <c r="AA1829" s="57" t="str">
        <f t="shared" si="28"/>
        <v/>
      </c>
    </row>
    <row r="1830" spans="27:27" ht="12.75" customHeight="1" x14ac:dyDescent="0.25">
      <c r="AA1830" s="57" t="str">
        <f t="shared" si="28"/>
        <v/>
      </c>
    </row>
    <row r="1831" spans="27:27" ht="12.75" customHeight="1" x14ac:dyDescent="0.25">
      <c r="AA1831" s="57" t="str">
        <f t="shared" si="28"/>
        <v/>
      </c>
    </row>
    <row r="1832" spans="27:27" ht="12.75" customHeight="1" x14ac:dyDescent="0.25">
      <c r="AA1832" s="57" t="str">
        <f t="shared" si="28"/>
        <v/>
      </c>
    </row>
    <row r="1833" spans="27:27" ht="12.75" customHeight="1" x14ac:dyDescent="0.25">
      <c r="AA1833" s="57" t="str">
        <f t="shared" si="28"/>
        <v/>
      </c>
    </row>
    <row r="1834" spans="27:27" ht="12.75" customHeight="1" x14ac:dyDescent="0.25">
      <c r="AA1834" s="57" t="str">
        <f t="shared" si="28"/>
        <v/>
      </c>
    </row>
    <row r="1835" spans="27:27" ht="12.75" customHeight="1" x14ac:dyDescent="0.25">
      <c r="AA1835" s="57" t="str">
        <f t="shared" si="28"/>
        <v/>
      </c>
    </row>
    <row r="1836" spans="27:27" ht="12.75" customHeight="1" x14ac:dyDescent="0.25">
      <c r="AA1836" s="57" t="str">
        <f t="shared" si="28"/>
        <v/>
      </c>
    </row>
    <row r="1837" spans="27:27" ht="12.75" customHeight="1" x14ac:dyDescent="0.25">
      <c r="AA1837" s="57" t="str">
        <f t="shared" si="28"/>
        <v/>
      </c>
    </row>
    <row r="1838" spans="27:27" ht="12.75" customHeight="1" x14ac:dyDescent="0.25">
      <c r="AA1838" s="57" t="str">
        <f t="shared" si="28"/>
        <v/>
      </c>
    </row>
    <row r="1839" spans="27:27" ht="12.75" customHeight="1" x14ac:dyDescent="0.25">
      <c r="AA1839" s="57" t="str">
        <f t="shared" si="28"/>
        <v/>
      </c>
    </row>
    <row r="1840" spans="27:27" ht="12.75" customHeight="1" x14ac:dyDescent="0.25">
      <c r="AA1840" s="57" t="str">
        <f t="shared" si="28"/>
        <v/>
      </c>
    </row>
    <row r="1841" spans="27:27" ht="12.75" customHeight="1" x14ac:dyDescent="0.25">
      <c r="AA1841" s="57" t="str">
        <f t="shared" si="28"/>
        <v/>
      </c>
    </row>
    <row r="1842" spans="27:27" ht="12.75" customHeight="1" x14ac:dyDescent="0.25">
      <c r="AA1842" s="57" t="str">
        <f t="shared" si="28"/>
        <v/>
      </c>
    </row>
    <row r="1843" spans="27:27" ht="12.75" customHeight="1" x14ac:dyDescent="0.25">
      <c r="AA1843" s="57" t="str">
        <f t="shared" si="28"/>
        <v/>
      </c>
    </row>
    <row r="1844" spans="27:27" ht="12.75" customHeight="1" x14ac:dyDescent="0.25">
      <c r="AA1844" s="57" t="str">
        <f t="shared" si="28"/>
        <v/>
      </c>
    </row>
    <row r="1845" spans="27:27" ht="12.75" customHeight="1" x14ac:dyDescent="0.25">
      <c r="AA1845" s="57" t="str">
        <f t="shared" si="28"/>
        <v/>
      </c>
    </row>
    <row r="1846" spans="27:27" ht="12.75" customHeight="1" x14ac:dyDescent="0.25">
      <c r="AA1846" s="57" t="str">
        <f t="shared" si="28"/>
        <v/>
      </c>
    </row>
    <row r="1847" spans="27:27" ht="12.75" customHeight="1" x14ac:dyDescent="0.25">
      <c r="AA1847" s="57" t="str">
        <f t="shared" si="28"/>
        <v/>
      </c>
    </row>
    <row r="1848" spans="27:27" ht="12.75" customHeight="1" x14ac:dyDescent="0.25">
      <c r="AA1848" s="57" t="str">
        <f t="shared" si="28"/>
        <v/>
      </c>
    </row>
    <row r="1849" spans="27:27" ht="12.75" customHeight="1" x14ac:dyDescent="0.25">
      <c r="AA1849" s="57" t="str">
        <f t="shared" si="28"/>
        <v/>
      </c>
    </row>
    <row r="1850" spans="27:27" ht="12.75" customHeight="1" x14ac:dyDescent="0.25">
      <c r="AA1850" s="57" t="str">
        <f t="shared" si="28"/>
        <v/>
      </c>
    </row>
    <row r="1851" spans="27:27" ht="12.75" customHeight="1" x14ac:dyDescent="0.25">
      <c r="AA1851" s="57" t="str">
        <f t="shared" si="28"/>
        <v/>
      </c>
    </row>
    <row r="1852" spans="27:27" ht="12.75" customHeight="1" x14ac:dyDescent="0.25">
      <c r="AA1852" s="57" t="str">
        <f t="shared" si="28"/>
        <v/>
      </c>
    </row>
    <row r="1853" spans="27:27" ht="12.75" customHeight="1" x14ac:dyDescent="0.25">
      <c r="AA1853" s="57" t="str">
        <f t="shared" si="28"/>
        <v/>
      </c>
    </row>
    <row r="1854" spans="27:27" ht="12.75" customHeight="1" x14ac:dyDescent="0.25">
      <c r="AA1854" s="57" t="str">
        <f t="shared" si="28"/>
        <v/>
      </c>
    </row>
    <row r="1855" spans="27:27" ht="12.75" customHeight="1" x14ac:dyDescent="0.25">
      <c r="AA1855" s="57" t="str">
        <f t="shared" si="28"/>
        <v/>
      </c>
    </row>
    <row r="1856" spans="27:27" ht="12.75" customHeight="1" x14ac:dyDescent="0.25">
      <c r="AA1856" s="57" t="str">
        <f t="shared" si="28"/>
        <v/>
      </c>
    </row>
    <row r="1857" spans="27:27" ht="12.75" customHeight="1" x14ac:dyDescent="0.25">
      <c r="AA1857" s="57" t="str">
        <f t="shared" si="28"/>
        <v/>
      </c>
    </row>
    <row r="1858" spans="27:27" ht="12.75" customHeight="1" x14ac:dyDescent="0.25">
      <c r="AA1858" s="57" t="str">
        <f t="shared" si="28"/>
        <v/>
      </c>
    </row>
    <row r="1859" spans="27:27" ht="12.75" customHeight="1" x14ac:dyDescent="0.25">
      <c r="AA1859" s="57" t="str">
        <f t="shared" si="28"/>
        <v/>
      </c>
    </row>
    <row r="1860" spans="27:27" ht="12.75" customHeight="1" x14ac:dyDescent="0.25">
      <c r="AA1860" s="57" t="str">
        <f t="shared" si="28"/>
        <v/>
      </c>
    </row>
    <row r="1861" spans="27:27" ht="12.75" customHeight="1" x14ac:dyDescent="0.25">
      <c r="AA1861" s="57" t="str">
        <f t="shared" si="28"/>
        <v/>
      </c>
    </row>
    <row r="1862" spans="27:27" ht="12.75" customHeight="1" x14ac:dyDescent="0.25">
      <c r="AA1862" s="57" t="str">
        <f t="shared" si="28"/>
        <v/>
      </c>
    </row>
    <row r="1863" spans="27:27" ht="12.75" customHeight="1" x14ac:dyDescent="0.25">
      <c r="AA1863" s="57" t="str">
        <f t="shared" si="28"/>
        <v/>
      </c>
    </row>
    <row r="1864" spans="27:27" ht="12.75" customHeight="1" x14ac:dyDescent="0.25">
      <c r="AA1864" s="57" t="str">
        <f t="shared" si="28"/>
        <v/>
      </c>
    </row>
    <row r="1865" spans="27:27" ht="12.75" customHeight="1" x14ac:dyDescent="0.25">
      <c r="AA1865" s="57" t="str">
        <f t="shared" si="28"/>
        <v/>
      </c>
    </row>
    <row r="1866" spans="27:27" ht="12.75" customHeight="1" x14ac:dyDescent="0.25">
      <c r="AA1866" s="57" t="str">
        <f t="shared" si="28"/>
        <v/>
      </c>
    </row>
    <row r="1867" spans="27:27" ht="12.75" customHeight="1" x14ac:dyDescent="0.25">
      <c r="AA1867" s="57" t="str">
        <f t="shared" si="28"/>
        <v/>
      </c>
    </row>
    <row r="1868" spans="27:27" ht="12.75" customHeight="1" x14ac:dyDescent="0.25">
      <c r="AA1868" s="57" t="str">
        <f t="shared" ref="AA1868:AA1931" si="29">IFERROR(
IF(AND(X1868="Não",Y1868="Sim"),"REP",
IF(AND(X1868="Sim",Y1868="Não"),"Técnico",
IF(AND(X1868="Sim",Y1868="Sim"),"Ambos",""))),
"")</f>
        <v/>
      </c>
    </row>
    <row r="1869" spans="27:27" ht="12.75" customHeight="1" x14ac:dyDescent="0.25">
      <c r="AA1869" s="57" t="str">
        <f t="shared" si="29"/>
        <v/>
      </c>
    </row>
    <row r="1870" spans="27:27" ht="12.75" customHeight="1" x14ac:dyDescent="0.25">
      <c r="AA1870" s="57" t="str">
        <f t="shared" si="29"/>
        <v/>
      </c>
    </row>
    <row r="1871" spans="27:27" ht="12.75" customHeight="1" x14ac:dyDescent="0.25">
      <c r="AA1871" s="57" t="str">
        <f t="shared" si="29"/>
        <v/>
      </c>
    </row>
    <row r="1872" spans="27:27" ht="12.75" customHeight="1" x14ac:dyDescent="0.25">
      <c r="AA1872" s="57" t="str">
        <f t="shared" si="29"/>
        <v/>
      </c>
    </row>
    <row r="1873" spans="27:27" ht="12.75" customHeight="1" x14ac:dyDescent="0.25">
      <c r="AA1873" s="57" t="str">
        <f t="shared" si="29"/>
        <v/>
      </c>
    </row>
    <row r="1874" spans="27:27" ht="12.75" customHeight="1" x14ac:dyDescent="0.25">
      <c r="AA1874" s="57" t="str">
        <f t="shared" si="29"/>
        <v/>
      </c>
    </row>
    <row r="1875" spans="27:27" ht="12.75" customHeight="1" x14ac:dyDescent="0.25">
      <c r="AA1875" s="57" t="str">
        <f t="shared" si="29"/>
        <v/>
      </c>
    </row>
    <row r="1876" spans="27:27" ht="12.75" customHeight="1" x14ac:dyDescent="0.25">
      <c r="AA1876" s="57" t="str">
        <f t="shared" si="29"/>
        <v/>
      </c>
    </row>
    <row r="1877" spans="27:27" ht="12.75" customHeight="1" x14ac:dyDescent="0.25">
      <c r="AA1877" s="57" t="str">
        <f t="shared" si="29"/>
        <v/>
      </c>
    </row>
    <row r="1878" spans="27:27" ht="12.75" customHeight="1" x14ac:dyDescent="0.25">
      <c r="AA1878" s="57" t="str">
        <f t="shared" si="29"/>
        <v/>
      </c>
    </row>
    <row r="1879" spans="27:27" ht="12.75" customHeight="1" x14ac:dyDescent="0.25">
      <c r="AA1879" s="57" t="str">
        <f t="shared" si="29"/>
        <v/>
      </c>
    </row>
    <row r="1880" spans="27:27" ht="12.75" customHeight="1" x14ac:dyDescent="0.25">
      <c r="AA1880" s="57" t="str">
        <f t="shared" si="29"/>
        <v/>
      </c>
    </row>
    <row r="1881" spans="27:27" ht="12.75" customHeight="1" x14ac:dyDescent="0.25">
      <c r="AA1881" s="57" t="str">
        <f t="shared" si="29"/>
        <v/>
      </c>
    </row>
    <row r="1882" spans="27:27" ht="12.75" customHeight="1" x14ac:dyDescent="0.25">
      <c r="AA1882" s="57" t="str">
        <f t="shared" si="29"/>
        <v/>
      </c>
    </row>
    <row r="1883" spans="27:27" ht="12.75" customHeight="1" x14ac:dyDescent="0.25">
      <c r="AA1883" s="57" t="str">
        <f t="shared" si="29"/>
        <v/>
      </c>
    </row>
    <row r="1884" spans="27:27" ht="12.75" customHeight="1" x14ac:dyDescent="0.25">
      <c r="AA1884" s="57" t="str">
        <f t="shared" si="29"/>
        <v/>
      </c>
    </row>
    <row r="1885" spans="27:27" ht="12.75" customHeight="1" x14ac:dyDescent="0.25">
      <c r="AA1885" s="57" t="str">
        <f t="shared" si="29"/>
        <v/>
      </c>
    </row>
    <row r="1886" spans="27:27" ht="12.75" customHeight="1" x14ac:dyDescent="0.25">
      <c r="AA1886" s="57" t="str">
        <f t="shared" si="29"/>
        <v/>
      </c>
    </row>
    <row r="1887" spans="27:27" ht="12.75" customHeight="1" x14ac:dyDescent="0.25">
      <c r="AA1887" s="57" t="str">
        <f t="shared" si="29"/>
        <v/>
      </c>
    </row>
    <row r="1888" spans="27:27" ht="12.75" customHeight="1" x14ac:dyDescent="0.25">
      <c r="AA1888" s="57" t="str">
        <f t="shared" si="29"/>
        <v/>
      </c>
    </row>
    <row r="1889" spans="27:27" ht="12.75" customHeight="1" x14ac:dyDescent="0.25">
      <c r="AA1889" s="57" t="str">
        <f t="shared" si="29"/>
        <v/>
      </c>
    </row>
    <row r="1890" spans="27:27" ht="12.75" customHeight="1" x14ac:dyDescent="0.25">
      <c r="AA1890" s="57" t="str">
        <f t="shared" si="29"/>
        <v/>
      </c>
    </row>
    <row r="1891" spans="27:27" ht="12.75" customHeight="1" x14ac:dyDescent="0.25">
      <c r="AA1891" s="57" t="str">
        <f t="shared" si="29"/>
        <v/>
      </c>
    </row>
    <row r="1892" spans="27:27" ht="12.75" customHeight="1" x14ac:dyDescent="0.25">
      <c r="AA1892" s="57" t="str">
        <f t="shared" si="29"/>
        <v/>
      </c>
    </row>
    <row r="1893" spans="27:27" ht="12.75" customHeight="1" x14ac:dyDescent="0.25">
      <c r="AA1893" s="57" t="str">
        <f t="shared" si="29"/>
        <v/>
      </c>
    </row>
    <row r="1894" spans="27:27" ht="12.75" customHeight="1" x14ac:dyDescent="0.25">
      <c r="AA1894" s="57" t="str">
        <f t="shared" si="29"/>
        <v/>
      </c>
    </row>
    <row r="1895" spans="27:27" ht="12.75" customHeight="1" x14ac:dyDescent="0.25">
      <c r="AA1895" s="57" t="str">
        <f t="shared" si="29"/>
        <v/>
      </c>
    </row>
    <row r="1896" spans="27:27" ht="12.75" customHeight="1" x14ac:dyDescent="0.25">
      <c r="AA1896" s="57" t="str">
        <f t="shared" si="29"/>
        <v/>
      </c>
    </row>
    <row r="1897" spans="27:27" ht="12.75" customHeight="1" x14ac:dyDescent="0.25">
      <c r="AA1897" s="57" t="str">
        <f t="shared" si="29"/>
        <v/>
      </c>
    </row>
    <row r="1898" spans="27:27" ht="12.75" customHeight="1" x14ac:dyDescent="0.25">
      <c r="AA1898" s="57" t="str">
        <f t="shared" si="29"/>
        <v/>
      </c>
    </row>
    <row r="1899" spans="27:27" ht="12.75" customHeight="1" x14ac:dyDescent="0.25">
      <c r="AA1899" s="57" t="str">
        <f t="shared" si="29"/>
        <v/>
      </c>
    </row>
    <row r="1900" spans="27:27" ht="12.75" customHeight="1" x14ac:dyDescent="0.25">
      <c r="AA1900" s="57" t="str">
        <f t="shared" si="29"/>
        <v/>
      </c>
    </row>
    <row r="1901" spans="27:27" ht="12.75" customHeight="1" x14ac:dyDescent="0.25">
      <c r="AA1901" s="57" t="str">
        <f t="shared" si="29"/>
        <v/>
      </c>
    </row>
    <row r="1902" spans="27:27" ht="12.75" customHeight="1" x14ac:dyDescent="0.25">
      <c r="AA1902" s="57" t="str">
        <f t="shared" si="29"/>
        <v/>
      </c>
    </row>
    <row r="1903" spans="27:27" ht="12.75" customHeight="1" x14ac:dyDescent="0.25">
      <c r="AA1903" s="57" t="str">
        <f t="shared" si="29"/>
        <v/>
      </c>
    </row>
    <row r="1904" spans="27:27" ht="12.75" customHeight="1" x14ac:dyDescent="0.25">
      <c r="AA1904" s="57" t="str">
        <f t="shared" si="29"/>
        <v/>
      </c>
    </row>
    <row r="1905" spans="27:27" ht="12.75" customHeight="1" x14ac:dyDescent="0.25">
      <c r="AA1905" s="57" t="str">
        <f t="shared" si="29"/>
        <v/>
      </c>
    </row>
    <row r="1906" spans="27:27" ht="12.75" customHeight="1" x14ac:dyDescent="0.25">
      <c r="AA1906" s="57" t="str">
        <f t="shared" si="29"/>
        <v/>
      </c>
    </row>
    <row r="1907" spans="27:27" ht="12.75" customHeight="1" x14ac:dyDescent="0.25">
      <c r="AA1907" s="57" t="str">
        <f t="shared" si="29"/>
        <v/>
      </c>
    </row>
    <row r="1908" spans="27:27" ht="12.75" customHeight="1" x14ac:dyDescent="0.25">
      <c r="AA1908" s="57" t="str">
        <f t="shared" si="29"/>
        <v/>
      </c>
    </row>
    <row r="1909" spans="27:27" ht="12.75" customHeight="1" x14ac:dyDescent="0.25">
      <c r="AA1909" s="57" t="str">
        <f t="shared" si="29"/>
        <v/>
      </c>
    </row>
    <row r="1910" spans="27:27" ht="12.75" customHeight="1" x14ac:dyDescent="0.25">
      <c r="AA1910" s="57" t="str">
        <f t="shared" si="29"/>
        <v/>
      </c>
    </row>
    <row r="1911" spans="27:27" ht="12.75" customHeight="1" x14ac:dyDescent="0.25">
      <c r="AA1911" s="57" t="str">
        <f t="shared" si="29"/>
        <v/>
      </c>
    </row>
    <row r="1912" spans="27:27" ht="12.75" customHeight="1" x14ac:dyDescent="0.25">
      <c r="AA1912" s="57" t="str">
        <f t="shared" si="29"/>
        <v/>
      </c>
    </row>
    <row r="1913" spans="27:27" ht="12.75" customHeight="1" x14ac:dyDescent="0.25">
      <c r="AA1913" s="57" t="str">
        <f t="shared" si="29"/>
        <v/>
      </c>
    </row>
    <row r="1914" spans="27:27" ht="12.75" customHeight="1" x14ac:dyDescent="0.25">
      <c r="AA1914" s="57" t="str">
        <f t="shared" si="29"/>
        <v/>
      </c>
    </row>
    <row r="1915" spans="27:27" ht="12.75" customHeight="1" x14ac:dyDescent="0.25">
      <c r="AA1915" s="57" t="str">
        <f t="shared" si="29"/>
        <v/>
      </c>
    </row>
    <row r="1916" spans="27:27" ht="12.75" customHeight="1" x14ac:dyDescent="0.25">
      <c r="AA1916" s="57" t="str">
        <f t="shared" si="29"/>
        <v/>
      </c>
    </row>
    <row r="1917" spans="27:27" ht="12.75" customHeight="1" x14ac:dyDescent="0.25">
      <c r="AA1917" s="57" t="str">
        <f t="shared" si="29"/>
        <v/>
      </c>
    </row>
    <row r="1918" spans="27:27" ht="12.75" customHeight="1" x14ac:dyDescent="0.25">
      <c r="AA1918" s="57" t="str">
        <f t="shared" si="29"/>
        <v/>
      </c>
    </row>
    <row r="1919" spans="27:27" ht="12.75" customHeight="1" x14ac:dyDescent="0.25">
      <c r="AA1919" s="57" t="str">
        <f t="shared" si="29"/>
        <v/>
      </c>
    </row>
    <row r="1920" spans="27:27" ht="12.75" customHeight="1" x14ac:dyDescent="0.25">
      <c r="AA1920" s="57" t="str">
        <f t="shared" si="29"/>
        <v/>
      </c>
    </row>
    <row r="1921" spans="27:27" ht="12.75" customHeight="1" x14ac:dyDescent="0.25">
      <c r="AA1921" s="57" t="str">
        <f t="shared" si="29"/>
        <v/>
      </c>
    </row>
    <row r="1922" spans="27:27" ht="12.75" customHeight="1" x14ac:dyDescent="0.25">
      <c r="AA1922" s="57" t="str">
        <f t="shared" si="29"/>
        <v/>
      </c>
    </row>
    <row r="1923" spans="27:27" ht="12.75" customHeight="1" x14ac:dyDescent="0.25">
      <c r="AA1923" s="57" t="str">
        <f t="shared" si="29"/>
        <v/>
      </c>
    </row>
    <row r="1924" spans="27:27" ht="12.75" customHeight="1" x14ac:dyDescent="0.25">
      <c r="AA1924" s="57" t="str">
        <f t="shared" si="29"/>
        <v/>
      </c>
    </row>
    <row r="1925" spans="27:27" ht="12.75" customHeight="1" x14ac:dyDescent="0.25">
      <c r="AA1925" s="57" t="str">
        <f t="shared" si="29"/>
        <v/>
      </c>
    </row>
    <row r="1926" spans="27:27" ht="12.75" customHeight="1" x14ac:dyDescent="0.25">
      <c r="AA1926" s="57" t="str">
        <f t="shared" si="29"/>
        <v/>
      </c>
    </row>
    <row r="1927" spans="27:27" ht="12.75" customHeight="1" x14ac:dyDescent="0.25">
      <c r="AA1927" s="57" t="str">
        <f t="shared" si="29"/>
        <v/>
      </c>
    </row>
    <row r="1928" spans="27:27" ht="12.75" customHeight="1" x14ac:dyDescent="0.25">
      <c r="AA1928" s="57" t="str">
        <f t="shared" si="29"/>
        <v/>
      </c>
    </row>
    <row r="1929" spans="27:27" ht="12.75" customHeight="1" x14ac:dyDescent="0.25">
      <c r="AA1929" s="57" t="str">
        <f t="shared" si="29"/>
        <v/>
      </c>
    </row>
    <row r="1930" spans="27:27" ht="12.75" customHeight="1" x14ac:dyDescent="0.25">
      <c r="AA1930" s="57" t="str">
        <f t="shared" si="29"/>
        <v/>
      </c>
    </row>
    <row r="1931" spans="27:27" ht="12.75" customHeight="1" x14ac:dyDescent="0.25">
      <c r="AA1931" s="57" t="str">
        <f t="shared" si="29"/>
        <v/>
      </c>
    </row>
    <row r="1932" spans="27:27" ht="12.75" customHeight="1" x14ac:dyDescent="0.25">
      <c r="AA1932" s="57" t="str">
        <f t="shared" ref="AA1932:AA1995" si="30">IFERROR(
IF(AND(X1932="Não",Y1932="Sim"),"REP",
IF(AND(X1932="Sim",Y1932="Não"),"Técnico",
IF(AND(X1932="Sim",Y1932="Sim"),"Ambos",""))),
"")</f>
        <v/>
      </c>
    </row>
    <row r="1933" spans="27:27" ht="12.75" customHeight="1" x14ac:dyDescent="0.25">
      <c r="AA1933" s="57" t="str">
        <f t="shared" si="30"/>
        <v/>
      </c>
    </row>
    <row r="1934" spans="27:27" ht="12.75" customHeight="1" x14ac:dyDescent="0.25">
      <c r="AA1934" s="57" t="str">
        <f t="shared" si="30"/>
        <v/>
      </c>
    </row>
    <row r="1935" spans="27:27" ht="12.75" customHeight="1" x14ac:dyDescent="0.25">
      <c r="AA1935" s="57" t="str">
        <f t="shared" si="30"/>
        <v/>
      </c>
    </row>
    <row r="1936" spans="27:27" ht="12.75" customHeight="1" x14ac:dyDescent="0.25">
      <c r="AA1936" s="57" t="str">
        <f t="shared" si="30"/>
        <v/>
      </c>
    </row>
    <row r="1937" spans="27:27" ht="12.75" customHeight="1" x14ac:dyDescent="0.25">
      <c r="AA1937" s="57" t="str">
        <f t="shared" si="30"/>
        <v/>
      </c>
    </row>
    <row r="1938" spans="27:27" ht="12.75" customHeight="1" x14ac:dyDescent="0.25">
      <c r="AA1938" s="57" t="str">
        <f t="shared" si="30"/>
        <v/>
      </c>
    </row>
    <row r="1939" spans="27:27" ht="12.75" customHeight="1" x14ac:dyDescent="0.25">
      <c r="AA1939" s="57" t="str">
        <f t="shared" si="30"/>
        <v/>
      </c>
    </row>
    <row r="1940" spans="27:27" ht="12.75" customHeight="1" x14ac:dyDescent="0.25">
      <c r="AA1940" s="57" t="str">
        <f t="shared" si="30"/>
        <v/>
      </c>
    </row>
    <row r="1941" spans="27:27" ht="12.75" customHeight="1" x14ac:dyDescent="0.25">
      <c r="AA1941" s="57" t="str">
        <f t="shared" si="30"/>
        <v/>
      </c>
    </row>
    <row r="1942" spans="27:27" ht="12.75" customHeight="1" x14ac:dyDescent="0.25">
      <c r="AA1942" s="57" t="str">
        <f t="shared" si="30"/>
        <v/>
      </c>
    </row>
    <row r="1943" spans="27:27" ht="12.75" customHeight="1" x14ac:dyDescent="0.25">
      <c r="AA1943" s="57" t="str">
        <f t="shared" si="30"/>
        <v/>
      </c>
    </row>
    <row r="1944" spans="27:27" ht="12.75" customHeight="1" x14ac:dyDescent="0.25">
      <c r="AA1944" s="57" t="str">
        <f t="shared" si="30"/>
        <v/>
      </c>
    </row>
    <row r="1945" spans="27:27" ht="12.75" customHeight="1" x14ac:dyDescent="0.25">
      <c r="AA1945" s="57" t="str">
        <f t="shared" si="30"/>
        <v/>
      </c>
    </row>
    <row r="1946" spans="27:27" ht="12.75" customHeight="1" x14ac:dyDescent="0.25">
      <c r="AA1946" s="57" t="str">
        <f t="shared" si="30"/>
        <v/>
      </c>
    </row>
    <row r="1947" spans="27:27" ht="12.75" customHeight="1" x14ac:dyDescent="0.25">
      <c r="AA1947" s="57" t="str">
        <f t="shared" si="30"/>
        <v/>
      </c>
    </row>
    <row r="1948" spans="27:27" ht="12.75" customHeight="1" x14ac:dyDescent="0.25">
      <c r="AA1948" s="57" t="str">
        <f t="shared" si="30"/>
        <v/>
      </c>
    </row>
    <row r="1949" spans="27:27" ht="12.75" customHeight="1" x14ac:dyDescent="0.25">
      <c r="AA1949" s="57" t="str">
        <f t="shared" si="30"/>
        <v/>
      </c>
    </row>
    <row r="1950" spans="27:27" ht="12.75" customHeight="1" x14ac:dyDescent="0.25">
      <c r="AA1950" s="57" t="str">
        <f t="shared" si="30"/>
        <v/>
      </c>
    </row>
    <row r="1951" spans="27:27" ht="12.75" customHeight="1" x14ac:dyDescent="0.25">
      <c r="AA1951" s="57" t="str">
        <f t="shared" si="30"/>
        <v/>
      </c>
    </row>
    <row r="1952" spans="27:27" ht="12.75" customHeight="1" x14ac:dyDescent="0.25">
      <c r="AA1952" s="57" t="str">
        <f t="shared" si="30"/>
        <v/>
      </c>
    </row>
    <row r="1953" spans="27:27" ht="12.75" customHeight="1" x14ac:dyDescent="0.25">
      <c r="AA1953" s="57" t="str">
        <f t="shared" si="30"/>
        <v/>
      </c>
    </row>
    <row r="1954" spans="27:27" ht="12.75" customHeight="1" x14ac:dyDescent="0.25">
      <c r="AA1954" s="57" t="str">
        <f t="shared" si="30"/>
        <v/>
      </c>
    </row>
    <row r="1955" spans="27:27" ht="12.75" customHeight="1" x14ac:dyDescent="0.25">
      <c r="AA1955" s="57" t="str">
        <f t="shared" si="30"/>
        <v/>
      </c>
    </row>
    <row r="1956" spans="27:27" ht="12.75" customHeight="1" x14ac:dyDescent="0.25">
      <c r="AA1956" s="57" t="str">
        <f t="shared" si="30"/>
        <v/>
      </c>
    </row>
    <row r="1957" spans="27:27" ht="12.75" customHeight="1" x14ac:dyDescent="0.25">
      <c r="AA1957" s="57" t="str">
        <f t="shared" si="30"/>
        <v/>
      </c>
    </row>
    <row r="1958" spans="27:27" ht="12.75" customHeight="1" x14ac:dyDescent="0.25">
      <c r="AA1958" s="57" t="str">
        <f t="shared" si="30"/>
        <v/>
      </c>
    </row>
    <row r="1959" spans="27:27" ht="12.75" customHeight="1" x14ac:dyDescent="0.25">
      <c r="AA1959" s="57" t="str">
        <f t="shared" si="30"/>
        <v/>
      </c>
    </row>
    <row r="1960" spans="27:27" ht="12.75" customHeight="1" x14ac:dyDescent="0.25">
      <c r="AA1960" s="57" t="str">
        <f t="shared" si="30"/>
        <v/>
      </c>
    </row>
    <row r="1961" spans="27:27" ht="12.75" customHeight="1" x14ac:dyDescent="0.25">
      <c r="AA1961" s="57" t="str">
        <f t="shared" si="30"/>
        <v/>
      </c>
    </row>
    <row r="1962" spans="27:27" ht="12.75" customHeight="1" x14ac:dyDescent="0.25">
      <c r="AA1962" s="57" t="str">
        <f t="shared" si="30"/>
        <v/>
      </c>
    </row>
    <row r="1963" spans="27:27" ht="12.75" customHeight="1" x14ac:dyDescent="0.25">
      <c r="AA1963" s="57" t="str">
        <f t="shared" si="30"/>
        <v/>
      </c>
    </row>
    <row r="1964" spans="27:27" ht="12.75" customHeight="1" x14ac:dyDescent="0.25">
      <c r="AA1964" s="57" t="str">
        <f t="shared" si="30"/>
        <v/>
      </c>
    </row>
    <row r="1965" spans="27:27" ht="12.75" customHeight="1" x14ac:dyDescent="0.25">
      <c r="AA1965" s="57" t="str">
        <f t="shared" si="30"/>
        <v/>
      </c>
    </row>
    <row r="1966" spans="27:27" ht="12.75" customHeight="1" x14ac:dyDescent="0.25">
      <c r="AA1966" s="57" t="str">
        <f t="shared" si="30"/>
        <v/>
      </c>
    </row>
    <row r="1967" spans="27:27" ht="12.75" customHeight="1" x14ac:dyDescent="0.25">
      <c r="AA1967" s="57" t="str">
        <f t="shared" si="30"/>
        <v/>
      </c>
    </row>
    <row r="1968" spans="27:27" ht="12.75" customHeight="1" x14ac:dyDescent="0.25">
      <c r="AA1968" s="57" t="str">
        <f t="shared" si="30"/>
        <v/>
      </c>
    </row>
    <row r="1969" spans="27:27" ht="12.75" customHeight="1" x14ac:dyDescent="0.25">
      <c r="AA1969" s="57" t="str">
        <f t="shared" si="30"/>
        <v/>
      </c>
    </row>
    <row r="1970" spans="27:27" ht="12.75" customHeight="1" x14ac:dyDescent="0.25">
      <c r="AA1970" s="57" t="str">
        <f t="shared" si="30"/>
        <v/>
      </c>
    </row>
    <row r="1971" spans="27:27" ht="12.75" customHeight="1" x14ac:dyDescent="0.25">
      <c r="AA1971" s="57" t="str">
        <f t="shared" si="30"/>
        <v/>
      </c>
    </row>
    <row r="1972" spans="27:27" ht="12.75" customHeight="1" x14ac:dyDescent="0.25">
      <c r="AA1972" s="57" t="str">
        <f t="shared" si="30"/>
        <v/>
      </c>
    </row>
    <row r="1973" spans="27:27" ht="12.75" customHeight="1" x14ac:dyDescent="0.25">
      <c r="AA1973" s="57" t="str">
        <f t="shared" si="30"/>
        <v/>
      </c>
    </row>
    <row r="1974" spans="27:27" ht="12.75" customHeight="1" x14ac:dyDescent="0.25">
      <c r="AA1974" s="57" t="str">
        <f t="shared" si="30"/>
        <v/>
      </c>
    </row>
    <row r="1975" spans="27:27" ht="12.75" customHeight="1" x14ac:dyDescent="0.25">
      <c r="AA1975" s="57" t="str">
        <f t="shared" si="30"/>
        <v/>
      </c>
    </row>
    <row r="1976" spans="27:27" ht="12.75" customHeight="1" x14ac:dyDescent="0.25">
      <c r="AA1976" s="57" t="str">
        <f t="shared" si="30"/>
        <v/>
      </c>
    </row>
    <row r="1977" spans="27:27" ht="12.75" customHeight="1" x14ac:dyDescent="0.25">
      <c r="AA1977" s="57" t="str">
        <f t="shared" si="30"/>
        <v/>
      </c>
    </row>
    <row r="1978" spans="27:27" ht="12.75" customHeight="1" x14ac:dyDescent="0.25">
      <c r="AA1978" s="57" t="str">
        <f t="shared" si="30"/>
        <v/>
      </c>
    </row>
    <row r="1979" spans="27:27" ht="12.75" customHeight="1" x14ac:dyDescent="0.25">
      <c r="AA1979" s="57" t="str">
        <f t="shared" si="30"/>
        <v/>
      </c>
    </row>
    <row r="1980" spans="27:27" ht="12.75" customHeight="1" x14ac:dyDescent="0.25">
      <c r="AA1980" s="57" t="str">
        <f t="shared" si="30"/>
        <v/>
      </c>
    </row>
    <row r="1981" spans="27:27" ht="12.75" customHeight="1" x14ac:dyDescent="0.25">
      <c r="AA1981" s="57" t="str">
        <f t="shared" si="30"/>
        <v/>
      </c>
    </row>
    <row r="1982" spans="27:27" ht="12.75" customHeight="1" x14ac:dyDescent="0.25">
      <c r="AA1982" s="57" t="str">
        <f t="shared" si="30"/>
        <v/>
      </c>
    </row>
    <row r="1983" spans="27:27" ht="12.75" customHeight="1" x14ac:dyDescent="0.25">
      <c r="AA1983" s="57" t="str">
        <f t="shared" si="30"/>
        <v/>
      </c>
    </row>
    <row r="1984" spans="27:27" ht="12.75" customHeight="1" x14ac:dyDescent="0.25">
      <c r="AA1984" s="57" t="str">
        <f t="shared" si="30"/>
        <v/>
      </c>
    </row>
    <row r="1985" spans="27:27" ht="12.75" customHeight="1" x14ac:dyDescent="0.25">
      <c r="AA1985" s="57" t="str">
        <f t="shared" si="30"/>
        <v/>
      </c>
    </row>
    <row r="1986" spans="27:27" ht="12.75" customHeight="1" x14ac:dyDescent="0.25">
      <c r="AA1986" s="57" t="str">
        <f t="shared" si="30"/>
        <v/>
      </c>
    </row>
    <row r="1987" spans="27:27" ht="12.75" customHeight="1" x14ac:dyDescent="0.25">
      <c r="AA1987" s="57" t="str">
        <f t="shared" si="30"/>
        <v/>
      </c>
    </row>
    <row r="1988" spans="27:27" ht="12.75" customHeight="1" x14ac:dyDescent="0.25">
      <c r="AA1988" s="57" t="str">
        <f t="shared" si="30"/>
        <v/>
      </c>
    </row>
    <row r="1989" spans="27:27" ht="12.75" customHeight="1" x14ac:dyDescent="0.25">
      <c r="AA1989" s="57" t="str">
        <f t="shared" si="30"/>
        <v/>
      </c>
    </row>
    <row r="1990" spans="27:27" ht="12.75" customHeight="1" x14ac:dyDescent="0.25">
      <c r="AA1990" s="57" t="str">
        <f t="shared" si="30"/>
        <v/>
      </c>
    </row>
    <row r="1991" spans="27:27" ht="12.75" customHeight="1" x14ac:dyDescent="0.25">
      <c r="AA1991" s="57" t="str">
        <f t="shared" si="30"/>
        <v/>
      </c>
    </row>
    <row r="1992" spans="27:27" ht="12.75" customHeight="1" x14ac:dyDescent="0.25">
      <c r="AA1992" s="57" t="str">
        <f t="shared" si="30"/>
        <v/>
      </c>
    </row>
    <row r="1993" spans="27:27" ht="12.75" customHeight="1" x14ac:dyDescent="0.25">
      <c r="AA1993" s="57" t="str">
        <f t="shared" si="30"/>
        <v/>
      </c>
    </row>
    <row r="1994" spans="27:27" ht="12.75" customHeight="1" x14ac:dyDescent="0.25">
      <c r="AA1994" s="57" t="str">
        <f t="shared" si="30"/>
        <v/>
      </c>
    </row>
    <row r="1995" spans="27:27" ht="12.75" customHeight="1" x14ac:dyDescent="0.25">
      <c r="AA1995" s="57" t="str">
        <f t="shared" si="30"/>
        <v/>
      </c>
    </row>
    <row r="1996" spans="27:27" ht="12.75" customHeight="1" x14ac:dyDescent="0.25">
      <c r="AA1996" s="57" t="str">
        <f t="shared" ref="AA1996:AA2059" si="31">IFERROR(
IF(AND(X1996="Não",Y1996="Sim"),"REP",
IF(AND(X1996="Sim",Y1996="Não"),"Técnico",
IF(AND(X1996="Sim",Y1996="Sim"),"Ambos",""))),
"")</f>
        <v/>
      </c>
    </row>
    <row r="1997" spans="27:27" ht="12.75" customHeight="1" x14ac:dyDescent="0.25">
      <c r="AA1997" s="57" t="str">
        <f t="shared" si="31"/>
        <v/>
      </c>
    </row>
    <row r="1998" spans="27:27" ht="12.75" customHeight="1" x14ac:dyDescent="0.25">
      <c r="AA1998" s="57" t="str">
        <f t="shared" si="31"/>
        <v/>
      </c>
    </row>
    <row r="1999" spans="27:27" ht="12.75" customHeight="1" x14ac:dyDescent="0.25">
      <c r="AA1999" s="57" t="str">
        <f t="shared" si="31"/>
        <v/>
      </c>
    </row>
    <row r="2000" spans="27:27" ht="12.75" customHeight="1" x14ac:dyDescent="0.25">
      <c r="AA2000" s="57" t="str">
        <f t="shared" si="31"/>
        <v/>
      </c>
    </row>
    <row r="2001" spans="27:27" ht="12.75" customHeight="1" x14ac:dyDescent="0.25">
      <c r="AA2001" s="57" t="str">
        <f t="shared" si="31"/>
        <v/>
      </c>
    </row>
    <row r="2002" spans="27:27" ht="12.75" customHeight="1" x14ac:dyDescent="0.25">
      <c r="AA2002" s="57" t="str">
        <f t="shared" si="31"/>
        <v/>
      </c>
    </row>
    <row r="2003" spans="27:27" ht="12.75" customHeight="1" x14ac:dyDescent="0.25">
      <c r="AA2003" s="57" t="str">
        <f t="shared" si="31"/>
        <v/>
      </c>
    </row>
    <row r="2004" spans="27:27" ht="12.75" customHeight="1" x14ac:dyDescent="0.25">
      <c r="AA2004" s="57" t="str">
        <f t="shared" si="31"/>
        <v/>
      </c>
    </row>
    <row r="2005" spans="27:27" ht="12.75" customHeight="1" x14ac:dyDescent="0.25">
      <c r="AA2005" s="57" t="str">
        <f t="shared" si="31"/>
        <v/>
      </c>
    </row>
    <row r="2006" spans="27:27" ht="12.75" customHeight="1" x14ac:dyDescent="0.25">
      <c r="AA2006" s="57" t="str">
        <f t="shared" si="31"/>
        <v/>
      </c>
    </row>
    <row r="2007" spans="27:27" ht="12.75" customHeight="1" x14ac:dyDescent="0.25">
      <c r="AA2007" s="57" t="str">
        <f t="shared" si="31"/>
        <v/>
      </c>
    </row>
    <row r="2008" spans="27:27" ht="12.75" customHeight="1" x14ac:dyDescent="0.25">
      <c r="AA2008" s="57" t="str">
        <f t="shared" si="31"/>
        <v/>
      </c>
    </row>
    <row r="2009" spans="27:27" ht="12.75" customHeight="1" x14ac:dyDescent="0.25">
      <c r="AA2009" s="57" t="str">
        <f t="shared" si="31"/>
        <v/>
      </c>
    </row>
    <row r="2010" spans="27:27" ht="12.75" customHeight="1" x14ac:dyDescent="0.25">
      <c r="AA2010" s="57" t="str">
        <f t="shared" si="31"/>
        <v/>
      </c>
    </row>
    <row r="2011" spans="27:27" ht="12.75" customHeight="1" x14ac:dyDescent="0.25">
      <c r="AA2011" s="57" t="str">
        <f t="shared" si="31"/>
        <v/>
      </c>
    </row>
    <row r="2012" spans="27:27" ht="12.75" customHeight="1" x14ac:dyDescent="0.25">
      <c r="AA2012" s="57" t="str">
        <f t="shared" si="31"/>
        <v/>
      </c>
    </row>
    <row r="2013" spans="27:27" ht="12.75" customHeight="1" x14ac:dyDescent="0.25">
      <c r="AA2013" s="57" t="str">
        <f t="shared" si="31"/>
        <v/>
      </c>
    </row>
    <row r="2014" spans="27:27" ht="12.75" customHeight="1" x14ac:dyDescent="0.25">
      <c r="AA2014" s="57" t="str">
        <f t="shared" si="31"/>
        <v/>
      </c>
    </row>
    <row r="2015" spans="27:27" ht="12.75" customHeight="1" x14ac:dyDescent="0.25">
      <c r="AA2015" s="57" t="str">
        <f t="shared" si="31"/>
        <v/>
      </c>
    </row>
    <row r="2016" spans="27:27" ht="12.75" customHeight="1" x14ac:dyDescent="0.25">
      <c r="AA2016" s="57" t="str">
        <f t="shared" si="31"/>
        <v/>
      </c>
    </row>
    <row r="2017" spans="27:27" ht="12.75" customHeight="1" x14ac:dyDescent="0.25">
      <c r="AA2017" s="57" t="str">
        <f t="shared" si="31"/>
        <v/>
      </c>
    </row>
    <row r="2018" spans="27:27" ht="12.75" customHeight="1" x14ac:dyDescent="0.25">
      <c r="AA2018" s="57" t="str">
        <f t="shared" si="31"/>
        <v/>
      </c>
    </row>
    <row r="2019" spans="27:27" ht="12.75" customHeight="1" x14ac:dyDescent="0.25">
      <c r="AA2019" s="57" t="str">
        <f t="shared" si="31"/>
        <v/>
      </c>
    </row>
    <row r="2020" spans="27:27" ht="12.75" customHeight="1" x14ac:dyDescent="0.25">
      <c r="AA2020" s="57" t="str">
        <f t="shared" si="31"/>
        <v/>
      </c>
    </row>
    <row r="2021" spans="27:27" ht="12.75" customHeight="1" x14ac:dyDescent="0.25">
      <c r="AA2021" s="57" t="str">
        <f t="shared" si="31"/>
        <v/>
      </c>
    </row>
    <row r="2022" spans="27:27" ht="12.75" customHeight="1" x14ac:dyDescent="0.25">
      <c r="AA2022" s="57" t="str">
        <f t="shared" si="31"/>
        <v/>
      </c>
    </row>
    <row r="2023" spans="27:27" ht="12.75" customHeight="1" x14ac:dyDescent="0.25">
      <c r="AA2023" s="57" t="str">
        <f t="shared" si="31"/>
        <v/>
      </c>
    </row>
    <row r="2024" spans="27:27" ht="12.75" customHeight="1" x14ac:dyDescent="0.25">
      <c r="AA2024" s="57" t="str">
        <f t="shared" si="31"/>
        <v/>
      </c>
    </row>
    <row r="2025" spans="27:27" ht="12.75" customHeight="1" x14ac:dyDescent="0.25">
      <c r="AA2025" s="57" t="str">
        <f t="shared" si="31"/>
        <v/>
      </c>
    </row>
    <row r="2026" spans="27:27" ht="12.75" customHeight="1" x14ac:dyDescent="0.25">
      <c r="AA2026" s="57" t="str">
        <f t="shared" si="31"/>
        <v/>
      </c>
    </row>
    <row r="2027" spans="27:27" ht="12.75" customHeight="1" x14ac:dyDescent="0.25">
      <c r="AA2027" s="57" t="str">
        <f t="shared" si="31"/>
        <v/>
      </c>
    </row>
    <row r="2028" spans="27:27" ht="12.75" customHeight="1" x14ac:dyDescent="0.25">
      <c r="AA2028" s="57" t="str">
        <f t="shared" si="31"/>
        <v/>
      </c>
    </row>
    <row r="2029" spans="27:27" ht="12.75" customHeight="1" x14ac:dyDescent="0.25">
      <c r="AA2029" s="57" t="str">
        <f t="shared" si="31"/>
        <v/>
      </c>
    </row>
    <row r="2030" spans="27:27" ht="12.75" customHeight="1" x14ac:dyDescent="0.25">
      <c r="AA2030" s="57" t="str">
        <f t="shared" si="31"/>
        <v/>
      </c>
    </row>
    <row r="2031" spans="27:27" ht="12.75" customHeight="1" x14ac:dyDescent="0.25">
      <c r="AA2031" s="57" t="str">
        <f t="shared" si="31"/>
        <v/>
      </c>
    </row>
    <row r="2032" spans="27:27" ht="12.75" customHeight="1" x14ac:dyDescent="0.25">
      <c r="AA2032" s="57" t="str">
        <f t="shared" si="31"/>
        <v/>
      </c>
    </row>
    <row r="2033" spans="27:27" ht="12.75" customHeight="1" x14ac:dyDescent="0.25">
      <c r="AA2033" s="57" t="str">
        <f t="shared" si="31"/>
        <v/>
      </c>
    </row>
    <row r="2034" spans="27:27" ht="12.75" customHeight="1" x14ac:dyDescent="0.25">
      <c r="AA2034" s="57" t="str">
        <f t="shared" si="31"/>
        <v/>
      </c>
    </row>
    <row r="2035" spans="27:27" ht="12.75" customHeight="1" x14ac:dyDescent="0.25">
      <c r="AA2035" s="57" t="str">
        <f t="shared" si="31"/>
        <v/>
      </c>
    </row>
    <row r="2036" spans="27:27" ht="12.75" customHeight="1" x14ac:dyDescent="0.25">
      <c r="AA2036" s="57" t="str">
        <f t="shared" si="31"/>
        <v/>
      </c>
    </row>
    <row r="2037" spans="27:27" ht="12.75" customHeight="1" x14ac:dyDescent="0.25">
      <c r="AA2037" s="57" t="str">
        <f t="shared" si="31"/>
        <v/>
      </c>
    </row>
    <row r="2038" spans="27:27" ht="12.75" customHeight="1" x14ac:dyDescent="0.25">
      <c r="AA2038" s="57" t="str">
        <f t="shared" si="31"/>
        <v/>
      </c>
    </row>
    <row r="2039" spans="27:27" ht="12.75" customHeight="1" x14ac:dyDescent="0.25">
      <c r="AA2039" s="57" t="str">
        <f t="shared" si="31"/>
        <v/>
      </c>
    </row>
    <row r="2040" spans="27:27" ht="12.75" customHeight="1" x14ac:dyDescent="0.25">
      <c r="AA2040" s="57" t="str">
        <f t="shared" si="31"/>
        <v/>
      </c>
    </row>
    <row r="2041" spans="27:27" ht="12.75" customHeight="1" x14ac:dyDescent="0.25">
      <c r="AA2041" s="57" t="str">
        <f t="shared" si="31"/>
        <v/>
      </c>
    </row>
    <row r="2042" spans="27:27" ht="12.75" customHeight="1" x14ac:dyDescent="0.25">
      <c r="AA2042" s="57" t="str">
        <f t="shared" si="31"/>
        <v/>
      </c>
    </row>
    <row r="2043" spans="27:27" ht="12.75" customHeight="1" x14ac:dyDescent="0.25">
      <c r="AA2043" s="57" t="str">
        <f t="shared" si="31"/>
        <v/>
      </c>
    </row>
    <row r="2044" spans="27:27" ht="12.75" customHeight="1" x14ac:dyDescent="0.25">
      <c r="AA2044" s="57" t="str">
        <f t="shared" si="31"/>
        <v/>
      </c>
    </row>
    <row r="2045" spans="27:27" ht="12.75" customHeight="1" x14ac:dyDescent="0.25">
      <c r="AA2045" s="57" t="str">
        <f t="shared" si="31"/>
        <v/>
      </c>
    </row>
    <row r="2046" spans="27:27" ht="12.75" customHeight="1" x14ac:dyDescent="0.25">
      <c r="AA2046" s="57" t="str">
        <f t="shared" si="31"/>
        <v/>
      </c>
    </row>
    <row r="2047" spans="27:27" ht="12.75" customHeight="1" x14ac:dyDescent="0.25">
      <c r="AA2047" s="57" t="str">
        <f t="shared" si="31"/>
        <v/>
      </c>
    </row>
    <row r="2048" spans="27:27" ht="12.75" customHeight="1" x14ac:dyDescent="0.25">
      <c r="AA2048" s="57" t="str">
        <f t="shared" si="31"/>
        <v/>
      </c>
    </row>
    <row r="2049" spans="27:27" ht="12.75" customHeight="1" x14ac:dyDescent="0.25">
      <c r="AA2049" s="57" t="str">
        <f t="shared" si="31"/>
        <v/>
      </c>
    </row>
    <row r="2050" spans="27:27" ht="12.75" customHeight="1" x14ac:dyDescent="0.25">
      <c r="AA2050" s="57" t="str">
        <f t="shared" si="31"/>
        <v/>
      </c>
    </row>
    <row r="2051" spans="27:27" ht="12.75" customHeight="1" x14ac:dyDescent="0.25">
      <c r="AA2051" s="57" t="str">
        <f t="shared" si="31"/>
        <v/>
      </c>
    </row>
    <row r="2052" spans="27:27" ht="12.75" customHeight="1" x14ac:dyDescent="0.25">
      <c r="AA2052" s="57" t="str">
        <f t="shared" si="31"/>
        <v/>
      </c>
    </row>
    <row r="2053" spans="27:27" ht="12.75" customHeight="1" x14ac:dyDescent="0.25">
      <c r="AA2053" s="57" t="str">
        <f t="shared" si="31"/>
        <v/>
      </c>
    </row>
    <row r="2054" spans="27:27" ht="12.75" customHeight="1" x14ac:dyDescent="0.25">
      <c r="AA2054" s="57" t="str">
        <f t="shared" si="31"/>
        <v/>
      </c>
    </row>
    <row r="2055" spans="27:27" ht="12.75" customHeight="1" x14ac:dyDescent="0.25">
      <c r="AA2055" s="57" t="str">
        <f t="shared" si="31"/>
        <v/>
      </c>
    </row>
    <row r="2056" spans="27:27" ht="12.75" customHeight="1" x14ac:dyDescent="0.25">
      <c r="AA2056" s="57" t="str">
        <f t="shared" si="31"/>
        <v/>
      </c>
    </row>
    <row r="2057" spans="27:27" ht="12.75" customHeight="1" x14ac:dyDescent="0.25">
      <c r="AA2057" s="57" t="str">
        <f t="shared" si="31"/>
        <v/>
      </c>
    </row>
    <row r="2058" spans="27:27" ht="12.75" customHeight="1" x14ac:dyDescent="0.25">
      <c r="AA2058" s="57" t="str">
        <f t="shared" si="31"/>
        <v/>
      </c>
    </row>
    <row r="2059" spans="27:27" ht="12.75" customHeight="1" x14ac:dyDescent="0.25">
      <c r="AA2059" s="57" t="str">
        <f t="shared" si="31"/>
        <v/>
      </c>
    </row>
    <row r="2060" spans="27:27" ht="12.75" customHeight="1" x14ac:dyDescent="0.25">
      <c r="AA2060" s="57" t="str">
        <f t="shared" ref="AA2060:AA2123" si="32">IFERROR(
IF(AND(X2060="Não",Y2060="Sim"),"REP",
IF(AND(X2060="Sim",Y2060="Não"),"Técnico",
IF(AND(X2060="Sim",Y2060="Sim"),"Ambos",""))),
"")</f>
        <v/>
      </c>
    </row>
    <row r="2061" spans="27:27" ht="12.75" customHeight="1" x14ac:dyDescent="0.25">
      <c r="AA2061" s="57" t="str">
        <f t="shared" si="32"/>
        <v/>
      </c>
    </row>
    <row r="2062" spans="27:27" ht="12.75" customHeight="1" x14ac:dyDescent="0.25">
      <c r="AA2062" s="57" t="str">
        <f t="shared" si="32"/>
        <v/>
      </c>
    </row>
    <row r="2063" spans="27:27" ht="12.75" customHeight="1" x14ac:dyDescent="0.25">
      <c r="AA2063" s="57" t="str">
        <f t="shared" si="32"/>
        <v/>
      </c>
    </row>
    <row r="2064" spans="27:27" ht="12.75" customHeight="1" x14ac:dyDescent="0.25">
      <c r="AA2064" s="57" t="str">
        <f t="shared" si="32"/>
        <v/>
      </c>
    </row>
    <row r="2065" spans="27:27" ht="12.75" customHeight="1" x14ac:dyDescent="0.25">
      <c r="AA2065" s="57" t="str">
        <f t="shared" si="32"/>
        <v/>
      </c>
    </row>
    <row r="2066" spans="27:27" ht="12.75" customHeight="1" x14ac:dyDescent="0.25">
      <c r="AA2066" s="57" t="str">
        <f t="shared" si="32"/>
        <v/>
      </c>
    </row>
    <row r="2067" spans="27:27" ht="12.75" customHeight="1" x14ac:dyDescent="0.25">
      <c r="AA2067" s="57" t="str">
        <f t="shared" si="32"/>
        <v/>
      </c>
    </row>
    <row r="2068" spans="27:27" ht="12.75" customHeight="1" x14ac:dyDescent="0.25">
      <c r="AA2068" s="57" t="str">
        <f t="shared" si="32"/>
        <v/>
      </c>
    </row>
    <row r="2069" spans="27:27" ht="12.75" customHeight="1" x14ac:dyDescent="0.25">
      <c r="AA2069" s="57" t="str">
        <f t="shared" si="32"/>
        <v/>
      </c>
    </row>
    <row r="2070" spans="27:27" ht="12.75" customHeight="1" x14ac:dyDescent="0.25">
      <c r="AA2070" s="57" t="str">
        <f t="shared" si="32"/>
        <v/>
      </c>
    </row>
    <row r="2071" spans="27:27" ht="12.75" customHeight="1" x14ac:dyDescent="0.25">
      <c r="AA2071" s="57" t="str">
        <f t="shared" si="32"/>
        <v/>
      </c>
    </row>
    <row r="2072" spans="27:27" ht="12.75" customHeight="1" x14ac:dyDescent="0.25">
      <c r="AA2072" s="57" t="str">
        <f t="shared" si="32"/>
        <v/>
      </c>
    </row>
    <row r="2073" spans="27:27" ht="12.75" customHeight="1" x14ac:dyDescent="0.25">
      <c r="AA2073" s="57" t="str">
        <f t="shared" si="32"/>
        <v/>
      </c>
    </row>
    <row r="2074" spans="27:27" ht="12.75" customHeight="1" x14ac:dyDescent="0.25">
      <c r="AA2074" s="57" t="str">
        <f t="shared" si="32"/>
        <v/>
      </c>
    </row>
    <row r="2075" spans="27:27" ht="12.75" customHeight="1" x14ac:dyDescent="0.25">
      <c r="AA2075" s="57" t="str">
        <f t="shared" si="32"/>
        <v/>
      </c>
    </row>
    <row r="2076" spans="27:27" ht="12.75" customHeight="1" x14ac:dyDescent="0.25">
      <c r="AA2076" s="57" t="str">
        <f t="shared" si="32"/>
        <v/>
      </c>
    </row>
    <row r="2077" spans="27:27" ht="12.75" customHeight="1" x14ac:dyDescent="0.25">
      <c r="AA2077" s="57" t="str">
        <f t="shared" si="32"/>
        <v/>
      </c>
    </row>
    <row r="2078" spans="27:27" ht="12.75" customHeight="1" x14ac:dyDescent="0.25">
      <c r="AA2078" s="57" t="str">
        <f t="shared" si="32"/>
        <v/>
      </c>
    </row>
    <row r="2079" spans="27:27" ht="12.75" customHeight="1" x14ac:dyDescent="0.25">
      <c r="AA2079" s="57" t="str">
        <f t="shared" si="32"/>
        <v/>
      </c>
    </row>
    <row r="2080" spans="27:27" ht="12.75" customHeight="1" x14ac:dyDescent="0.25">
      <c r="AA2080" s="57" t="str">
        <f t="shared" si="32"/>
        <v/>
      </c>
    </row>
    <row r="2081" spans="27:27" ht="12.75" customHeight="1" x14ac:dyDescent="0.25">
      <c r="AA2081" s="57" t="str">
        <f t="shared" si="32"/>
        <v/>
      </c>
    </row>
    <row r="2082" spans="27:27" ht="12.75" customHeight="1" x14ac:dyDescent="0.25">
      <c r="AA2082" s="57" t="str">
        <f t="shared" si="32"/>
        <v/>
      </c>
    </row>
    <row r="2083" spans="27:27" ht="12.75" customHeight="1" x14ac:dyDescent="0.25">
      <c r="AA2083" s="57" t="str">
        <f t="shared" si="32"/>
        <v/>
      </c>
    </row>
    <row r="2084" spans="27:27" ht="12.75" customHeight="1" x14ac:dyDescent="0.25">
      <c r="AA2084" s="57" t="str">
        <f t="shared" si="32"/>
        <v/>
      </c>
    </row>
    <row r="2085" spans="27:27" ht="12.75" customHeight="1" x14ac:dyDescent="0.25">
      <c r="AA2085" s="57" t="str">
        <f t="shared" si="32"/>
        <v/>
      </c>
    </row>
    <row r="2086" spans="27:27" ht="12.75" customHeight="1" x14ac:dyDescent="0.25">
      <c r="AA2086" s="57" t="str">
        <f t="shared" si="32"/>
        <v/>
      </c>
    </row>
    <row r="2087" spans="27:27" ht="12.75" customHeight="1" x14ac:dyDescent="0.25">
      <c r="AA2087" s="57" t="str">
        <f t="shared" si="32"/>
        <v/>
      </c>
    </row>
    <row r="2088" spans="27:27" ht="12.75" customHeight="1" x14ac:dyDescent="0.25">
      <c r="AA2088" s="57" t="str">
        <f t="shared" si="32"/>
        <v/>
      </c>
    </row>
    <row r="2089" spans="27:27" ht="12.75" customHeight="1" x14ac:dyDescent="0.25">
      <c r="AA2089" s="57" t="str">
        <f t="shared" si="32"/>
        <v/>
      </c>
    </row>
    <row r="2090" spans="27:27" ht="12.75" customHeight="1" x14ac:dyDescent="0.25">
      <c r="AA2090" s="57" t="str">
        <f t="shared" si="32"/>
        <v/>
      </c>
    </row>
    <row r="2091" spans="27:27" ht="12.75" customHeight="1" x14ac:dyDescent="0.25">
      <c r="AA2091" s="57" t="str">
        <f t="shared" si="32"/>
        <v/>
      </c>
    </row>
    <row r="2092" spans="27:27" ht="12.75" customHeight="1" x14ac:dyDescent="0.25">
      <c r="AA2092" s="57" t="str">
        <f t="shared" si="32"/>
        <v/>
      </c>
    </row>
    <row r="2093" spans="27:27" ht="12.75" customHeight="1" x14ac:dyDescent="0.25">
      <c r="AA2093" s="57" t="str">
        <f t="shared" si="32"/>
        <v/>
      </c>
    </row>
    <row r="2094" spans="27:27" ht="12.75" customHeight="1" x14ac:dyDescent="0.25">
      <c r="AA2094" s="57" t="str">
        <f t="shared" si="32"/>
        <v/>
      </c>
    </row>
    <row r="2095" spans="27:27" ht="12.75" customHeight="1" x14ac:dyDescent="0.25">
      <c r="AA2095" s="57" t="str">
        <f t="shared" si="32"/>
        <v/>
      </c>
    </row>
    <row r="2096" spans="27:27" ht="12.75" customHeight="1" x14ac:dyDescent="0.25">
      <c r="AA2096" s="57" t="str">
        <f t="shared" si="32"/>
        <v/>
      </c>
    </row>
    <row r="2097" spans="27:27" ht="12.75" customHeight="1" x14ac:dyDescent="0.25">
      <c r="AA2097" s="57" t="str">
        <f t="shared" si="32"/>
        <v/>
      </c>
    </row>
    <row r="2098" spans="27:27" ht="12.75" customHeight="1" x14ac:dyDescent="0.25">
      <c r="AA2098" s="57" t="str">
        <f t="shared" si="32"/>
        <v/>
      </c>
    </row>
    <row r="2099" spans="27:27" ht="12.75" customHeight="1" x14ac:dyDescent="0.25">
      <c r="AA2099" s="57" t="str">
        <f t="shared" si="32"/>
        <v/>
      </c>
    </row>
    <row r="2100" spans="27:27" ht="12.75" customHeight="1" x14ac:dyDescent="0.25">
      <c r="AA2100" s="57" t="str">
        <f t="shared" si="32"/>
        <v/>
      </c>
    </row>
    <row r="2101" spans="27:27" ht="12.75" customHeight="1" x14ac:dyDescent="0.25">
      <c r="AA2101" s="57" t="str">
        <f t="shared" si="32"/>
        <v/>
      </c>
    </row>
    <row r="2102" spans="27:27" ht="12.75" customHeight="1" x14ac:dyDescent="0.25">
      <c r="AA2102" s="57" t="str">
        <f t="shared" si="32"/>
        <v/>
      </c>
    </row>
    <row r="2103" spans="27:27" ht="12.75" customHeight="1" x14ac:dyDescent="0.25">
      <c r="AA2103" s="57" t="str">
        <f t="shared" si="32"/>
        <v/>
      </c>
    </row>
    <row r="2104" spans="27:27" ht="12.75" customHeight="1" x14ac:dyDescent="0.25">
      <c r="AA2104" s="57" t="str">
        <f t="shared" si="32"/>
        <v/>
      </c>
    </row>
    <row r="2105" spans="27:27" ht="12.75" customHeight="1" x14ac:dyDescent="0.25">
      <c r="AA2105" s="57" t="str">
        <f t="shared" si="32"/>
        <v/>
      </c>
    </row>
    <row r="2106" spans="27:27" ht="12.75" customHeight="1" x14ac:dyDescent="0.25">
      <c r="AA2106" s="57" t="str">
        <f t="shared" si="32"/>
        <v/>
      </c>
    </row>
    <row r="2107" spans="27:27" ht="12.75" customHeight="1" x14ac:dyDescent="0.25">
      <c r="AA2107" s="57" t="str">
        <f t="shared" si="32"/>
        <v/>
      </c>
    </row>
    <row r="2108" spans="27:27" ht="12.75" customHeight="1" x14ac:dyDescent="0.25">
      <c r="AA2108" s="57" t="str">
        <f t="shared" si="32"/>
        <v/>
      </c>
    </row>
    <row r="2109" spans="27:27" ht="12.75" customHeight="1" x14ac:dyDescent="0.25">
      <c r="AA2109" s="57" t="str">
        <f t="shared" si="32"/>
        <v/>
      </c>
    </row>
    <row r="2110" spans="27:27" ht="12.75" customHeight="1" x14ac:dyDescent="0.25">
      <c r="AA2110" s="57" t="str">
        <f t="shared" si="32"/>
        <v/>
      </c>
    </row>
    <row r="2111" spans="27:27" ht="12.75" customHeight="1" x14ac:dyDescent="0.25">
      <c r="AA2111" s="57" t="str">
        <f t="shared" si="32"/>
        <v/>
      </c>
    </row>
    <row r="2112" spans="27:27" ht="12.75" customHeight="1" x14ac:dyDescent="0.25">
      <c r="AA2112" s="57" t="str">
        <f t="shared" si="32"/>
        <v/>
      </c>
    </row>
    <row r="2113" spans="27:27" ht="12.75" customHeight="1" x14ac:dyDescent="0.25">
      <c r="AA2113" s="57" t="str">
        <f t="shared" si="32"/>
        <v/>
      </c>
    </row>
    <row r="2114" spans="27:27" ht="12.75" customHeight="1" x14ac:dyDescent="0.25">
      <c r="AA2114" s="57" t="str">
        <f t="shared" si="32"/>
        <v/>
      </c>
    </row>
    <row r="2115" spans="27:27" ht="12.75" customHeight="1" x14ac:dyDescent="0.25">
      <c r="AA2115" s="57" t="str">
        <f t="shared" si="32"/>
        <v/>
      </c>
    </row>
    <row r="2116" spans="27:27" ht="12.75" customHeight="1" x14ac:dyDescent="0.25">
      <c r="AA2116" s="57" t="str">
        <f t="shared" si="32"/>
        <v/>
      </c>
    </row>
    <row r="2117" spans="27:27" ht="12.75" customHeight="1" x14ac:dyDescent="0.25">
      <c r="AA2117" s="57" t="str">
        <f t="shared" si="32"/>
        <v/>
      </c>
    </row>
    <row r="2118" spans="27:27" ht="12.75" customHeight="1" x14ac:dyDescent="0.25">
      <c r="AA2118" s="57" t="str">
        <f t="shared" si="32"/>
        <v/>
      </c>
    </row>
    <row r="2119" spans="27:27" ht="12.75" customHeight="1" x14ac:dyDescent="0.25">
      <c r="AA2119" s="57" t="str">
        <f t="shared" si="32"/>
        <v/>
      </c>
    </row>
    <row r="2120" spans="27:27" ht="12.75" customHeight="1" x14ac:dyDescent="0.25">
      <c r="AA2120" s="57" t="str">
        <f t="shared" si="32"/>
        <v/>
      </c>
    </row>
    <row r="2121" spans="27:27" ht="12.75" customHeight="1" x14ac:dyDescent="0.25">
      <c r="AA2121" s="57" t="str">
        <f t="shared" si="32"/>
        <v/>
      </c>
    </row>
    <row r="2122" spans="27:27" ht="12.75" customHeight="1" x14ac:dyDescent="0.25">
      <c r="AA2122" s="57" t="str">
        <f t="shared" si="32"/>
        <v/>
      </c>
    </row>
    <row r="2123" spans="27:27" ht="12.75" customHeight="1" x14ac:dyDescent="0.25">
      <c r="AA2123" s="57" t="str">
        <f t="shared" si="32"/>
        <v/>
      </c>
    </row>
    <row r="2124" spans="27:27" ht="12.75" customHeight="1" x14ac:dyDescent="0.25">
      <c r="AA2124" s="57" t="str">
        <f t="shared" ref="AA2124:AA2187" si="33">IFERROR(
IF(AND(X2124="Não",Y2124="Sim"),"REP",
IF(AND(X2124="Sim",Y2124="Não"),"Técnico",
IF(AND(X2124="Sim",Y2124="Sim"),"Ambos",""))),
"")</f>
        <v/>
      </c>
    </row>
    <row r="2125" spans="27:27" ht="12.75" customHeight="1" x14ac:dyDescent="0.25">
      <c r="AA2125" s="57" t="str">
        <f t="shared" si="33"/>
        <v/>
      </c>
    </row>
    <row r="2126" spans="27:27" ht="12.75" customHeight="1" x14ac:dyDescent="0.25">
      <c r="AA2126" s="57" t="str">
        <f t="shared" si="33"/>
        <v/>
      </c>
    </row>
    <row r="2127" spans="27:27" ht="12.75" customHeight="1" x14ac:dyDescent="0.25">
      <c r="AA2127" s="57" t="str">
        <f t="shared" si="33"/>
        <v/>
      </c>
    </row>
    <row r="2128" spans="27:27" ht="12.75" customHeight="1" x14ac:dyDescent="0.25">
      <c r="AA2128" s="57" t="str">
        <f t="shared" si="33"/>
        <v/>
      </c>
    </row>
    <row r="2129" spans="27:27" ht="12.75" customHeight="1" x14ac:dyDescent="0.25">
      <c r="AA2129" s="57" t="str">
        <f t="shared" si="33"/>
        <v/>
      </c>
    </row>
    <row r="2130" spans="27:27" ht="12.75" customHeight="1" x14ac:dyDescent="0.25">
      <c r="AA2130" s="57" t="str">
        <f t="shared" si="33"/>
        <v/>
      </c>
    </row>
    <row r="2131" spans="27:27" ht="12.75" customHeight="1" x14ac:dyDescent="0.25">
      <c r="AA2131" s="57" t="str">
        <f t="shared" si="33"/>
        <v/>
      </c>
    </row>
    <row r="2132" spans="27:27" ht="12.75" customHeight="1" x14ac:dyDescent="0.25">
      <c r="AA2132" s="57" t="str">
        <f t="shared" si="33"/>
        <v/>
      </c>
    </row>
    <row r="2133" spans="27:27" ht="12.75" customHeight="1" x14ac:dyDescent="0.25">
      <c r="AA2133" s="57" t="str">
        <f t="shared" si="33"/>
        <v/>
      </c>
    </row>
    <row r="2134" spans="27:27" ht="12.75" customHeight="1" x14ac:dyDescent="0.25">
      <c r="AA2134" s="57" t="str">
        <f t="shared" si="33"/>
        <v/>
      </c>
    </row>
    <row r="2135" spans="27:27" ht="12.75" customHeight="1" x14ac:dyDescent="0.25">
      <c r="AA2135" s="57" t="str">
        <f t="shared" si="33"/>
        <v/>
      </c>
    </row>
    <row r="2136" spans="27:27" ht="12.75" customHeight="1" x14ac:dyDescent="0.25">
      <c r="AA2136" s="57" t="str">
        <f t="shared" si="33"/>
        <v/>
      </c>
    </row>
    <row r="2137" spans="27:27" ht="12.75" customHeight="1" x14ac:dyDescent="0.25">
      <c r="AA2137" s="57" t="str">
        <f t="shared" si="33"/>
        <v/>
      </c>
    </row>
    <row r="2138" spans="27:27" ht="12.75" customHeight="1" x14ac:dyDescent="0.25">
      <c r="AA2138" s="57" t="str">
        <f t="shared" si="33"/>
        <v/>
      </c>
    </row>
    <row r="2139" spans="27:27" ht="12.75" customHeight="1" x14ac:dyDescent="0.25">
      <c r="AA2139" s="57" t="str">
        <f t="shared" si="33"/>
        <v/>
      </c>
    </row>
    <row r="2140" spans="27:27" ht="12.75" customHeight="1" x14ac:dyDescent="0.25">
      <c r="AA2140" s="57" t="str">
        <f t="shared" si="33"/>
        <v/>
      </c>
    </row>
    <row r="2141" spans="27:27" ht="12.75" customHeight="1" x14ac:dyDescent="0.25">
      <c r="AA2141" s="57" t="str">
        <f t="shared" si="33"/>
        <v/>
      </c>
    </row>
    <row r="2142" spans="27:27" ht="12.75" customHeight="1" x14ac:dyDescent="0.25">
      <c r="AA2142" s="57" t="str">
        <f t="shared" si="33"/>
        <v/>
      </c>
    </row>
    <row r="2143" spans="27:27" ht="12.75" customHeight="1" x14ac:dyDescent="0.25">
      <c r="AA2143" s="57" t="str">
        <f t="shared" si="33"/>
        <v/>
      </c>
    </row>
    <row r="2144" spans="27:27" ht="12.75" customHeight="1" x14ac:dyDescent="0.25">
      <c r="AA2144" s="57" t="str">
        <f t="shared" si="33"/>
        <v/>
      </c>
    </row>
    <row r="2145" spans="27:27" ht="12.75" customHeight="1" x14ac:dyDescent="0.25">
      <c r="AA2145" s="57" t="str">
        <f t="shared" si="33"/>
        <v/>
      </c>
    </row>
    <row r="2146" spans="27:27" ht="12.75" customHeight="1" x14ac:dyDescent="0.25">
      <c r="AA2146" s="57" t="str">
        <f t="shared" si="33"/>
        <v/>
      </c>
    </row>
    <row r="2147" spans="27:27" ht="12.75" customHeight="1" x14ac:dyDescent="0.25">
      <c r="AA2147" s="57" t="str">
        <f t="shared" si="33"/>
        <v/>
      </c>
    </row>
    <row r="2148" spans="27:27" ht="12.75" customHeight="1" x14ac:dyDescent="0.25">
      <c r="AA2148" s="57" t="str">
        <f t="shared" si="33"/>
        <v/>
      </c>
    </row>
    <row r="2149" spans="27:27" ht="12.75" customHeight="1" x14ac:dyDescent="0.25">
      <c r="AA2149" s="57" t="str">
        <f t="shared" si="33"/>
        <v/>
      </c>
    </row>
    <row r="2150" spans="27:27" ht="12.75" customHeight="1" x14ac:dyDescent="0.25">
      <c r="AA2150" s="57" t="str">
        <f t="shared" si="33"/>
        <v/>
      </c>
    </row>
    <row r="2151" spans="27:27" ht="12.75" customHeight="1" x14ac:dyDescent="0.25">
      <c r="AA2151" s="57" t="str">
        <f t="shared" si="33"/>
        <v/>
      </c>
    </row>
    <row r="2152" spans="27:27" ht="12.75" customHeight="1" x14ac:dyDescent="0.25">
      <c r="AA2152" s="57" t="str">
        <f t="shared" si="33"/>
        <v/>
      </c>
    </row>
    <row r="2153" spans="27:27" ht="12.75" customHeight="1" x14ac:dyDescent="0.25">
      <c r="AA2153" s="57" t="str">
        <f t="shared" si="33"/>
        <v/>
      </c>
    </row>
    <row r="2154" spans="27:27" ht="12.75" customHeight="1" x14ac:dyDescent="0.25">
      <c r="AA2154" s="57" t="str">
        <f t="shared" si="33"/>
        <v/>
      </c>
    </row>
    <row r="2155" spans="27:27" ht="12.75" customHeight="1" x14ac:dyDescent="0.25">
      <c r="AA2155" s="57" t="str">
        <f t="shared" si="33"/>
        <v/>
      </c>
    </row>
    <row r="2156" spans="27:27" ht="12.75" customHeight="1" x14ac:dyDescent="0.25">
      <c r="AA2156" s="57" t="str">
        <f t="shared" si="33"/>
        <v/>
      </c>
    </row>
    <row r="2157" spans="27:27" ht="12.75" customHeight="1" x14ac:dyDescent="0.25">
      <c r="AA2157" s="57" t="str">
        <f t="shared" si="33"/>
        <v/>
      </c>
    </row>
    <row r="2158" spans="27:27" ht="12.75" customHeight="1" x14ac:dyDescent="0.25">
      <c r="AA2158" s="57" t="str">
        <f t="shared" si="33"/>
        <v/>
      </c>
    </row>
    <row r="2159" spans="27:27" ht="12.75" customHeight="1" x14ac:dyDescent="0.25">
      <c r="AA2159" s="57" t="str">
        <f t="shared" si="33"/>
        <v/>
      </c>
    </row>
    <row r="2160" spans="27:27" ht="12.75" customHeight="1" x14ac:dyDescent="0.25">
      <c r="AA2160" s="57" t="str">
        <f t="shared" si="33"/>
        <v/>
      </c>
    </row>
    <row r="2161" spans="27:27" ht="12.75" customHeight="1" x14ac:dyDescent="0.25">
      <c r="AA2161" s="57" t="str">
        <f t="shared" si="33"/>
        <v/>
      </c>
    </row>
    <row r="2162" spans="27:27" ht="12.75" customHeight="1" x14ac:dyDescent="0.25">
      <c r="AA2162" s="57" t="str">
        <f t="shared" si="33"/>
        <v/>
      </c>
    </row>
    <row r="2163" spans="27:27" ht="12.75" customHeight="1" x14ac:dyDescent="0.25">
      <c r="AA2163" s="57" t="str">
        <f t="shared" si="33"/>
        <v/>
      </c>
    </row>
    <row r="2164" spans="27:27" ht="12.75" customHeight="1" x14ac:dyDescent="0.25">
      <c r="AA2164" s="57" t="str">
        <f t="shared" si="33"/>
        <v/>
      </c>
    </row>
    <row r="2165" spans="27:27" ht="12.75" customHeight="1" x14ac:dyDescent="0.25">
      <c r="AA2165" s="57" t="str">
        <f t="shared" si="33"/>
        <v/>
      </c>
    </row>
    <row r="2166" spans="27:27" ht="12.75" customHeight="1" x14ac:dyDescent="0.25">
      <c r="AA2166" s="57" t="str">
        <f t="shared" si="33"/>
        <v/>
      </c>
    </row>
    <row r="2167" spans="27:27" ht="12.75" customHeight="1" x14ac:dyDescent="0.25">
      <c r="AA2167" s="57" t="str">
        <f t="shared" si="33"/>
        <v/>
      </c>
    </row>
    <row r="2168" spans="27:27" ht="12.75" customHeight="1" x14ac:dyDescent="0.25">
      <c r="AA2168" s="57" t="str">
        <f t="shared" si="33"/>
        <v/>
      </c>
    </row>
    <row r="2169" spans="27:27" ht="12.75" customHeight="1" x14ac:dyDescent="0.25">
      <c r="AA2169" s="57" t="str">
        <f t="shared" si="33"/>
        <v/>
      </c>
    </row>
    <row r="2170" spans="27:27" ht="12.75" customHeight="1" x14ac:dyDescent="0.25">
      <c r="AA2170" s="57" t="str">
        <f t="shared" si="33"/>
        <v/>
      </c>
    </row>
    <row r="2171" spans="27:27" ht="12.75" customHeight="1" x14ac:dyDescent="0.25">
      <c r="AA2171" s="57" t="str">
        <f t="shared" si="33"/>
        <v/>
      </c>
    </row>
    <row r="2172" spans="27:27" ht="12.75" customHeight="1" x14ac:dyDescent="0.25">
      <c r="AA2172" s="57" t="str">
        <f t="shared" si="33"/>
        <v/>
      </c>
    </row>
    <row r="2173" spans="27:27" ht="12.75" customHeight="1" x14ac:dyDescent="0.25">
      <c r="AA2173" s="57" t="str">
        <f t="shared" si="33"/>
        <v/>
      </c>
    </row>
    <row r="2174" spans="27:27" ht="12.75" customHeight="1" x14ac:dyDescent="0.25">
      <c r="AA2174" s="57" t="str">
        <f t="shared" si="33"/>
        <v/>
      </c>
    </row>
    <row r="2175" spans="27:27" ht="12.75" customHeight="1" x14ac:dyDescent="0.25">
      <c r="AA2175" s="57" t="str">
        <f t="shared" si="33"/>
        <v/>
      </c>
    </row>
    <row r="2176" spans="27:27" ht="12.75" customHeight="1" x14ac:dyDescent="0.25">
      <c r="AA2176" s="57" t="str">
        <f t="shared" si="33"/>
        <v/>
      </c>
    </row>
    <row r="2177" spans="27:27" ht="12.75" customHeight="1" x14ac:dyDescent="0.25">
      <c r="AA2177" s="57" t="str">
        <f t="shared" si="33"/>
        <v/>
      </c>
    </row>
    <row r="2178" spans="27:27" ht="12.75" customHeight="1" x14ac:dyDescent="0.25">
      <c r="AA2178" s="57" t="str">
        <f t="shared" si="33"/>
        <v/>
      </c>
    </row>
    <row r="2179" spans="27:27" ht="12.75" customHeight="1" x14ac:dyDescent="0.25">
      <c r="AA2179" s="57" t="str">
        <f t="shared" si="33"/>
        <v/>
      </c>
    </row>
    <row r="2180" spans="27:27" ht="12.75" customHeight="1" x14ac:dyDescent="0.25">
      <c r="AA2180" s="57" t="str">
        <f t="shared" si="33"/>
        <v/>
      </c>
    </row>
    <row r="2181" spans="27:27" ht="12.75" customHeight="1" x14ac:dyDescent="0.25">
      <c r="AA2181" s="57" t="str">
        <f t="shared" si="33"/>
        <v/>
      </c>
    </row>
    <row r="2182" spans="27:27" ht="12.75" customHeight="1" x14ac:dyDescent="0.25">
      <c r="AA2182" s="57" t="str">
        <f t="shared" si="33"/>
        <v/>
      </c>
    </row>
    <row r="2183" spans="27:27" ht="12.75" customHeight="1" x14ac:dyDescent="0.25">
      <c r="AA2183" s="57" t="str">
        <f t="shared" si="33"/>
        <v/>
      </c>
    </row>
    <row r="2184" spans="27:27" ht="12.75" customHeight="1" x14ac:dyDescent="0.25">
      <c r="AA2184" s="57" t="str">
        <f t="shared" si="33"/>
        <v/>
      </c>
    </row>
    <row r="2185" spans="27:27" ht="12.75" customHeight="1" x14ac:dyDescent="0.25">
      <c r="AA2185" s="57" t="str">
        <f t="shared" si="33"/>
        <v/>
      </c>
    </row>
    <row r="2186" spans="27:27" ht="12.75" customHeight="1" x14ac:dyDescent="0.25">
      <c r="AA2186" s="57" t="str">
        <f t="shared" si="33"/>
        <v/>
      </c>
    </row>
    <row r="2187" spans="27:27" ht="12.75" customHeight="1" x14ac:dyDescent="0.25">
      <c r="AA2187" s="57" t="str">
        <f t="shared" si="33"/>
        <v/>
      </c>
    </row>
    <row r="2188" spans="27:27" ht="12.75" customHeight="1" x14ac:dyDescent="0.25">
      <c r="AA2188" s="57" t="str">
        <f t="shared" ref="AA2188:AA2244" si="34">IFERROR(
IF(AND(X2188="Não",Y2188="Sim"),"REP",
IF(AND(X2188="Sim",Y2188="Não"),"Técnico",
IF(AND(X2188="Sim",Y2188="Sim"),"Ambos",""))),
"")</f>
        <v/>
      </c>
    </row>
    <row r="2189" spans="27:27" ht="12.75" customHeight="1" x14ac:dyDescent="0.25">
      <c r="AA2189" s="57" t="str">
        <f t="shared" si="34"/>
        <v/>
      </c>
    </row>
    <row r="2190" spans="27:27" ht="12.75" customHeight="1" x14ac:dyDescent="0.25">
      <c r="AA2190" s="57" t="str">
        <f t="shared" si="34"/>
        <v/>
      </c>
    </row>
    <row r="2191" spans="27:27" ht="12.75" customHeight="1" x14ac:dyDescent="0.25">
      <c r="AA2191" s="57" t="str">
        <f t="shared" si="34"/>
        <v/>
      </c>
    </row>
    <row r="2192" spans="27:27" ht="12.75" customHeight="1" x14ac:dyDescent="0.25">
      <c r="AA2192" s="57" t="str">
        <f t="shared" si="34"/>
        <v/>
      </c>
    </row>
    <row r="2193" spans="27:27" ht="12.75" customHeight="1" x14ac:dyDescent="0.25">
      <c r="AA2193" s="57" t="str">
        <f t="shared" si="34"/>
        <v/>
      </c>
    </row>
    <row r="2194" spans="27:27" ht="12.75" customHeight="1" x14ac:dyDescent="0.25">
      <c r="AA2194" s="57" t="str">
        <f t="shared" si="34"/>
        <v/>
      </c>
    </row>
    <row r="2195" spans="27:27" ht="12.75" customHeight="1" x14ac:dyDescent="0.25">
      <c r="AA2195" s="57" t="str">
        <f t="shared" si="34"/>
        <v/>
      </c>
    </row>
    <row r="2196" spans="27:27" ht="12.75" customHeight="1" x14ac:dyDescent="0.25">
      <c r="AA2196" s="57" t="str">
        <f t="shared" si="34"/>
        <v/>
      </c>
    </row>
    <row r="2197" spans="27:27" ht="12.75" customHeight="1" x14ac:dyDescent="0.25">
      <c r="AA2197" s="57" t="str">
        <f t="shared" si="34"/>
        <v/>
      </c>
    </row>
    <row r="2198" spans="27:27" ht="12.75" customHeight="1" x14ac:dyDescent="0.25">
      <c r="AA2198" s="57" t="str">
        <f t="shared" si="34"/>
        <v/>
      </c>
    </row>
    <row r="2199" spans="27:27" ht="12.75" customHeight="1" x14ac:dyDescent="0.25">
      <c r="AA2199" s="57" t="str">
        <f t="shared" si="34"/>
        <v/>
      </c>
    </row>
    <row r="2200" spans="27:27" ht="12.75" customHeight="1" x14ac:dyDescent="0.25">
      <c r="AA2200" s="57" t="str">
        <f t="shared" si="34"/>
        <v/>
      </c>
    </row>
    <row r="2201" spans="27:27" ht="12.75" customHeight="1" x14ac:dyDescent="0.25">
      <c r="AA2201" s="57" t="str">
        <f t="shared" si="34"/>
        <v/>
      </c>
    </row>
    <row r="2202" spans="27:27" ht="12.75" customHeight="1" x14ac:dyDescent="0.25">
      <c r="AA2202" s="57" t="str">
        <f t="shared" si="34"/>
        <v/>
      </c>
    </row>
    <row r="2203" spans="27:27" ht="12.75" customHeight="1" x14ac:dyDescent="0.25">
      <c r="AA2203" s="57" t="str">
        <f t="shared" si="34"/>
        <v/>
      </c>
    </row>
    <row r="2204" spans="27:27" ht="12.75" customHeight="1" x14ac:dyDescent="0.25">
      <c r="AA2204" s="57" t="str">
        <f t="shared" si="34"/>
        <v/>
      </c>
    </row>
    <row r="2205" spans="27:27" ht="12.75" customHeight="1" x14ac:dyDescent="0.25">
      <c r="AA2205" s="57" t="str">
        <f t="shared" si="34"/>
        <v/>
      </c>
    </row>
    <row r="2206" spans="27:27" ht="12.75" customHeight="1" x14ac:dyDescent="0.25">
      <c r="AA2206" s="57" t="str">
        <f t="shared" si="34"/>
        <v/>
      </c>
    </row>
    <row r="2207" spans="27:27" ht="12.75" customHeight="1" x14ac:dyDescent="0.25">
      <c r="AA2207" s="57" t="str">
        <f t="shared" si="34"/>
        <v/>
      </c>
    </row>
    <row r="2208" spans="27:27" ht="12.75" customHeight="1" x14ac:dyDescent="0.25">
      <c r="AA2208" s="57" t="str">
        <f t="shared" si="34"/>
        <v/>
      </c>
    </row>
    <row r="2209" spans="27:27" ht="12.75" customHeight="1" x14ac:dyDescent="0.25">
      <c r="AA2209" s="57" t="str">
        <f t="shared" si="34"/>
        <v/>
      </c>
    </row>
    <row r="2210" spans="27:27" ht="12.75" customHeight="1" x14ac:dyDescent="0.25">
      <c r="AA2210" s="57" t="str">
        <f t="shared" si="34"/>
        <v/>
      </c>
    </row>
    <row r="2211" spans="27:27" ht="12.75" customHeight="1" x14ac:dyDescent="0.25">
      <c r="AA2211" s="57" t="str">
        <f t="shared" si="34"/>
        <v/>
      </c>
    </row>
    <row r="2212" spans="27:27" ht="12.75" customHeight="1" x14ac:dyDescent="0.25">
      <c r="AA2212" s="57" t="str">
        <f t="shared" si="34"/>
        <v/>
      </c>
    </row>
    <row r="2213" spans="27:27" ht="12.75" customHeight="1" x14ac:dyDescent="0.25">
      <c r="AA2213" s="57" t="str">
        <f t="shared" si="34"/>
        <v/>
      </c>
    </row>
    <row r="2214" spans="27:27" ht="12.75" customHeight="1" x14ac:dyDescent="0.25">
      <c r="AA2214" s="57" t="str">
        <f t="shared" si="34"/>
        <v/>
      </c>
    </row>
    <row r="2215" spans="27:27" ht="12.75" customHeight="1" x14ac:dyDescent="0.25">
      <c r="AA2215" s="57" t="str">
        <f t="shared" si="34"/>
        <v/>
      </c>
    </row>
    <row r="2216" spans="27:27" ht="12.75" customHeight="1" x14ac:dyDescent="0.25">
      <c r="AA2216" s="57" t="str">
        <f t="shared" si="34"/>
        <v/>
      </c>
    </row>
    <row r="2217" spans="27:27" ht="12.75" customHeight="1" x14ac:dyDescent="0.25">
      <c r="AA2217" s="57" t="str">
        <f t="shared" si="34"/>
        <v/>
      </c>
    </row>
    <row r="2218" spans="27:27" ht="12.75" customHeight="1" x14ac:dyDescent="0.25">
      <c r="AA2218" s="57" t="str">
        <f t="shared" si="34"/>
        <v/>
      </c>
    </row>
    <row r="2219" spans="27:27" ht="12.75" customHeight="1" x14ac:dyDescent="0.25">
      <c r="AA2219" s="57" t="str">
        <f t="shared" si="34"/>
        <v/>
      </c>
    </row>
    <row r="2220" spans="27:27" ht="12.75" customHeight="1" x14ac:dyDescent="0.25">
      <c r="AA2220" s="57" t="str">
        <f t="shared" si="34"/>
        <v/>
      </c>
    </row>
    <row r="2221" spans="27:27" ht="12.75" customHeight="1" x14ac:dyDescent="0.25">
      <c r="AA2221" s="57" t="str">
        <f t="shared" si="34"/>
        <v/>
      </c>
    </row>
    <row r="2222" spans="27:27" ht="12.75" customHeight="1" x14ac:dyDescent="0.25">
      <c r="AA2222" s="57" t="str">
        <f t="shared" si="34"/>
        <v/>
      </c>
    </row>
    <row r="2223" spans="27:27" ht="12.75" customHeight="1" x14ac:dyDescent="0.25">
      <c r="AA2223" s="57" t="str">
        <f t="shared" si="34"/>
        <v/>
      </c>
    </row>
    <row r="2224" spans="27:27" ht="12.75" customHeight="1" x14ac:dyDescent="0.25">
      <c r="AA2224" s="57" t="str">
        <f t="shared" si="34"/>
        <v/>
      </c>
    </row>
    <row r="2225" spans="27:27" ht="12.75" customHeight="1" x14ac:dyDescent="0.25">
      <c r="AA2225" s="57" t="str">
        <f t="shared" si="34"/>
        <v/>
      </c>
    </row>
    <row r="2226" spans="27:27" ht="12.75" customHeight="1" x14ac:dyDescent="0.25">
      <c r="AA2226" s="57" t="str">
        <f t="shared" si="34"/>
        <v/>
      </c>
    </row>
    <row r="2227" spans="27:27" ht="12.75" customHeight="1" x14ac:dyDescent="0.25">
      <c r="AA2227" s="57" t="str">
        <f t="shared" si="34"/>
        <v/>
      </c>
    </row>
    <row r="2228" spans="27:27" ht="12.75" customHeight="1" x14ac:dyDescent="0.25">
      <c r="AA2228" s="57" t="str">
        <f t="shared" si="34"/>
        <v/>
      </c>
    </row>
    <row r="2229" spans="27:27" ht="12.75" customHeight="1" x14ac:dyDescent="0.25">
      <c r="AA2229" s="57" t="str">
        <f t="shared" si="34"/>
        <v/>
      </c>
    </row>
    <row r="2230" spans="27:27" ht="12.75" customHeight="1" x14ac:dyDescent="0.25">
      <c r="AA2230" s="57" t="str">
        <f t="shared" si="34"/>
        <v/>
      </c>
    </row>
    <row r="2231" spans="27:27" ht="12.75" customHeight="1" x14ac:dyDescent="0.25">
      <c r="AA2231" s="57" t="str">
        <f t="shared" si="34"/>
        <v/>
      </c>
    </row>
    <row r="2232" spans="27:27" ht="12.75" customHeight="1" x14ac:dyDescent="0.25">
      <c r="AA2232" s="57" t="str">
        <f t="shared" si="34"/>
        <v/>
      </c>
    </row>
    <row r="2233" spans="27:27" ht="12.75" customHeight="1" x14ac:dyDescent="0.25">
      <c r="AA2233" s="57" t="str">
        <f t="shared" si="34"/>
        <v/>
      </c>
    </row>
    <row r="2234" spans="27:27" ht="12.75" customHeight="1" x14ac:dyDescent="0.25">
      <c r="AA2234" s="57" t="str">
        <f t="shared" si="34"/>
        <v/>
      </c>
    </row>
    <row r="2235" spans="27:27" ht="12.75" customHeight="1" x14ac:dyDescent="0.25">
      <c r="AA2235" s="57" t="str">
        <f t="shared" si="34"/>
        <v/>
      </c>
    </row>
    <row r="2236" spans="27:27" ht="12.75" customHeight="1" x14ac:dyDescent="0.25">
      <c r="AA2236" s="57" t="str">
        <f t="shared" si="34"/>
        <v/>
      </c>
    </row>
    <row r="2237" spans="27:27" ht="12.75" customHeight="1" x14ac:dyDescent="0.25">
      <c r="AA2237" s="57" t="str">
        <f t="shared" si="34"/>
        <v/>
      </c>
    </row>
    <row r="2238" spans="27:27" ht="12.75" customHeight="1" x14ac:dyDescent="0.25">
      <c r="AA2238" s="57" t="str">
        <f t="shared" si="34"/>
        <v/>
      </c>
    </row>
    <row r="2239" spans="27:27" ht="12.75" customHeight="1" x14ac:dyDescent="0.25">
      <c r="AA2239" s="57" t="str">
        <f t="shared" si="34"/>
        <v/>
      </c>
    </row>
    <row r="2240" spans="27:27" ht="12.75" customHeight="1" x14ac:dyDescent="0.25">
      <c r="AA2240" s="57" t="str">
        <f t="shared" si="34"/>
        <v/>
      </c>
    </row>
    <row r="2241" spans="27:27" ht="12.75" customHeight="1" x14ac:dyDescent="0.25">
      <c r="AA2241" s="57" t="str">
        <f t="shared" si="34"/>
        <v/>
      </c>
    </row>
    <row r="2242" spans="27:27" ht="12.75" customHeight="1" x14ac:dyDescent="0.25">
      <c r="AA2242" s="57" t="str">
        <f t="shared" si="34"/>
        <v/>
      </c>
    </row>
    <row r="2243" spans="27:27" ht="12.75" customHeight="1" x14ac:dyDescent="0.25">
      <c r="AA2243" s="57" t="str">
        <f t="shared" si="34"/>
        <v/>
      </c>
    </row>
    <row r="2244" spans="27:27" ht="12.75" customHeight="1" x14ac:dyDescent="0.25">
      <c r="AA2244" s="57" t="str">
        <f t="shared" si="34"/>
        <v/>
      </c>
    </row>
  </sheetData>
  <pageMargins left="2.0833333333333333E-3" right="2.0833333333333333E-3" top="2.0833333333333333E-3" bottom="2.0833333333333333E-3" header="0" footer="0"/>
  <pageSetup paperSize="9" fitToWidth="0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D500-4F2C-4A2F-B02A-1C9E595F9700}">
  <sheetPr codeName="Planilha7"/>
  <dimension ref="A1:F70"/>
  <sheetViews>
    <sheetView zoomScale="115" zoomScaleNormal="115" workbookViewId="0">
      <selection activeCell="B4" sqref="B4"/>
    </sheetView>
  </sheetViews>
  <sheetFormatPr defaultRowHeight="18" customHeight="1" x14ac:dyDescent="0.25"/>
  <cols>
    <col min="1" max="1" width="40" style="98" customWidth="1"/>
    <col min="2" max="2" width="40" style="99" customWidth="1"/>
    <col min="3" max="3" width="3.42578125" style="94" customWidth="1"/>
    <col min="4" max="4" width="80.5703125" style="94" customWidth="1"/>
    <col min="5" max="6" width="9.140625" style="94"/>
    <col min="7" max="8" width="9.140625" style="94" customWidth="1"/>
    <col min="9" max="16384" width="9.140625" style="94"/>
  </cols>
  <sheetData>
    <row r="1" spans="1:6" ht="18" customHeight="1" x14ac:dyDescent="0.25">
      <c r="A1" s="93" t="s">
        <v>72</v>
      </c>
      <c r="B1" s="93" t="s">
        <v>73</v>
      </c>
      <c r="D1" s="95" t="s">
        <v>74</v>
      </c>
      <c r="E1" s="96">
        <v>2</v>
      </c>
      <c r="F1" s="97" t="s">
        <v>75</v>
      </c>
    </row>
    <row r="2" spans="1:6" s="100" customFormat="1" ht="18" customHeight="1" x14ac:dyDescent="0.25">
      <c r="A2" s="98" t="s">
        <v>789</v>
      </c>
      <c r="B2" s="99" t="s">
        <v>858</v>
      </c>
      <c r="E2" s="94"/>
      <c r="F2" s="94"/>
    </row>
    <row r="3" spans="1:6" ht="18" customHeight="1" x14ac:dyDescent="0.25">
      <c r="A3" s="98" t="s">
        <v>790</v>
      </c>
      <c r="B3" s="99" t="s">
        <v>859</v>
      </c>
      <c r="D3" s="95" t="s">
        <v>77</v>
      </c>
    </row>
    <row r="4" spans="1:6" ht="18" customHeight="1" x14ac:dyDescent="0.25">
      <c r="A4" s="98" t="s">
        <v>791</v>
      </c>
      <c r="B4" s="99" t="s">
        <v>860</v>
      </c>
      <c r="D4" s="96" t="s">
        <v>80</v>
      </c>
    </row>
    <row r="5" spans="1:6" ht="18" customHeight="1" x14ac:dyDescent="0.25">
      <c r="A5" s="98" t="s">
        <v>792</v>
      </c>
      <c r="B5" s="99" t="s">
        <v>859</v>
      </c>
    </row>
    <row r="6" spans="1:6" ht="18" customHeight="1" x14ac:dyDescent="0.25">
      <c r="A6" s="98" t="s">
        <v>793</v>
      </c>
      <c r="B6" s="99" t="s">
        <v>860</v>
      </c>
      <c r="D6" s="95" t="s">
        <v>78</v>
      </c>
    </row>
    <row r="7" spans="1:6" ht="18" customHeight="1" x14ac:dyDescent="0.25">
      <c r="A7" s="98" t="s">
        <v>794</v>
      </c>
      <c r="B7" s="99" t="s">
        <v>860</v>
      </c>
      <c r="D7" s="96" t="s">
        <v>79</v>
      </c>
    </row>
    <row r="8" spans="1:6" ht="18" customHeight="1" x14ac:dyDescent="0.25">
      <c r="A8" s="98" t="s">
        <v>795</v>
      </c>
      <c r="B8" s="99" t="s">
        <v>860</v>
      </c>
    </row>
    <row r="9" spans="1:6" ht="18" customHeight="1" x14ac:dyDescent="0.25">
      <c r="A9" s="98" t="s">
        <v>796</v>
      </c>
      <c r="B9" s="99" t="s">
        <v>860</v>
      </c>
    </row>
    <row r="10" spans="1:6" ht="18" customHeight="1" x14ac:dyDescent="0.25">
      <c r="A10" s="98" t="s">
        <v>797</v>
      </c>
      <c r="B10" s="99" t="s">
        <v>860</v>
      </c>
    </row>
    <row r="11" spans="1:6" ht="18" customHeight="1" x14ac:dyDescent="0.25">
      <c r="A11" s="98" t="s">
        <v>798</v>
      </c>
      <c r="B11" s="99" t="s">
        <v>860</v>
      </c>
    </row>
    <row r="12" spans="1:6" ht="18" customHeight="1" x14ac:dyDescent="0.25">
      <c r="A12" s="98" t="s">
        <v>799</v>
      </c>
      <c r="B12" s="99" t="s">
        <v>860</v>
      </c>
    </row>
    <row r="13" spans="1:6" ht="18" customHeight="1" x14ac:dyDescent="0.25">
      <c r="A13" s="98" t="s">
        <v>800</v>
      </c>
      <c r="B13" s="99" t="s">
        <v>860</v>
      </c>
    </row>
    <row r="14" spans="1:6" ht="18" customHeight="1" x14ac:dyDescent="0.25">
      <c r="A14" s="98" t="s">
        <v>801</v>
      </c>
      <c r="B14" s="99" t="s">
        <v>860</v>
      </c>
    </row>
    <row r="15" spans="1:6" ht="18" customHeight="1" x14ac:dyDescent="0.25">
      <c r="A15" s="98" t="s">
        <v>802</v>
      </c>
      <c r="B15" s="99" t="s">
        <v>861</v>
      </c>
    </row>
    <row r="16" spans="1:6" ht="18" customHeight="1" x14ac:dyDescent="0.25">
      <c r="A16" s="98" t="s">
        <v>803</v>
      </c>
      <c r="B16" s="99" t="s">
        <v>863</v>
      </c>
    </row>
    <row r="17" spans="1:2" ht="18" customHeight="1" x14ac:dyDescent="0.25">
      <c r="A17" s="98" t="s">
        <v>804</v>
      </c>
      <c r="B17" s="99" t="s">
        <v>863</v>
      </c>
    </row>
    <row r="18" spans="1:2" ht="18" customHeight="1" x14ac:dyDescent="0.25">
      <c r="A18" s="98" t="s">
        <v>805</v>
      </c>
      <c r="B18" s="99" t="s">
        <v>861</v>
      </c>
    </row>
    <row r="19" spans="1:2" ht="18" customHeight="1" x14ac:dyDescent="0.25">
      <c r="A19" s="98" t="s">
        <v>806</v>
      </c>
      <c r="B19" s="99" t="s">
        <v>863</v>
      </c>
    </row>
    <row r="20" spans="1:2" ht="18" customHeight="1" x14ac:dyDescent="0.25">
      <c r="A20" s="98" t="s">
        <v>807</v>
      </c>
      <c r="B20" s="99" t="s">
        <v>861</v>
      </c>
    </row>
    <row r="21" spans="1:2" ht="18" customHeight="1" x14ac:dyDescent="0.25">
      <c r="A21" s="98" t="s">
        <v>808</v>
      </c>
      <c r="B21" s="99" t="s">
        <v>861</v>
      </c>
    </row>
    <row r="22" spans="1:2" ht="18" customHeight="1" x14ac:dyDescent="0.25">
      <c r="A22" s="98" t="s">
        <v>809</v>
      </c>
      <c r="B22" s="99" t="s">
        <v>863</v>
      </c>
    </row>
    <row r="23" spans="1:2" ht="18" customHeight="1" x14ac:dyDescent="0.25">
      <c r="A23" s="98" t="s">
        <v>810</v>
      </c>
      <c r="B23" s="99" t="s">
        <v>862</v>
      </c>
    </row>
    <row r="24" spans="1:2" ht="18" customHeight="1" x14ac:dyDescent="0.25">
      <c r="A24" s="98" t="s">
        <v>811</v>
      </c>
      <c r="B24" s="99" t="s">
        <v>862</v>
      </c>
    </row>
    <row r="25" spans="1:2" ht="18" customHeight="1" x14ac:dyDescent="0.25">
      <c r="A25" s="98" t="s">
        <v>812</v>
      </c>
      <c r="B25" s="99" t="s">
        <v>863</v>
      </c>
    </row>
    <row r="26" spans="1:2" ht="18" customHeight="1" x14ac:dyDescent="0.25">
      <c r="A26" s="98" t="s">
        <v>813</v>
      </c>
      <c r="B26" s="99" t="s">
        <v>861</v>
      </c>
    </row>
    <row r="27" spans="1:2" ht="18" customHeight="1" x14ac:dyDescent="0.25">
      <c r="A27" s="98" t="s">
        <v>814</v>
      </c>
      <c r="B27" s="99" t="s">
        <v>860</v>
      </c>
    </row>
    <row r="28" spans="1:2" ht="18" customHeight="1" x14ac:dyDescent="0.25">
      <c r="A28" s="98" t="s">
        <v>815</v>
      </c>
      <c r="B28" s="99" t="s">
        <v>860</v>
      </c>
    </row>
    <row r="29" spans="1:2" ht="18" customHeight="1" x14ac:dyDescent="0.25">
      <c r="A29" s="98" t="s">
        <v>816</v>
      </c>
      <c r="B29" s="99" t="s">
        <v>860</v>
      </c>
    </row>
    <row r="30" spans="1:2" ht="18" customHeight="1" x14ac:dyDescent="0.25">
      <c r="A30" s="98" t="s">
        <v>817</v>
      </c>
      <c r="B30" s="99" t="s">
        <v>860</v>
      </c>
    </row>
    <row r="31" spans="1:2" ht="18" customHeight="1" x14ac:dyDescent="0.25">
      <c r="A31" s="98" t="s">
        <v>818</v>
      </c>
      <c r="B31" s="99" t="s">
        <v>860</v>
      </c>
    </row>
    <row r="32" spans="1:2" ht="18" customHeight="1" x14ac:dyDescent="0.25">
      <c r="A32" s="98" t="s">
        <v>819</v>
      </c>
      <c r="B32" s="99" t="s">
        <v>860</v>
      </c>
    </row>
    <row r="33" spans="1:2" ht="18" customHeight="1" x14ac:dyDescent="0.25">
      <c r="A33" s="98" t="s">
        <v>820</v>
      </c>
      <c r="B33" s="99" t="s">
        <v>859</v>
      </c>
    </row>
    <row r="34" spans="1:2" ht="18" customHeight="1" x14ac:dyDescent="0.25">
      <c r="A34" s="98" t="s">
        <v>821</v>
      </c>
      <c r="B34" s="99" t="s">
        <v>861</v>
      </c>
    </row>
    <row r="35" spans="1:2" ht="18" customHeight="1" x14ac:dyDescent="0.25">
      <c r="A35" s="98" t="s">
        <v>822</v>
      </c>
      <c r="B35" s="99" t="s">
        <v>860</v>
      </c>
    </row>
    <row r="36" spans="1:2" ht="18" customHeight="1" x14ac:dyDescent="0.25">
      <c r="A36" s="98" t="s">
        <v>823</v>
      </c>
      <c r="B36" s="99" t="s">
        <v>860</v>
      </c>
    </row>
    <row r="37" spans="1:2" ht="18" customHeight="1" x14ac:dyDescent="0.25">
      <c r="A37" s="98" t="s">
        <v>824</v>
      </c>
      <c r="B37" s="99" t="s">
        <v>860</v>
      </c>
    </row>
    <row r="38" spans="1:2" ht="18" customHeight="1" x14ac:dyDescent="0.25">
      <c r="A38" s="98" t="s">
        <v>825</v>
      </c>
      <c r="B38" s="99" t="s">
        <v>860</v>
      </c>
    </row>
    <row r="39" spans="1:2" ht="18" customHeight="1" x14ac:dyDescent="0.25">
      <c r="A39" s="98" t="s">
        <v>826</v>
      </c>
      <c r="B39" s="99" t="s">
        <v>860</v>
      </c>
    </row>
    <row r="40" spans="1:2" ht="18" customHeight="1" x14ac:dyDescent="0.25">
      <c r="A40" s="98" t="s">
        <v>827</v>
      </c>
      <c r="B40" s="99" t="s">
        <v>860</v>
      </c>
    </row>
    <row r="41" spans="1:2" ht="18" customHeight="1" x14ac:dyDescent="0.25">
      <c r="A41" s="98" t="s">
        <v>828</v>
      </c>
      <c r="B41" s="99" t="s">
        <v>858</v>
      </c>
    </row>
    <row r="42" spans="1:2" ht="18" customHeight="1" x14ac:dyDescent="0.25">
      <c r="A42" s="98" t="s">
        <v>829</v>
      </c>
      <c r="B42" s="99" t="s">
        <v>860</v>
      </c>
    </row>
    <row r="43" spans="1:2" ht="18" customHeight="1" x14ac:dyDescent="0.25">
      <c r="A43" s="98" t="s">
        <v>830</v>
      </c>
      <c r="B43" s="99" t="s">
        <v>863</v>
      </c>
    </row>
    <row r="44" spans="1:2" ht="18" customHeight="1" x14ac:dyDescent="0.25">
      <c r="A44" s="98" t="s">
        <v>831</v>
      </c>
      <c r="B44" s="99" t="s">
        <v>860</v>
      </c>
    </row>
    <row r="45" spans="1:2" ht="18" customHeight="1" x14ac:dyDescent="0.25">
      <c r="A45" s="98" t="s">
        <v>832</v>
      </c>
      <c r="B45" s="99" t="s">
        <v>860</v>
      </c>
    </row>
    <row r="46" spans="1:2" ht="18" customHeight="1" x14ac:dyDescent="0.25">
      <c r="A46" s="98" t="s">
        <v>833</v>
      </c>
      <c r="B46" s="99" t="s">
        <v>860</v>
      </c>
    </row>
    <row r="47" spans="1:2" ht="18" customHeight="1" x14ac:dyDescent="0.25">
      <c r="A47" s="98" t="s">
        <v>834</v>
      </c>
      <c r="B47" s="99" t="s">
        <v>863</v>
      </c>
    </row>
    <row r="48" spans="1:2" ht="18" customHeight="1" x14ac:dyDescent="0.25">
      <c r="A48" s="98" t="s">
        <v>835</v>
      </c>
      <c r="B48" s="99" t="s">
        <v>858</v>
      </c>
    </row>
    <row r="49" spans="1:2" ht="18" customHeight="1" x14ac:dyDescent="0.25">
      <c r="A49" s="98" t="s">
        <v>836</v>
      </c>
      <c r="B49" s="99" t="s">
        <v>861</v>
      </c>
    </row>
    <row r="50" spans="1:2" ht="18" customHeight="1" x14ac:dyDescent="0.25">
      <c r="A50" s="98" t="s">
        <v>837</v>
      </c>
      <c r="B50" s="99" t="s">
        <v>860</v>
      </c>
    </row>
    <row r="51" spans="1:2" ht="18" customHeight="1" x14ac:dyDescent="0.25">
      <c r="A51" s="98" t="s">
        <v>838</v>
      </c>
      <c r="B51" s="99" t="s">
        <v>860</v>
      </c>
    </row>
    <row r="52" spans="1:2" ht="18" customHeight="1" x14ac:dyDescent="0.25">
      <c r="A52" s="98" t="s">
        <v>839</v>
      </c>
      <c r="B52" s="99" t="s">
        <v>860</v>
      </c>
    </row>
    <row r="53" spans="1:2" ht="18" customHeight="1" x14ac:dyDescent="0.25">
      <c r="A53" s="98" t="s">
        <v>840</v>
      </c>
      <c r="B53" s="99" t="s">
        <v>860</v>
      </c>
    </row>
    <row r="54" spans="1:2" ht="18" customHeight="1" x14ac:dyDescent="0.25">
      <c r="A54" s="98" t="s">
        <v>841</v>
      </c>
      <c r="B54" s="99" t="s">
        <v>860</v>
      </c>
    </row>
    <row r="55" spans="1:2" ht="18" customHeight="1" x14ac:dyDescent="0.25">
      <c r="A55" s="98" t="s">
        <v>842</v>
      </c>
      <c r="B55" s="99" t="s">
        <v>860</v>
      </c>
    </row>
    <row r="56" spans="1:2" ht="18" customHeight="1" x14ac:dyDescent="0.25">
      <c r="A56" s="98" t="s">
        <v>843</v>
      </c>
      <c r="B56" s="99" t="s">
        <v>858</v>
      </c>
    </row>
    <row r="57" spans="1:2" ht="18" customHeight="1" x14ac:dyDescent="0.25">
      <c r="A57" s="98" t="s">
        <v>844</v>
      </c>
      <c r="B57" s="99" t="s">
        <v>860</v>
      </c>
    </row>
    <row r="58" spans="1:2" ht="18" customHeight="1" x14ac:dyDescent="0.25">
      <c r="A58" s="98" t="s">
        <v>845</v>
      </c>
      <c r="B58" s="99" t="s">
        <v>862</v>
      </c>
    </row>
    <row r="59" spans="1:2" ht="18" customHeight="1" x14ac:dyDescent="0.25">
      <c r="A59" s="98" t="s">
        <v>846</v>
      </c>
      <c r="B59" s="99" t="s">
        <v>863</v>
      </c>
    </row>
    <row r="60" spans="1:2" ht="18" customHeight="1" x14ac:dyDescent="0.25">
      <c r="A60" s="98" t="s">
        <v>847</v>
      </c>
      <c r="B60" s="99" t="s">
        <v>860</v>
      </c>
    </row>
    <row r="61" spans="1:2" ht="18" customHeight="1" x14ac:dyDescent="0.25">
      <c r="A61" s="98" t="s">
        <v>848</v>
      </c>
      <c r="B61" s="99" t="s">
        <v>862</v>
      </c>
    </row>
    <row r="62" spans="1:2" ht="18" customHeight="1" x14ac:dyDescent="0.25">
      <c r="A62" s="98" t="s">
        <v>849</v>
      </c>
      <c r="B62" s="99" t="s">
        <v>860</v>
      </c>
    </row>
    <row r="63" spans="1:2" ht="18" customHeight="1" x14ac:dyDescent="0.25">
      <c r="A63" s="98" t="s">
        <v>850</v>
      </c>
      <c r="B63" s="99" t="s">
        <v>860</v>
      </c>
    </row>
    <row r="64" spans="1:2" ht="18" customHeight="1" x14ac:dyDescent="0.25">
      <c r="A64" s="98" t="s">
        <v>851</v>
      </c>
      <c r="B64" s="99" t="s">
        <v>861</v>
      </c>
    </row>
    <row r="65" spans="1:2" ht="18" customHeight="1" x14ac:dyDescent="0.25">
      <c r="A65" s="98" t="s">
        <v>852</v>
      </c>
      <c r="B65" s="99" t="s">
        <v>860</v>
      </c>
    </row>
    <row r="66" spans="1:2" ht="18" customHeight="1" x14ac:dyDescent="0.25">
      <c r="A66" s="98" t="s">
        <v>853</v>
      </c>
      <c r="B66" s="99" t="s">
        <v>860</v>
      </c>
    </row>
    <row r="67" spans="1:2" ht="18" customHeight="1" x14ac:dyDescent="0.25">
      <c r="A67" s="98" t="s">
        <v>854</v>
      </c>
      <c r="B67" s="99" t="s">
        <v>860</v>
      </c>
    </row>
    <row r="68" spans="1:2" ht="18" customHeight="1" x14ac:dyDescent="0.25">
      <c r="A68" s="98" t="s">
        <v>855</v>
      </c>
      <c r="B68" s="99" t="s">
        <v>860</v>
      </c>
    </row>
    <row r="69" spans="1:2" ht="18" customHeight="1" x14ac:dyDescent="0.25">
      <c r="A69" s="98" t="s">
        <v>856</v>
      </c>
      <c r="B69" s="99" t="s">
        <v>860</v>
      </c>
    </row>
    <row r="70" spans="1:2" ht="18" customHeight="1" x14ac:dyDescent="0.25">
      <c r="A70" s="98" t="s">
        <v>857</v>
      </c>
      <c r="B70" s="99" t="s">
        <v>863</v>
      </c>
    </row>
  </sheetData>
  <dataValidations count="1">
    <dataValidation type="list" allowBlank="1" showInputMessage="1" showErrorMessage="1" sqref="B2:B1048576" xr:uid="{D9F3ECFB-DEDE-407F-89DE-89065A492977}">
      <formula1>"CABOS, DIVERSOS, QUÍMICO, FOGO, PLUGUES, ELETRODOMÉSTICO"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5" tint="0.59999389629810485"/>
    <pageSetUpPr fitToPage="1"/>
  </sheetPr>
  <dimension ref="A1:AA612"/>
  <sheetViews>
    <sheetView topLeftCell="D1" zoomScale="55" zoomScaleNormal="55" zoomScaleSheetLayoutView="50" workbookViewId="0">
      <selection activeCell="L2" sqref="L2"/>
    </sheetView>
  </sheetViews>
  <sheetFormatPr defaultRowHeight="14.25" x14ac:dyDescent="0.2"/>
  <cols>
    <col min="1" max="7" width="25.7109375" style="15" customWidth="1"/>
    <col min="8" max="8" width="11" style="9" bestFit="1" customWidth="1"/>
    <col min="9" max="10" width="8.28515625" style="9" customWidth="1"/>
    <col min="11" max="12" width="25.7109375" style="9" customWidth="1"/>
    <col min="13" max="13" width="5.7109375" style="9" customWidth="1"/>
    <col min="14" max="14" width="20.7109375" style="9" customWidth="1"/>
    <col min="15" max="15" width="9.85546875" style="9" customWidth="1"/>
    <col min="16" max="16384" width="9.140625" style="9"/>
  </cols>
  <sheetData>
    <row r="1" spans="1:15" ht="45" customHeight="1" x14ac:dyDescent="0.2">
      <c r="A1" s="133" t="s">
        <v>5</v>
      </c>
      <c r="B1" s="133"/>
      <c r="C1" s="133"/>
      <c r="D1" s="133"/>
      <c r="E1" s="133"/>
      <c r="F1" s="133"/>
      <c r="G1" s="133"/>
      <c r="J1" s="10"/>
      <c r="K1" s="134" t="s">
        <v>7</v>
      </c>
      <c r="L1" s="135"/>
      <c r="M1" s="139" t="s">
        <v>34</v>
      </c>
      <c r="N1" s="140"/>
    </row>
    <row r="2" spans="1:15" ht="24.95" customHeight="1" x14ac:dyDescent="0.2">
      <c r="A2" s="11" t="s">
        <v>0</v>
      </c>
      <c r="B2" s="11" t="s">
        <v>1</v>
      </c>
      <c r="C2" s="11" t="s">
        <v>4</v>
      </c>
      <c r="D2" s="11" t="s">
        <v>69</v>
      </c>
      <c r="E2" s="11" t="s">
        <v>70</v>
      </c>
      <c r="F2" s="11" t="s">
        <v>2</v>
      </c>
      <c r="G2" s="11" t="s">
        <v>33</v>
      </c>
      <c r="J2" s="12"/>
      <c r="K2" s="13" t="s">
        <v>32</v>
      </c>
      <c r="L2" s="14">
        <f>SUM(L3:L4)</f>
        <v>151</v>
      </c>
      <c r="M2" s="141"/>
      <c r="N2" s="142"/>
    </row>
    <row r="3" spans="1:15" s="27" customFormat="1" ht="24.95" customHeight="1" x14ac:dyDescent="0.2">
      <c r="A3" s="24"/>
      <c r="B3" s="24"/>
      <c r="C3" s="24" t="s">
        <v>858</v>
      </c>
      <c r="D3" s="24" t="s">
        <v>785</v>
      </c>
      <c r="E3" s="24" t="s">
        <v>785</v>
      </c>
      <c r="F3" s="25" t="str">
        <f>IFERROR(IF(AND(D3="Não",E3="Sim"),"REP",
IF(AND(D3="Sim",E3="Não"),"Técnico",
IF(AND(D3="Sim",E3="Sim"),"Ambos",""))),"")</f>
        <v/>
      </c>
      <c r="G3" s="24"/>
      <c r="H3" s="26"/>
      <c r="J3" s="30"/>
      <c r="K3" s="31" t="s">
        <v>6</v>
      </c>
      <c r="L3" s="32">
        <f>COUNTIFS(F3:F502,"Rep")</f>
        <v>24</v>
      </c>
      <c r="M3" s="33" t="s">
        <v>35</v>
      </c>
      <c r="N3" s="34">
        <f>SUM(L3/L2)</f>
        <v>0.15894039735099338</v>
      </c>
    </row>
    <row r="4" spans="1:15" ht="24.95" customHeight="1" x14ac:dyDescent="0.2">
      <c r="A4" s="24"/>
      <c r="B4" s="24"/>
      <c r="C4" s="24" t="s">
        <v>858</v>
      </c>
      <c r="D4" s="24" t="s">
        <v>785</v>
      </c>
      <c r="E4" s="24" t="s">
        <v>785</v>
      </c>
      <c r="F4" s="25" t="str">
        <f t="shared" ref="F4:F67" si="0">IFERROR(IF(AND(D4="Não",E4="Sim"),"REP",
IF(AND(D4="Sim",E4="Não"),"Técnico",
IF(AND(D4="Sim",E4="Sim"),"Ambos",""))),"")</f>
        <v/>
      </c>
      <c r="G4" s="29"/>
      <c r="H4" s="15"/>
      <c r="J4" s="12"/>
      <c r="K4" s="13" t="s">
        <v>3</v>
      </c>
      <c r="L4" s="17">
        <f>SUM(L5:L17)</f>
        <v>127</v>
      </c>
      <c r="M4" s="19" t="s">
        <v>35</v>
      </c>
      <c r="N4" s="21">
        <f>SUM(L4/L2)</f>
        <v>0.84105960264900659</v>
      </c>
    </row>
    <row r="5" spans="1:15" ht="24.95" customHeight="1" x14ac:dyDescent="0.2">
      <c r="A5" s="16"/>
      <c r="B5" s="24"/>
      <c r="C5" s="24" t="s">
        <v>859</v>
      </c>
      <c r="D5" s="24" t="s">
        <v>786</v>
      </c>
      <c r="E5" s="24" t="s">
        <v>786</v>
      </c>
      <c r="F5" s="25" t="str">
        <f t="shared" si="0"/>
        <v>Ambos</v>
      </c>
      <c r="G5" s="16"/>
      <c r="H5" s="15"/>
      <c r="J5" s="128" t="s">
        <v>14</v>
      </c>
      <c r="K5" s="138" t="s">
        <v>8</v>
      </c>
      <c r="L5" s="122">
        <f>SUM(O5:O6)</f>
        <v>49</v>
      </c>
      <c r="M5" s="122" t="s">
        <v>36</v>
      </c>
      <c r="N5" s="125">
        <f>SUM(L5/L4)</f>
        <v>0.38582677165354329</v>
      </c>
      <c r="O5" s="18">
        <f>COUNTIFS($C$3:$C$502,"CABOS",$F$3:$F$502,"Técnico")</f>
        <v>25</v>
      </c>
    </row>
    <row r="6" spans="1:15" ht="24.95" customHeight="1" x14ac:dyDescent="0.2">
      <c r="A6" s="16"/>
      <c r="B6" s="24"/>
      <c r="C6" s="24" t="s">
        <v>859</v>
      </c>
      <c r="D6" s="24" t="s">
        <v>785</v>
      </c>
      <c r="E6" s="24" t="s">
        <v>786</v>
      </c>
      <c r="F6" s="25" t="str">
        <f t="shared" si="0"/>
        <v>REP</v>
      </c>
      <c r="G6" s="16"/>
      <c r="H6" s="15"/>
      <c r="J6" s="129"/>
      <c r="K6" s="137"/>
      <c r="L6" s="124"/>
      <c r="M6" s="123"/>
      <c r="N6" s="126"/>
      <c r="O6" s="18">
        <f>COUNTIFS($C$3:$C$502,"CABOS",$F$3:$F$502,"Ambos")</f>
        <v>24</v>
      </c>
    </row>
    <row r="7" spans="1:15" ht="24.95" customHeight="1" x14ac:dyDescent="0.2">
      <c r="A7" s="16"/>
      <c r="B7" s="24"/>
      <c r="C7" s="24" t="s">
        <v>860</v>
      </c>
      <c r="D7" s="24" t="s">
        <v>786</v>
      </c>
      <c r="E7" s="24" t="s">
        <v>785</v>
      </c>
      <c r="F7" s="25" t="str">
        <f t="shared" si="0"/>
        <v>Técnico</v>
      </c>
      <c r="G7" s="16"/>
      <c r="H7" s="15"/>
      <c r="J7" s="129"/>
      <c r="K7" s="136" t="s">
        <v>9</v>
      </c>
      <c r="L7" s="122">
        <f>SUM(O7:O8)</f>
        <v>63</v>
      </c>
      <c r="M7" s="122" t="s">
        <v>36</v>
      </c>
      <c r="N7" s="125">
        <f>SUM(L7/L4)</f>
        <v>0.49606299212598426</v>
      </c>
      <c r="O7" s="18">
        <f>COUNTIFS($C$3:$C$502,"DIVERSOS",$F$3:$F$502,"Técnico")</f>
        <v>29</v>
      </c>
    </row>
    <row r="8" spans="1:15" ht="24.95" customHeight="1" x14ac:dyDescent="0.2">
      <c r="A8" s="16"/>
      <c r="B8" s="24"/>
      <c r="C8" s="24" t="s">
        <v>859</v>
      </c>
      <c r="D8" s="24" t="s">
        <v>786</v>
      </c>
      <c r="E8" s="24" t="s">
        <v>786</v>
      </c>
      <c r="F8" s="25" t="str">
        <f t="shared" si="0"/>
        <v>Ambos</v>
      </c>
      <c r="G8" s="16"/>
      <c r="H8" s="15"/>
      <c r="J8" s="129"/>
      <c r="K8" s="137"/>
      <c r="L8" s="124"/>
      <c r="M8" s="123"/>
      <c r="N8" s="126"/>
      <c r="O8" s="18">
        <f>COUNTIFS($C$3:$C$502,"DIVERSOS",$F$3:$F$502,"Ambos")</f>
        <v>34</v>
      </c>
    </row>
    <row r="9" spans="1:15" ht="24.95" customHeight="1" x14ac:dyDescent="0.2">
      <c r="A9" s="24"/>
      <c r="B9" s="24"/>
      <c r="C9" s="24" t="s">
        <v>859</v>
      </c>
      <c r="D9" s="16" t="s">
        <v>786</v>
      </c>
      <c r="E9" s="24" t="s">
        <v>786</v>
      </c>
      <c r="F9" s="25" t="str">
        <f t="shared" si="0"/>
        <v>Ambos</v>
      </c>
      <c r="G9" s="16"/>
      <c r="H9" s="15"/>
      <c r="J9" s="129"/>
      <c r="K9" s="136" t="s">
        <v>10</v>
      </c>
      <c r="L9" s="122">
        <f>SUM(O9:O10)</f>
        <v>4</v>
      </c>
      <c r="M9" s="122" t="s">
        <v>36</v>
      </c>
      <c r="N9" s="125">
        <f>SUM(L9/L4)</f>
        <v>3.1496062992125984E-2</v>
      </c>
      <c r="O9" s="18">
        <f>COUNTIFS($C$3:$C$502,"QUÍMICO",$F$3:$F$502,"Técnico")</f>
        <v>1</v>
      </c>
    </row>
    <row r="10" spans="1:15" ht="24.95" customHeight="1" x14ac:dyDescent="0.2">
      <c r="A10" s="24"/>
      <c r="B10" s="24"/>
      <c r="C10" s="24" t="s">
        <v>859</v>
      </c>
      <c r="D10" s="16" t="s">
        <v>786</v>
      </c>
      <c r="E10" s="24" t="s">
        <v>786</v>
      </c>
      <c r="F10" s="25" t="str">
        <f t="shared" si="0"/>
        <v>Ambos</v>
      </c>
      <c r="G10" s="16"/>
      <c r="H10" s="15"/>
      <c r="J10" s="129"/>
      <c r="K10" s="137"/>
      <c r="L10" s="124"/>
      <c r="M10" s="123"/>
      <c r="N10" s="126"/>
      <c r="O10" s="18">
        <f>COUNTIFS($C$3:$C$502,"QUÍMICO",$F$3:$F$502,"Ambos")</f>
        <v>3</v>
      </c>
    </row>
    <row r="11" spans="1:15" ht="24.95" customHeight="1" x14ac:dyDescent="0.2">
      <c r="A11" s="24"/>
      <c r="B11" s="24"/>
      <c r="C11" s="24" t="s">
        <v>859</v>
      </c>
      <c r="D11" s="16" t="s">
        <v>786</v>
      </c>
      <c r="E11" s="24" t="s">
        <v>786</v>
      </c>
      <c r="F11" s="25" t="str">
        <f t="shared" si="0"/>
        <v>Ambos</v>
      </c>
      <c r="G11" s="16"/>
      <c r="H11" s="15"/>
      <c r="J11" s="129"/>
      <c r="K11" s="136" t="s">
        <v>11</v>
      </c>
      <c r="L11" s="122">
        <f>SUM(O11:O12)</f>
        <v>1</v>
      </c>
      <c r="M11" s="122" t="s">
        <v>36</v>
      </c>
      <c r="N11" s="125">
        <f>SUM(L11/L4)</f>
        <v>7.874015748031496E-3</v>
      </c>
      <c r="O11" s="18">
        <f>COUNTIFS($C$3:$C$502,"FOGO",$F$3:$F$502,"Técnico")</f>
        <v>0</v>
      </c>
    </row>
    <row r="12" spans="1:15" ht="24.95" customHeight="1" x14ac:dyDescent="0.2">
      <c r="A12" s="24"/>
      <c r="B12" s="24"/>
      <c r="C12" s="24" t="s">
        <v>860</v>
      </c>
      <c r="D12" s="16" t="s">
        <v>785</v>
      </c>
      <c r="E12" s="24" t="s">
        <v>786</v>
      </c>
      <c r="F12" s="25" t="str">
        <f t="shared" si="0"/>
        <v>REP</v>
      </c>
      <c r="G12" s="16"/>
      <c r="H12" s="15"/>
      <c r="J12" s="129"/>
      <c r="K12" s="137"/>
      <c r="L12" s="124"/>
      <c r="M12" s="123"/>
      <c r="N12" s="126"/>
      <c r="O12" s="18">
        <f>COUNTIFS($C$3:$C$502,"FOGO",$F$3:$F$502,"Ambos")</f>
        <v>1</v>
      </c>
    </row>
    <row r="13" spans="1:15" ht="24.95" customHeight="1" x14ac:dyDescent="0.2">
      <c r="A13" s="24"/>
      <c r="B13" s="24"/>
      <c r="C13" s="24" t="s">
        <v>860</v>
      </c>
      <c r="D13" s="16" t="s">
        <v>785</v>
      </c>
      <c r="E13" s="24" t="s">
        <v>786</v>
      </c>
      <c r="F13" s="25" t="str">
        <f t="shared" si="0"/>
        <v>REP</v>
      </c>
      <c r="G13" s="16"/>
      <c r="H13" s="15"/>
      <c r="J13" s="129"/>
      <c r="K13" s="136" t="s">
        <v>12</v>
      </c>
      <c r="L13" s="122">
        <f>SUM(O13:O14)</f>
        <v>10</v>
      </c>
      <c r="M13" s="122" t="s">
        <v>36</v>
      </c>
      <c r="N13" s="125">
        <f>SUM(L13/L4)</f>
        <v>7.874015748031496E-2</v>
      </c>
      <c r="O13" s="18">
        <f>COUNTIFS($C$3:$C$502,"PLUGUES",$F$3:$F$502,"Técnico")</f>
        <v>5</v>
      </c>
    </row>
    <row r="14" spans="1:15" ht="24.95" customHeight="1" x14ac:dyDescent="0.2">
      <c r="A14" s="24"/>
      <c r="B14" s="24"/>
      <c r="C14" s="24" t="s">
        <v>860</v>
      </c>
      <c r="D14" s="16" t="s">
        <v>785</v>
      </c>
      <c r="E14" s="24" t="s">
        <v>785</v>
      </c>
      <c r="F14" s="25" t="str">
        <f t="shared" si="0"/>
        <v/>
      </c>
      <c r="G14" s="16"/>
      <c r="H14" s="15"/>
      <c r="J14" s="129"/>
      <c r="K14" s="137"/>
      <c r="L14" s="124"/>
      <c r="M14" s="123"/>
      <c r="N14" s="126"/>
      <c r="O14" s="18">
        <f>COUNTIFS($C$3:$C$502,"PLUGUES",$F$3:$F$502,"Ambos")</f>
        <v>5</v>
      </c>
    </row>
    <row r="15" spans="1:15" ht="24.95" customHeight="1" x14ac:dyDescent="0.2">
      <c r="A15" s="24"/>
      <c r="B15" s="24"/>
      <c r="C15" s="24" t="s">
        <v>860</v>
      </c>
      <c r="D15" s="16" t="s">
        <v>785</v>
      </c>
      <c r="E15" s="24" t="s">
        <v>785</v>
      </c>
      <c r="F15" s="25" t="str">
        <f t="shared" si="0"/>
        <v/>
      </c>
      <c r="G15" s="16"/>
      <c r="H15" s="15"/>
      <c r="J15" s="129"/>
      <c r="K15" s="136" t="s">
        <v>13</v>
      </c>
      <c r="L15" s="122">
        <f>SUM(O15:O17)</f>
        <v>0</v>
      </c>
      <c r="M15" s="122" t="s">
        <v>36</v>
      </c>
      <c r="N15" s="125">
        <f>SUM(L15/L4)</f>
        <v>0</v>
      </c>
      <c r="O15" s="18">
        <f>COUNTIFS($C$3:$C$502,"ELETRODOMÉSTICO",$F$3:$F$502,"Técnico")</f>
        <v>0</v>
      </c>
    </row>
    <row r="16" spans="1:15" ht="24.95" customHeight="1" x14ac:dyDescent="0.2">
      <c r="A16" s="24"/>
      <c r="B16" s="24"/>
      <c r="C16" s="24" t="s">
        <v>860</v>
      </c>
      <c r="D16" s="16" t="s">
        <v>785</v>
      </c>
      <c r="E16" s="24" t="s">
        <v>785</v>
      </c>
      <c r="F16" s="25" t="str">
        <f t="shared" si="0"/>
        <v/>
      </c>
      <c r="G16" s="16"/>
      <c r="H16" s="15"/>
      <c r="J16" s="129"/>
      <c r="K16" s="138"/>
      <c r="L16" s="123"/>
      <c r="M16" s="123"/>
      <c r="N16" s="126"/>
      <c r="O16" s="18"/>
    </row>
    <row r="17" spans="1:15" ht="24.95" customHeight="1" x14ac:dyDescent="0.2">
      <c r="A17" s="24"/>
      <c r="B17" s="24"/>
      <c r="C17" s="24" t="s">
        <v>860</v>
      </c>
      <c r="D17" s="16" t="s">
        <v>785</v>
      </c>
      <c r="E17" s="24" t="s">
        <v>785</v>
      </c>
      <c r="F17" s="25" t="str">
        <f t="shared" si="0"/>
        <v/>
      </c>
      <c r="G17" s="16"/>
      <c r="H17" s="15"/>
      <c r="J17" s="129"/>
      <c r="K17" s="137"/>
      <c r="L17" s="124"/>
      <c r="M17" s="124"/>
      <c r="N17" s="127"/>
      <c r="O17" s="18">
        <f>COUNTIFS($C$3:$C$502,"ELETRODOMÉSTICO",$F$3:$F$502,"Ambos")</f>
        <v>0</v>
      </c>
    </row>
    <row r="18" spans="1:15" ht="24.95" customHeight="1" x14ac:dyDescent="0.25">
      <c r="A18" s="24"/>
      <c r="B18" s="24"/>
      <c r="C18" s="24" t="s">
        <v>860</v>
      </c>
      <c r="D18" s="16" t="s">
        <v>785</v>
      </c>
      <c r="E18" s="24" t="s">
        <v>785</v>
      </c>
      <c r="F18" s="25" t="str">
        <f t="shared" si="0"/>
        <v/>
      </c>
      <c r="G18" s="16"/>
      <c r="H18" s="15"/>
      <c r="J18" s="120" t="s">
        <v>37</v>
      </c>
      <c r="K18" s="120"/>
      <c r="L18" s="120"/>
      <c r="M18" s="120"/>
      <c r="N18" s="120"/>
    </row>
    <row r="19" spans="1:15" ht="24.95" customHeight="1" x14ac:dyDescent="0.25">
      <c r="A19" s="24"/>
      <c r="B19" s="24"/>
      <c r="C19" s="24" t="s">
        <v>860</v>
      </c>
      <c r="D19" s="16" t="s">
        <v>785</v>
      </c>
      <c r="E19" s="24" t="s">
        <v>785</v>
      </c>
      <c r="F19" s="25" t="str">
        <f t="shared" si="0"/>
        <v/>
      </c>
      <c r="G19" s="16"/>
      <c r="H19" s="15"/>
      <c r="J19" s="121" t="s">
        <v>38</v>
      </c>
      <c r="K19" s="121"/>
      <c r="L19" s="121"/>
      <c r="M19" s="121"/>
      <c r="N19" s="121"/>
    </row>
    <row r="20" spans="1:15" s="27" customFormat="1" ht="24.95" customHeight="1" x14ac:dyDescent="0.2">
      <c r="A20" s="24"/>
      <c r="B20" s="24"/>
      <c r="C20" s="24" t="s">
        <v>860</v>
      </c>
      <c r="D20" s="16" t="s">
        <v>785</v>
      </c>
      <c r="E20" s="24" t="s">
        <v>785</v>
      </c>
      <c r="F20" s="25" t="str">
        <f t="shared" si="0"/>
        <v/>
      </c>
      <c r="G20" s="24" t="s">
        <v>40</v>
      </c>
      <c r="H20" s="26"/>
    </row>
    <row r="21" spans="1:15" ht="24.95" customHeight="1" x14ac:dyDescent="0.2">
      <c r="A21" s="24"/>
      <c r="B21" s="24"/>
      <c r="C21" s="24" t="s">
        <v>860</v>
      </c>
      <c r="D21" s="16" t="s">
        <v>785</v>
      </c>
      <c r="E21" s="24" t="s">
        <v>785</v>
      </c>
      <c r="F21" s="25" t="str">
        <f t="shared" si="0"/>
        <v/>
      </c>
      <c r="G21" s="16" t="s">
        <v>40</v>
      </c>
      <c r="H21" s="15"/>
    </row>
    <row r="22" spans="1:15" ht="24.95" customHeight="1" x14ac:dyDescent="0.2">
      <c r="A22" s="24"/>
      <c r="B22" s="24"/>
      <c r="C22" s="24" t="s">
        <v>860</v>
      </c>
      <c r="D22" s="16" t="s">
        <v>785</v>
      </c>
      <c r="E22" s="24" t="s">
        <v>785</v>
      </c>
      <c r="F22" s="25" t="str">
        <f t="shared" si="0"/>
        <v/>
      </c>
      <c r="G22" s="16" t="s">
        <v>40</v>
      </c>
      <c r="H22" s="15"/>
    </row>
    <row r="23" spans="1:15" ht="24.95" customHeight="1" x14ac:dyDescent="0.2">
      <c r="A23" s="24"/>
      <c r="B23" s="24"/>
      <c r="C23" s="24" t="s">
        <v>860</v>
      </c>
      <c r="D23" s="16" t="s">
        <v>785</v>
      </c>
      <c r="E23" s="24" t="s">
        <v>785</v>
      </c>
      <c r="F23" s="25" t="str">
        <f t="shared" si="0"/>
        <v/>
      </c>
      <c r="G23" s="16"/>
      <c r="H23" s="15"/>
    </row>
    <row r="24" spans="1:15" ht="24.95" customHeight="1" x14ac:dyDescent="0.2">
      <c r="A24" s="24"/>
      <c r="B24" s="24"/>
      <c r="C24" s="24" t="s">
        <v>860</v>
      </c>
      <c r="D24" s="24" t="s">
        <v>785</v>
      </c>
      <c r="E24" s="24" t="s">
        <v>785</v>
      </c>
      <c r="F24" s="25" t="str">
        <f t="shared" si="0"/>
        <v/>
      </c>
      <c r="G24" s="24"/>
      <c r="H24" s="15"/>
    </row>
    <row r="25" spans="1:15" ht="24" customHeight="1" x14ac:dyDescent="0.2">
      <c r="A25" s="24"/>
      <c r="B25" s="24"/>
      <c r="C25" s="24" t="s">
        <v>860</v>
      </c>
      <c r="D25" s="24" t="s">
        <v>785</v>
      </c>
      <c r="E25" s="24" t="s">
        <v>785</v>
      </c>
      <c r="F25" s="25" t="str">
        <f t="shared" si="0"/>
        <v/>
      </c>
      <c r="G25" s="24" t="s">
        <v>65</v>
      </c>
      <c r="H25" s="15"/>
    </row>
    <row r="26" spans="1:15" ht="24.95" customHeight="1" x14ac:dyDescent="0.2">
      <c r="A26" s="24"/>
      <c r="B26" s="24"/>
      <c r="C26" s="24" t="s">
        <v>860</v>
      </c>
      <c r="D26" s="24" t="s">
        <v>785</v>
      </c>
      <c r="E26" s="24" t="s">
        <v>785</v>
      </c>
      <c r="F26" s="25" t="str">
        <f t="shared" si="0"/>
        <v/>
      </c>
      <c r="G26" s="39" t="s">
        <v>65</v>
      </c>
      <c r="H26" s="15"/>
    </row>
    <row r="27" spans="1:15" ht="24.95" customHeight="1" x14ac:dyDescent="0.2">
      <c r="A27" s="24"/>
      <c r="B27" s="24"/>
      <c r="C27" s="24" t="s">
        <v>860</v>
      </c>
      <c r="D27" s="24" t="s">
        <v>785</v>
      </c>
      <c r="E27" s="24" t="s">
        <v>785</v>
      </c>
      <c r="F27" s="25" t="str">
        <f t="shared" si="0"/>
        <v/>
      </c>
      <c r="G27" s="24" t="s">
        <v>40</v>
      </c>
      <c r="H27" s="15"/>
    </row>
    <row r="28" spans="1:15" ht="24.95" customHeight="1" x14ac:dyDescent="0.2">
      <c r="A28" s="24"/>
      <c r="B28" s="24"/>
      <c r="C28" s="24" t="s">
        <v>860</v>
      </c>
      <c r="D28" s="24" t="s">
        <v>785</v>
      </c>
      <c r="E28" s="24" t="s">
        <v>785</v>
      </c>
      <c r="F28" s="25" t="str">
        <f t="shared" si="0"/>
        <v/>
      </c>
      <c r="G28" s="39" t="s">
        <v>40</v>
      </c>
      <c r="H28" s="15"/>
    </row>
    <row r="29" spans="1:15" ht="24.95" customHeight="1" x14ac:dyDescent="0.2">
      <c r="A29" s="24"/>
      <c r="B29" s="24"/>
      <c r="C29" s="24" t="s">
        <v>860</v>
      </c>
      <c r="D29" s="24" t="s">
        <v>785</v>
      </c>
      <c r="E29" s="24" t="s">
        <v>785</v>
      </c>
      <c r="F29" s="25" t="str">
        <f t="shared" si="0"/>
        <v/>
      </c>
      <c r="G29" s="39" t="s">
        <v>40</v>
      </c>
      <c r="H29" s="15"/>
    </row>
    <row r="30" spans="1:15" ht="24.95" customHeight="1" x14ac:dyDescent="0.2">
      <c r="A30" s="24"/>
      <c r="B30" s="24"/>
      <c r="C30" s="24" t="s">
        <v>860</v>
      </c>
      <c r="D30" s="24" t="s">
        <v>785</v>
      </c>
      <c r="E30" s="24" t="s">
        <v>785</v>
      </c>
      <c r="F30" s="25" t="str">
        <f t="shared" si="0"/>
        <v/>
      </c>
      <c r="G30" s="16" t="s">
        <v>40</v>
      </c>
      <c r="H30" s="15"/>
    </row>
    <row r="31" spans="1:15" ht="24.95" customHeight="1" x14ac:dyDescent="0.2">
      <c r="A31" s="24"/>
      <c r="B31" s="24"/>
      <c r="C31" s="24" t="s">
        <v>860</v>
      </c>
      <c r="D31" s="24" t="s">
        <v>785</v>
      </c>
      <c r="E31" s="24" t="s">
        <v>785</v>
      </c>
      <c r="F31" s="25" t="str">
        <f t="shared" si="0"/>
        <v/>
      </c>
      <c r="G31" s="16" t="s">
        <v>40</v>
      </c>
      <c r="H31" s="15"/>
    </row>
    <row r="32" spans="1:15" ht="24.95" customHeight="1" x14ac:dyDescent="0.2">
      <c r="A32" s="24"/>
      <c r="B32" s="24"/>
      <c r="C32" s="24" t="s">
        <v>860</v>
      </c>
      <c r="D32" s="24" t="s">
        <v>785</v>
      </c>
      <c r="E32" s="24" t="s">
        <v>785</v>
      </c>
      <c r="F32" s="25" t="str">
        <f t="shared" si="0"/>
        <v/>
      </c>
      <c r="G32" s="16" t="s">
        <v>40</v>
      </c>
      <c r="H32" s="15"/>
    </row>
    <row r="33" spans="1:27" ht="24.95" customHeight="1" x14ac:dyDescent="0.2">
      <c r="A33" s="24"/>
      <c r="B33" s="24"/>
      <c r="C33" s="24" t="s">
        <v>860</v>
      </c>
      <c r="D33" s="24" t="s">
        <v>785</v>
      </c>
      <c r="E33" s="24" t="s">
        <v>785</v>
      </c>
      <c r="F33" s="25" t="str">
        <f t="shared" si="0"/>
        <v/>
      </c>
      <c r="G33" s="16" t="s">
        <v>40</v>
      </c>
      <c r="H33" s="15"/>
    </row>
    <row r="34" spans="1:27" s="27" customFormat="1" ht="24.95" customHeight="1" x14ac:dyDescent="0.2">
      <c r="A34" s="24"/>
      <c r="B34" s="24"/>
      <c r="C34" s="24" t="s">
        <v>860</v>
      </c>
      <c r="D34" s="24" t="s">
        <v>786</v>
      </c>
      <c r="E34" s="24" t="s">
        <v>785</v>
      </c>
      <c r="F34" s="25" t="str">
        <f t="shared" si="0"/>
        <v>Técnico</v>
      </c>
      <c r="G34" s="24" t="s">
        <v>40</v>
      </c>
      <c r="H34" s="26"/>
    </row>
    <row r="35" spans="1:27" s="27" customFormat="1" ht="24.95" customHeight="1" x14ac:dyDescent="0.2">
      <c r="A35" s="24"/>
      <c r="B35" s="24"/>
      <c r="C35" s="24" t="s">
        <v>860</v>
      </c>
      <c r="D35" s="24" t="s">
        <v>785</v>
      </c>
      <c r="E35" s="24" t="s">
        <v>785</v>
      </c>
      <c r="F35" s="25" t="str">
        <f t="shared" si="0"/>
        <v/>
      </c>
      <c r="G35" s="24" t="s">
        <v>40</v>
      </c>
      <c r="H35" s="26"/>
    </row>
    <row r="36" spans="1:27" ht="24.95" customHeight="1" x14ac:dyDescent="0.2">
      <c r="A36" s="24"/>
      <c r="B36" s="24"/>
      <c r="C36" s="24" t="s">
        <v>860</v>
      </c>
      <c r="D36" s="24" t="s">
        <v>785</v>
      </c>
      <c r="E36" s="24" t="s">
        <v>785</v>
      </c>
      <c r="F36" s="25" t="str">
        <f t="shared" si="0"/>
        <v/>
      </c>
      <c r="G36" s="16" t="s">
        <v>40</v>
      </c>
      <c r="H36" s="15"/>
    </row>
    <row r="37" spans="1:27" s="27" customFormat="1" ht="24.95" customHeight="1" x14ac:dyDescent="0.2">
      <c r="A37" s="24"/>
      <c r="B37" s="24"/>
      <c r="C37" s="24" t="s">
        <v>859</v>
      </c>
      <c r="D37" s="24" t="s">
        <v>786</v>
      </c>
      <c r="E37" s="24" t="s">
        <v>786</v>
      </c>
      <c r="F37" s="25" t="str">
        <f t="shared" si="0"/>
        <v>Ambos</v>
      </c>
      <c r="G37" s="24"/>
      <c r="H37" s="26"/>
    </row>
    <row r="38" spans="1:27" s="27" customFormat="1" ht="24.95" customHeight="1" x14ac:dyDescent="0.2">
      <c r="A38" s="24"/>
      <c r="B38" s="24"/>
      <c r="C38" s="24" t="s">
        <v>859</v>
      </c>
      <c r="D38" s="24" t="s">
        <v>786</v>
      </c>
      <c r="E38" s="24" t="s">
        <v>786</v>
      </c>
      <c r="F38" s="25" t="str">
        <f t="shared" si="0"/>
        <v>Ambos</v>
      </c>
      <c r="G38" s="24"/>
      <c r="H38" s="26"/>
    </row>
    <row r="39" spans="1:27" s="27" customFormat="1" ht="24.95" customHeight="1" x14ac:dyDescent="0.2">
      <c r="A39" s="24"/>
      <c r="B39" s="24"/>
      <c r="C39" s="24" t="s">
        <v>860</v>
      </c>
      <c r="D39" s="24" t="s">
        <v>785</v>
      </c>
      <c r="E39" s="24" t="s">
        <v>785</v>
      </c>
      <c r="F39" s="25" t="str">
        <f t="shared" si="0"/>
        <v/>
      </c>
      <c r="G39" s="24"/>
      <c r="H39" s="26"/>
      <c r="N39" s="130" t="s">
        <v>7</v>
      </c>
      <c r="O39" s="131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  <c r="AA39" s="132"/>
    </row>
    <row r="40" spans="1:27" ht="24.95" customHeight="1" x14ac:dyDescent="0.2">
      <c r="A40" s="24"/>
      <c r="B40" s="24"/>
      <c r="C40" s="24" t="s">
        <v>860</v>
      </c>
      <c r="D40" s="24" t="s">
        <v>785</v>
      </c>
      <c r="E40" s="24" t="s">
        <v>785</v>
      </c>
      <c r="F40" s="25" t="str">
        <f t="shared" si="0"/>
        <v/>
      </c>
      <c r="G40" s="16"/>
      <c r="H40" s="15"/>
      <c r="N40" s="40" t="s">
        <v>41</v>
      </c>
      <c r="O40" s="40"/>
      <c r="P40" s="40" t="s">
        <v>42</v>
      </c>
      <c r="Q40" s="40" t="s">
        <v>43</v>
      </c>
      <c r="R40" s="40" t="s">
        <v>44</v>
      </c>
      <c r="S40" s="40" t="s">
        <v>45</v>
      </c>
      <c r="T40" s="40" t="s">
        <v>46</v>
      </c>
      <c r="U40" s="40" t="s">
        <v>47</v>
      </c>
      <c r="V40" s="40" t="s">
        <v>48</v>
      </c>
      <c r="W40" s="40" t="s">
        <v>49</v>
      </c>
      <c r="X40" s="40" t="s">
        <v>50</v>
      </c>
      <c r="Y40" s="40" t="s">
        <v>51</v>
      </c>
      <c r="Z40" s="40" t="s">
        <v>52</v>
      </c>
      <c r="AA40" s="40" t="s">
        <v>53</v>
      </c>
    </row>
    <row r="41" spans="1:27" ht="24.95" customHeight="1" x14ac:dyDescent="0.2">
      <c r="A41" s="24"/>
      <c r="B41" s="24"/>
      <c r="C41" s="24" t="s">
        <v>859</v>
      </c>
      <c r="D41" s="24" t="s">
        <v>786</v>
      </c>
      <c r="E41" s="24" t="s">
        <v>786</v>
      </c>
      <c r="F41" s="25" t="str">
        <f t="shared" si="0"/>
        <v>Ambos</v>
      </c>
      <c r="G41" s="16"/>
      <c r="H41" s="15"/>
      <c r="N41" s="40" t="s">
        <v>54</v>
      </c>
      <c r="O41" s="41"/>
      <c r="P41" s="44">
        <v>8</v>
      </c>
      <c r="Q41" s="44">
        <v>8</v>
      </c>
      <c r="R41" s="44">
        <v>2</v>
      </c>
      <c r="S41" s="44">
        <v>7</v>
      </c>
      <c r="T41" s="44">
        <v>4</v>
      </c>
      <c r="U41" s="44">
        <v>26</v>
      </c>
      <c r="V41" s="44"/>
      <c r="W41" s="44"/>
      <c r="X41" s="44"/>
      <c r="Y41" s="44"/>
      <c r="Z41" s="44"/>
      <c r="AA41" s="44"/>
    </row>
    <row r="42" spans="1:27" ht="24.95" customHeight="1" x14ac:dyDescent="0.2">
      <c r="A42" s="24"/>
      <c r="B42" s="24"/>
      <c r="C42" s="24" t="s">
        <v>859</v>
      </c>
      <c r="D42" s="24" t="s">
        <v>786</v>
      </c>
      <c r="E42" s="24" t="s">
        <v>786</v>
      </c>
      <c r="F42" s="25" t="str">
        <f t="shared" si="0"/>
        <v>Ambos</v>
      </c>
      <c r="G42" s="16"/>
      <c r="H42" s="15"/>
      <c r="N42" s="40" t="s">
        <v>55</v>
      </c>
      <c r="O42" s="41"/>
      <c r="P42" s="44">
        <v>33</v>
      </c>
      <c r="Q42" s="44">
        <v>25</v>
      </c>
      <c r="R42" s="44">
        <v>32</v>
      </c>
      <c r="S42" s="44">
        <v>54</v>
      </c>
      <c r="T42" s="44">
        <v>74</v>
      </c>
      <c r="U42" s="44">
        <v>60</v>
      </c>
      <c r="V42" s="44"/>
      <c r="W42" s="44"/>
      <c r="X42" s="44"/>
      <c r="Y42" s="44"/>
      <c r="Z42" s="44"/>
      <c r="AA42" s="44"/>
    </row>
    <row r="43" spans="1:27" ht="24.95" customHeight="1" x14ac:dyDescent="0.2">
      <c r="A43" s="24"/>
      <c r="B43" s="24"/>
      <c r="C43" s="24" t="s">
        <v>859</v>
      </c>
      <c r="D43" s="24" t="s">
        <v>785</v>
      </c>
      <c r="E43" s="24" t="s">
        <v>785</v>
      </c>
      <c r="F43" s="25" t="str">
        <f t="shared" si="0"/>
        <v/>
      </c>
      <c r="G43" s="16"/>
      <c r="H43" s="15"/>
    </row>
    <row r="44" spans="1:27" ht="24.95" customHeight="1" x14ac:dyDescent="0.2">
      <c r="A44" s="24"/>
      <c r="B44" s="24"/>
      <c r="C44" s="24" t="s">
        <v>860</v>
      </c>
      <c r="D44" s="24" t="s">
        <v>785</v>
      </c>
      <c r="E44" s="24" t="s">
        <v>785</v>
      </c>
      <c r="F44" s="25" t="str">
        <f t="shared" si="0"/>
        <v/>
      </c>
      <c r="G44" s="16"/>
      <c r="H44" s="15"/>
    </row>
    <row r="45" spans="1:27" ht="24.95" customHeight="1" x14ac:dyDescent="0.2">
      <c r="A45" s="24"/>
      <c r="B45" s="39"/>
      <c r="C45" s="24" t="s">
        <v>860</v>
      </c>
      <c r="D45" s="24" t="s">
        <v>786</v>
      </c>
      <c r="E45" s="24" t="s">
        <v>786</v>
      </c>
      <c r="F45" s="25" t="str">
        <f t="shared" si="0"/>
        <v>Ambos</v>
      </c>
      <c r="G45" s="16"/>
      <c r="H45" s="15"/>
    </row>
    <row r="46" spans="1:27" ht="24.95" customHeight="1" x14ac:dyDescent="0.2">
      <c r="A46" s="24"/>
      <c r="B46" s="39"/>
      <c r="C46" s="24" t="s">
        <v>860</v>
      </c>
      <c r="D46" s="24" t="s">
        <v>786</v>
      </c>
      <c r="E46" s="24" t="s">
        <v>786</v>
      </c>
      <c r="F46" s="25" t="str">
        <f t="shared" si="0"/>
        <v>Ambos</v>
      </c>
      <c r="G46" s="16"/>
      <c r="H46" s="15"/>
    </row>
    <row r="47" spans="1:27" ht="24.95" customHeight="1" x14ac:dyDescent="0.2">
      <c r="A47" s="24"/>
      <c r="B47" s="24"/>
      <c r="C47" s="24" t="s">
        <v>860</v>
      </c>
      <c r="D47" s="24" t="s">
        <v>786</v>
      </c>
      <c r="E47" s="24" t="s">
        <v>786</v>
      </c>
      <c r="F47" s="25" t="str">
        <f t="shared" si="0"/>
        <v>Ambos</v>
      </c>
      <c r="G47" s="16"/>
      <c r="H47" s="15"/>
    </row>
    <row r="48" spans="1:27" ht="24.95" customHeight="1" x14ac:dyDescent="0.2">
      <c r="A48" s="24"/>
      <c r="B48" s="24"/>
      <c r="C48" s="24" t="s">
        <v>860</v>
      </c>
      <c r="D48" s="24" t="s">
        <v>786</v>
      </c>
      <c r="E48" s="24" t="s">
        <v>786</v>
      </c>
      <c r="F48" s="25" t="str">
        <f t="shared" si="0"/>
        <v>Ambos</v>
      </c>
      <c r="G48" s="16"/>
      <c r="H48" s="15"/>
    </row>
    <row r="49" spans="1:8" ht="24.95" customHeight="1" x14ac:dyDescent="0.2">
      <c r="A49" s="24"/>
      <c r="B49" s="24"/>
      <c r="C49" s="24" t="s">
        <v>860</v>
      </c>
      <c r="D49" s="24" t="s">
        <v>785</v>
      </c>
      <c r="E49" s="24" t="s">
        <v>785</v>
      </c>
      <c r="F49" s="25" t="str">
        <f t="shared" si="0"/>
        <v/>
      </c>
      <c r="G49" s="16"/>
      <c r="H49" s="15"/>
    </row>
    <row r="50" spans="1:8" ht="24.95" customHeight="1" x14ac:dyDescent="0.2">
      <c r="A50" s="24"/>
      <c r="B50" s="24"/>
      <c r="C50" s="24" t="s">
        <v>860</v>
      </c>
      <c r="D50" s="24" t="s">
        <v>786</v>
      </c>
      <c r="E50" s="24" t="s">
        <v>785</v>
      </c>
      <c r="F50" s="25" t="str">
        <f t="shared" si="0"/>
        <v>Técnico</v>
      </c>
      <c r="G50" s="16"/>
      <c r="H50" s="15"/>
    </row>
    <row r="51" spans="1:8" ht="24.95" customHeight="1" x14ac:dyDescent="0.2">
      <c r="A51" s="24"/>
      <c r="B51" s="24"/>
      <c r="C51" s="24" t="s">
        <v>859</v>
      </c>
      <c r="D51" s="24" t="s">
        <v>786</v>
      </c>
      <c r="E51" s="24" t="s">
        <v>786</v>
      </c>
      <c r="F51" s="25" t="str">
        <f t="shared" si="0"/>
        <v>Ambos</v>
      </c>
      <c r="G51" s="16"/>
      <c r="H51" s="15"/>
    </row>
    <row r="52" spans="1:8" ht="24.95" customHeight="1" x14ac:dyDescent="0.2">
      <c r="A52" s="24"/>
      <c r="B52" s="24"/>
      <c r="C52" s="24" t="s">
        <v>859</v>
      </c>
      <c r="D52" s="24" t="s">
        <v>786</v>
      </c>
      <c r="E52" s="24" t="s">
        <v>786</v>
      </c>
      <c r="F52" s="25" t="str">
        <f t="shared" si="0"/>
        <v>Ambos</v>
      </c>
      <c r="G52" s="16"/>
      <c r="H52" s="15"/>
    </row>
    <row r="53" spans="1:8" ht="24.95" customHeight="1" x14ac:dyDescent="0.2">
      <c r="A53" s="24"/>
      <c r="B53" s="24"/>
      <c r="C53" s="24" t="s">
        <v>860</v>
      </c>
      <c r="D53" s="24" t="s">
        <v>786</v>
      </c>
      <c r="E53" s="24" t="s">
        <v>786</v>
      </c>
      <c r="F53" s="25" t="str">
        <f t="shared" si="0"/>
        <v>Ambos</v>
      </c>
      <c r="G53" s="16"/>
      <c r="H53" s="15"/>
    </row>
    <row r="54" spans="1:8" ht="24.95" customHeight="1" x14ac:dyDescent="0.2">
      <c r="A54" s="24"/>
      <c r="B54" s="24"/>
      <c r="C54" s="24" t="s">
        <v>859</v>
      </c>
      <c r="D54" s="24" t="s">
        <v>786</v>
      </c>
      <c r="E54" s="24" t="s">
        <v>785</v>
      </c>
      <c r="F54" s="25" t="str">
        <f t="shared" si="0"/>
        <v>Técnico</v>
      </c>
      <c r="G54" s="16"/>
      <c r="H54" s="15"/>
    </row>
    <row r="55" spans="1:8" ht="24.95" customHeight="1" x14ac:dyDescent="0.2">
      <c r="A55" s="24"/>
      <c r="B55" s="24"/>
      <c r="C55" s="24" t="s">
        <v>859</v>
      </c>
      <c r="D55" s="24" t="s">
        <v>786</v>
      </c>
      <c r="E55" s="24" t="s">
        <v>785</v>
      </c>
      <c r="F55" s="25" t="str">
        <f t="shared" si="0"/>
        <v>Técnico</v>
      </c>
      <c r="G55" s="16"/>
      <c r="H55" s="15"/>
    </row>
    <row r="56" spans="1:8" ht="24.95" customHeight="1" x14ac:dyDescent="0.2">
      <c r="A56" s="24"/>
      <c r="B56" s="24"/>
      <c r="C56" s="24" t="s">
        <v>860</v>
      </c>
      <c r="D56" s="24" t="s">
        <v>785</v>
      </c>
      <c r="E56" s="24" t="s">
        <v>785</v>
      </c>
      <c r="F56" s="25" t="str">
        <f t="shared" si="0"/>
        <v/>
      </c>
      <c r="G56" s="16"/>
      <c r="H56" s="15"/>
    </row>
    <row r="57" spans="1:8" ht="24.95" customHeight="1" x14ac:dyDescent="0.2">
      <c r="A57" s="24"/>
      <c r="B57" s="24"/>
      <c r="C57" s="24" t="s">
        <v>861</v>
      </c>
      <c r="D57" s="24" t="s">
        <v>785</v>
      </c>
      <c r="E57" s="24" t="s">
        <v>785</v>
      </c>
      <c r="F57" s="25" t="str">
        <f t="shared" si="0"/>
        <v/>
      </c>
      <c r="G57" s="16"/>
      <c r="H57" s="15"/>
    </row>
    <row r="58" spans="1:8" ht="24.95" customHeight="1" x14ac:dyDescent="0.2">
      <c r="A58" s="24"/>
      <c r="B58" s="24"/>
      <c r="C58" s="24" t="s">
        <v>861</v>
      </c>
      <c r="D58" s="24" t="s">
        <v>785</v>
      </c>
      <c r="E58" s="24" t="s">
        <v>785</v>
      </c>
      <c r="F58" s="25" t="str">
        <f t="shared" si="0"/>
        <v/>
      </c>
      <c r="G58" s="16"/>
      <c r="H58" s="15"/>
    </row>
    <row r="59" spans="1:8" ht="24.95" customHeight="1" x14ac:dyDescent="0.2">
      <c r="A59" s="24"/>
      <c r="B59" s="24"/>
      <c r="C59" s="24" t="s">
        <v>863</v>
      </c>
      <c r="D59" s="24" t="s">
        <v>785</v>
      </c>
      <c r="E59" s="24" t="s">
        <v>785</v>
      </c>
      <c r="F59" s="25" t="str">
        <f t="shared" si="0"/>
        <v/>
      </c>
      <c r="G59" s="16"/>
      <c r="H59" s="15"/>
    </row>
    <row r="60" spans="1:8" ht="24.95" customHeight="1" x14ac:dyDescent="0.2">
      <c r="A60" s="24"/>
      <c r="B60" s="24"/>
      <c r="C60" s="24" t="s">
        <v>863</v>
      </c>
      <c r="D60" s="24" t="s">
        <v>785</v>
      </c>
      <c r="E60" s="24" t="s">
        <v>785</v>
      </c>
      <c r="F60" s="25" t="str">
        <f t="shared" si="0"/>
        <v/>
      </c>
      <c r="G60" s="16"/>
      <c r="H60" s="15"/>
    </row>
    <row r="61" spans="1:8" ht="24.95" customHeight="1" x14ac:dyDescent="0.2">
      <c r="A61" s="24"/>
      <c r="B61" s="24"/>
      <c r="C61" s="24" t="s">
        <v>861</v>
      </c>
      <c r="D61" s="24" t="s">
        <v>785</v>
      </c>
      <c r="E61" s="24" t="s">
        <v>785</v>
      </c>
      <c r="F61" s="25" t="str">
        <f t="shared" si="0"/>
        <v/>
      </c>
      <c r="G61" s="16"/>
      <c r="H61" s="15"/>
    </row>
    <row r="62" spans="1:8" ht="24.95" customHeight="1" x14ac:dyDescent="0.2">
      <c r="A62" s="24"/>
      <c r="B62" s="24"/>
      <c r="C62" s="24" t="s">
        <v>863</v>
      </c>
      <c r="D62" s="24" t="s">
        <v>785</v>
      </c>
      <c r="E62" s="24" t="s">
        <v>785</v>
      </c>
      <c r="F62" s="25" t="str">
        <f t="shared" si="0"/>
        <v/>
      </c>
      <c r="G62" s="16"/>
      <c r="H62" s="15"/>
    </row>
    <row r="63" spans="1:8" ht="24.95" customHeight="1" x14ac:dyDescent="0.2">
      <c r="A63" s="24"/>
      <c r="B63" s="24"/>
      <c r="C63" s="24" t="s">
        <v>861</v>
      </c>
      <c r="D63" s="24" t="s">
        <v>785</v>
      </c>
      <c r="E63" s="24" t="s">
        <v>785</v>
      </c>
      <c r="F63" s="25" t="str">
        <f t="shared" si="0"/>
        <v/>
      </c>
      <c r="G63" s="16"/>
      <c r="H63" s="15"/>
    </row>
    <row r="64" spans="1:8" ht="24.95" customHeight="1" x14ac:dyDescent="0.2">
      <c r="A64" s="24"/>
      <c r="B64" s="24"/>
      <c r="C64" s="24" t="s">
        <v>861</v>
      </c>
      <c r="D64" s="24" t="s">
        <v>785</v>
      </c>
      <c r="E64" s="24" t="s">
        <v>785</v>
      </c>
      <c r="F64" s="25" t="str">
        <f t="shared" si="0"/>
        <v/>
      </c>
      <c r="G64" s="16"/>
      <c r="H64" s="15"/>
    </row>
    <row r="65" spans="1:8" ht="24.95" customHeight="1" x14ac:dyDescent="0.2">
      <c r="A65" s="16"/>
      <c r="B65" s="16"/>
      <c r="C65" s="16" t="s">
        <v>861</v>
      </c>
      <c r="D65" s="16" t="s">
        <v>785</v>
      </c>
      <c r="E65" s="16" t="s">
        <v>785</v>
      </c>
      <c r="F65" s="25" t="str">
        <f t="shared" si="0"/>
        <v/>
      </c>
      <c r="G65" s="16"/>
      <c r="H65" s="15"/>
    </row>
    <row r="66" spans="1:8" ht="24.95" customHeight="1" x14ac:dyDescent="0.2">
      <c r="A66" s="16"/>
      <c r="B66" s="16"/>
      <c r="C66" s="16" t="s">
        <v>861</v>
      </c>
      <c r="D66" s="16" t="s">
        <v>785</v>
      </c>
      <c r="E66" s="16" t="s">
        <v>785</v>
      </c>
      <c r="F66" s="25" t="str">
        <f t="shared" si="0"/>
        <v/>
      </c>
      <c r="G66" s="16"/>
      <c r="H66" s="15"/>
    </row>
    <row r="67" spans="1:8" ht="24.95" customHeight="1" x14ac:dyDescent="0.2">
      <c r="A67" s="16"/>
      <c r="B67" s="16"/>
      <c r="C67" s="16" t="s">
        <v>860</v>
      </c>
      <c r="D67" s="16" t="s">
        <v>786</v>
      </c>
      <c r="E67" s="16" t="s">
        <v>786</v>
      </c>
      <c r="F67" s="25" t="str">
        <f t="shared" si="0"/>
        <v>Ambos</v>
      </c>
      <c r="G67" s="16"/>
      <c r="H67" s="15"/>
    </row>
    <row r="68" spans="1:8" ht="24.95" customHeight="1" x14ac:dyDescent="0.2">
      <c r="A68" s="16"/>
      <c r="B68" s="16"/>
      <c r="C68" s="16" t="s">
        <v>860</v>
      </c>
      <c r="D68" s="16" t="s">
        <v>786</v>
      </c>
      <c r="E68" s="16" t="s">
        <v>786</v>
      </c>
      <c r="F68" s="25" t="str">
        <f t="shared" ref="F68:F131" si="1">IFERROR(IF(AND(D68="Não",E68="Sim"),"REP",
IF(AND(D68="Sim",E68="Não"),"Técnico",
IF(AND(D68="Sim",E68="Sim"),"Ambos",""))),"")</f>
        <v>Ambos</v>
      </c>
      <c r="G68" s="16"/>
      <c r="H68" s="15"/>
    </row>
    <row r="69" spans="1:8" ht="24.95" customHeight="1" x14ac:dyDescent="0.2">
      <c r="A69" s="16"/>
      <c r="B69" s="16"/>
      <c r="C69" s="16" t="s">
        <v>863</v>
      </c>
      <c r="D69" s="16" t="s">
        <v>786</v>
      </c>
      <c r="E69" s="16" t="s">
        <v>786</v>
      </c>
      <c r="F69" s="25" t="str">
        <f t="shared" si="1"/>
        <v>Ambos</v>
      </c>
      <c r="G69" s="16"/>
      <c r="H69" s="15"/>
    </row>
    <row r="70" spans="1:8" ht="24.95" customHeight="1" x14ac:dyDescent="0.2">
      <c r="A70" s="16"/>
      <c r="B70" s="16"/>
      <c r="C70" s="16" t="s">
        <v>862</v>
      </c>
      <c r="D70" s="16" t="s">
        <v>785</v>
      </c>
      <c r="E70" s="16" t="s">
        <v>785</v>
      </c>
      <c r="F70" s="25" t="str">
        <f t="shared" si="1"/>
        <v/>
      </c>
      <c r="G70" s="16"/>
      <c r="H70" s="15"/>
    </row>
    <row r="71" spans="1:8" ht="24.95" customHeight="1" x14ac:dyDescent="0.2">
      <c r="A71" s="16"/>
      <c r="B71" s="16"/>
      <c r="C71" s="16" t="s">
        <v>859</v>
      </c>
      <c r="D71" s="16" t="s">
        <v>785</v>
      </c>
      <c r="E71" s="16" t="s">
        <v>785</v>
      </c>
      <c r="F71" s="25" t="str">
        <f t="shared" si="1"/>
        <v/>
      </c>
      <c r="G71" s="16"/>
      <c r="H71" s="15"/>
    </row>
    <row r="72" spans="1:8" ht="24.95" customHeight="1" x14ac:dyDescent="0.2">
      <c r="A72" s="16"/>
      <c r="B72" s="16"/>
      <c r="C72" s="16" t="s">
        <v>859</v>
      </c>
      <c r="D72" s="16" t="s">
        <v>785</v>
      </c>
      <c r="E72" s="16" t="s">
        <v>785</v>
      </c>
      <c r="F72" s="25" t="str">
        <f t="shared" si="1"/>
        <v/>
      </c>
      <c r="G72" s="16"/>
      <c r="H72" s="15"/>
    </row>
    <row r="73" spans="1:8" ht="24.95" customHeight="1" x14ac:dyDescent="0.2">
      <c r="A73" s="16"/>
      <c r="B73" s="16"/>
      <c r="C73" s="16" t="s">
        <v>862</v>
      </c>
      <c r="D73" s="16" t="s">
        <v>786</v>
      </c>
      <c r="E73" s="16" t="s">
        <v>786</v>
      </c>
      <c r="F73" s="25" t="str">
        <f t="shared" si="1"/>
        <v>Ambos</v>
      </c>
      <c r="G73" s="16"/>
      <c r="H73" s="15"/>
    </row>
    <row r="74" spans="1:8" ht="24.95" customHeight="1" x14ac:dyDescent="0.2">
      <c r="A74" s="16"/>
      <c r="B74" s="16"/>
      <c r="C74" s="16" t="s">
        <v>859</v>
      </c>
      <c r="D74" s="16" t="s">
        <v>786</v>
      </c>
      <c r="E74" s="16" t="s">
        <v>786</v>
      </c>
      <c r="F74" s="25" t="str">
        <f t="shared" si="1"/>
        <v>Ambos</v>
      </c>
      <c r="G74" s="16"/>
      <c r="H74" s="15"/>
    </row>
    <row r="75" spans="1:8" ht="24.95" customHeight="1" x14ac:dyDescent="0.2">
      <c r="A75" s="16"/>
      <c r="B75" s="16"/>
      <c r="C75" s="16" t="s">
        <v>859</v>
      </c>
      <c r="D75" s="16" t="s">
        <v>786</v>
      </c>
      <c r="E75" s="16" t="s">
        <v>786</v>
      </c>
      <c r="F75" s="25" t="str">
        <f t="shared" si="1"/>
        <v>Ambos</v>
      </c>
      <c r="G75" s="16"/>
      <c r="H75" s="15"/>
    </row>
    <row r="76" spans="1:8" ht="24.95" customHeight="1" x14ac:dyDescent="0.2">
      <c r="A76" s="16"/>
      <c r="B76" s="16"/>
      <c r="C76" s="16" t="s">
        <v>859</v>
      </c>
      <c r="D76" s="16" t="s">
        <v>785</v>
      </c>
      <c r="E76" s="16" t="s">
        <v>785</v>
      </c>
      <c r="F76" s="25" t="str">
        <f t="shared" si="1"/>
        <v/>
      </c>
      <c r="G76" s="16"/>
      <c r="H76" s="15"/>
    </row>
    <row r="77" spans="1:8" ht="24.95" customHeight="1" x14ac:dyDescent="0.2">
      <c r="A77" s="16"/>
      <c r="B77" s="16"/>
      <c r="C77" s="16" t="s">
        <v>863</v>
      </c>
      <c r="D77" s="16" t="s">
        <v>785</v>
      </c>
      <c r="E77" s="16" t="s">
        <v>785</v>
      </c>
      <c r="F77" s="25" t="str">
        <f t="shared" si="1"/>
        <v/>
      </c>
      <c r="G77" s="16"/>
      <c r="H77" s="15"/>
    </row>
    <row r="78" spans="1:8" ht="24.95" customHeight="1" x14ac:dyDescent="0.2">
      <c r="A78" s="16"/>
      <c r="B78" s="16"/>
      <c r="C78" s="16" t="s">
        <v>863</v>
      </c>
      <c r="D78" s="16" t="s">
        <v>786</v>
      </c>
      <c r="E78" s="16" t="s">
        <v>785</v>
      </c>
      <c r="F78" s="25" t="str">
        <f t="shared" si="1"/>
        <v>Técnico</v>
      </c>
      <c r="G78" s="16"/>
      <c r="H78" s="15"/>
    </row>
    <row r="79" spans="1:8" ht="24.95" customHeight="1" x14ac:dyDescent="0.2">
      <c r="A79" s="16"/>
      <c r="B79" s="16"/>
      <c r="C79" s="16" t="s">
        <v>861</v>
      </c>
      <c r="D79" s="16" t="s">
        <v>785</v>
      </c>
      <c r="E79" s="16" t="s">
        <v>786</v>
      </c>
      <c r="F79" s="25" t="str">
        <f t="shared" si="1"/>
        <v>REP</v>
      </c>
      <c r="G79" s="16"/>
      <c r="H79" s="15"/>
    </row>
    <row r="80" spans="1:8" ht="24.95" customHeight="1" x14ac:dyDescent="0.2">
      <c r="A80" s="16"/>
      <c r="B80" s="16"/>
      <c r="C80" s="16" t="s">
        <v>861</v>
      </c>
      <c r="D80" s="16" t="s">
        <v>785</v>
      </c>
      <c r="E80" s="16" t="s">
        <v>786</v>
      </c>
      <c r="F80" s="25" t="str">
        <f t="shared" si="1"/>
        <v>REP</v>
      </c>
      <c r="G80" s="16"/>
      <c r="H80" s="15"/>
    </row>
    <row r="81" spans="1:8" ht="24.95" customHeight="1" x14ac:dyDescent="0.2">
      <c r="A81" s="16"/>
      <c r="B81" s="16"/>
      <c r="C81" s="16" t="s">
        <v>860</v>
      </c>
      <c r="D81" s="16" t="s">
        <v>786</v>
      </c>
      <c r="E81" s="16" t="s">
        <v>786</v>
      </c>
      <c r="F81" s="25" t="str">
        <f t="shared" si="1"/>
        <v>Ambos</v>
      </c>
      <c r="G81" s="16"/>
      <c r="H81" s="15"/>
    </row>
    <row r="82" spans="1:8" ht="24.95" customHeight="1" x14ac:dyDescent="0.2">
      <c r="A82" s="16"/>
      <c r="B82" s="16"/>
      <c r="C82" s="16" t="s">
        <v>860</v>
      </c>
      <c r="D82" s="16" t="s">
        <v>786</v>
      </c>
      <c r="E82" s="16" t="s">
        <v>786</v>
      </c>
      <c r="F82" s="25" t="str">
        <f t="shared" si="1"/>
        <v>Ambos</v>
      </c>
      <c r="G82" s="16"/>
      <c r="H82" s="15"/>
    </row>
    <row r="83" spans="1:8" ht="24.95" customHeight="1" x14ac:dyDescent="0.2">
      <c r="A83" s="16"/>
      <c r="B83" s="16"/>
      <c r="C83" s="16" t="s">
        <v>860</v>
      </c>
      <c r="D83" s="16" t="s">
        <v>785</v>
      </c>
      <c r="E83" s="16" t="s">
        <v>785</v>
      </c>
      <c r="F83" s="25" t="str">
        <f t="shared" si="1"/>
        <v/>
      </c>
      <c r="G83" s="16"/>
      <c r="H83" s="15"/>
    </row>
    <row r="84" spans="1:8" ht="24.95" customHeight="1" x14ac:dyDescent="0.2">
      <c r="A84" s="16"/>
      <c r="B84" s="16"/>
      <c r="C84" s="16" t="s">
        <v>860</v>
      </c>
      <c r="D84" s="16" t="s">
        <v>785</v>
      </c>
      <c r="E84" s="16" t="s">
        <v>785</v>
      </c>
      <c r="F84" s="25" t="str">
        <f t="shared" si="1"/>
        <v/>
      </c>
      <c r="G84" s="16"/>
      <c r="H84" s="15"/>
    </row>
    <row r="85" spans="1:8" ht="24.95" customHeight="1" x14ac:dyDescent="0.2">
      <c r="A85" s="16"/>
      <c r="B85" s="16"/>
      <c r="C85" s="16" t="s">
        <v>860</v>
      </c>
      <c r="D85" s="16" t="s">
        <v>785</v>
      </c>
      <c r="E85" s="16" t="s">
        <v>785</v>
      </c>
      <c r="F85" s="25" t="str">
        <f t="shared" si="1"/>
        <v/>
      </c>
      <c r="G85" s="16"/>
      <c r="H85" s="15"/>
    </row>
    <row r="86" spans="1:8" ht="24.95" customHeight="1" x14ac:dyDescent="0.2">
      <c r="A86" s="16"/>
      <c r="B86" s="16"/>
      <c r="C86" s="16" t="s">
        <v>860</v>
      </c>
      <c r="D86" s="16" t="s">
        <v>786</v>
      </c>
      <c r="E86" s="16" t="s">
        <v>786</v>
      </c>
      <c r="F86" s="25" t="str">
        <f t="shared" si="1"/>
        <v>Ambos</v>
      </c>
      <c r="G86" s="16"/>
      <c r="H86" s="15"/>
    </row>
    <row r="87" spans="1:8" ht="24.95" customHeight="1" x14ac:dyDescent="0.2">
      <c r="A87" s="16"/>
      <c r="B87" s="16"/>
      <c r="C87" s="16" t="s">
        <v>860</v>
      </c>
      <c r="D87" s="16" t="s">
        <v>786</v>
      </c>
      <c r="E87" s="16" t="s">
        <v>786</v>
      </c>
      <c r="F87" s="25" t="str">
        <f t="shared" si="1"/>
        <v>Ambos</v>
      </c>
      <c r="G87" s="16"/>
      <c r="H87" s="15"/>
    </row>
    <row r="88" spans="1:8" ht="24.95" customHeight="1" x14ac:dyDescent="0.2">
      <c r="A88" s="16"/>
      <c r="B88" s="16"/>
      <c r="C88" s="16" t="s">
        <v>860</v>
      </c>
      <c r="D88" s="16" t="s">
        <v>786</v>
      </c>
      <c r="E88" s="16" t="s">
        <v>786</v>
      </c>
      <c r="F88" s="25" t="str">
        <f t="shared" si="1"/>
        <v>Ambos</v>
      </c>
      <c r="G88" s="16"/>
      <c r="H88" s="15"/>
    </row>
    <row r="89" spans="1:8" ht="24.95" customHeight="1" x14ac:dyDescent="0.2">
      <c r="A89" s="16"/>
      <c r="B89" s="16"/>
      <c r="C89" s="16" t="s">
        <v>860</v>
      </c>
      <c r="D89" s="16" t="s">
        <v>786</v>
      </c>
      <c r="E89" s="16" t="s">
        <v>786</v>
      </c>
      <c r="F89" s="25" t="str">
        <f t="shared" si="1"/>
        <v>Ambos</v>
      </c>
      <c r="G89" s="16"/>
      <c r="H89" s="15"/>
    </row>
    <row r="90" spans="1:8" ht="24.95" customHeight="1" x14ac:dyDescent="0.2">
      <c r="A90" s="16"/>
      <c r="B90" s="16"/>
      <c r="C90" s="16" t="s">
        <v>860</v>
      </c>
      <c r="D90" s="16" t="s">
        <v>786</v>
      </c>
      <c r="E90" s="16" t="s">
        <v>786</v>
      </c>
      <c r="F90" s="25" t="str">
        <f t="shared" si="1"/>
        <v>Ambos</v>
      </c>
      <c r="G90" s="16"/>
      <c r="H90" s="15"/>
    </row>
    <row r="91" spans="1:8" ht="24.95" customHeight="1" x14ac:dyDescent="0.2">
      <c r="A91" s="16"/>
      <c r="B91" s="16"/>
      <c r="C91" s="16" t="s">
        <v>860</v>
      </c>
      <c r="D91" s="16" t="s">
        <v>785</v>
      </c>
      <c r="E91" s="16" t="s">
        <v>785</v>
      </c>
      <c r="F91" s="25" t="str">
        <f t="shared" si="1"/>
        <v/>
      </c>
      <c r="G91" s="16"/>
      <c r="H91" s="15"/>
    </row>
    <row r="92" spans="1:8" ht="24.95" customHeight="1" x14ac:dyDescent="0.2">
      <c r="A92" s="16"/>
      <c r="B92" s="16"/>
      <c r="C92" s="16" t="s">
        <v>859</v>
      </c>
      <c r="D92" s="16" t="s">
        <v>785</v>
      </c>
      <c r="E92" s="16" t="s">
        <v>785</v>
      </c>
      <c r="F92" s="25" t="str">
        <f t="shared" si="1"/>
        <v/>
      </c>
      <c r="G92" s="16"/>
      <c r="H92" s="15"/>
    </row>
    <row r="93" spans="1:8" ht="24.95" customHeight="1" x14ac:dyDescent="0.2">
      <c r="A93" s="16"/>
      <c r="B93" s="16"/>
      <c r="C93" s="16" t="s">
        <v>861</v>
      </c>
      <c r="D93" s="16" t="s">
        <v>785</v>
      </c>
      <c r="E93" s="16" t="s">
        <v>785</v>
      </c>
      <c r="F93" s="25" t="str">
        <f t="shared" si="1"/>
        <v/>
      </c>
      <c r="G93" s="16"/>
      <c r="H93" s="15"/>
    </row>
    <row r="94" spans="1:8" ht="24.95" customHeight="1" x14ac:dyDescent="0.2">
      <c r="A94" s="16"/>
      <c r="B94" s="16"/>
      <c r="C94" s="16" t="s">
        <v>859</v>
      </c>
      <c r="D94" s="16" t="s">
        <v>786</v>
      </c>
      <c r="E94" s="16" t="s">
        <v>786</v>
      </c>
      <c r="F94" s="25" t="str">
        <f t="shared" si="1"/>
        <v>Ambos</v>
      </c>
      <c r="G94" s="16"/>
      <c r="H94" s="15"/>
    </row>
    <row r="95" spans="1:8" ht="24.95" customHeight="1" x14ac:dyDescent="0.2">
      <c r="A95" s="16"/>
      <c r="B95" s="16"/>
      <c r="C95" s="16" t="s">
        <v>859</v>
      </c>
      <c r="D95" s="16" t="s">
        <v>786</v>
      </c>
      <c r="E95" s="16" t="s">
        <v>786</v>
      </c>
      <c r="F95" s="25" t="str">
        <f t="shared" si="1"/>
        <v>Ambos</v>
      </c>
      <c r="G95" s="16"/>
      <c r="H95" s="15"/>
    </row>
    <row r="96" spans="1:8" ht="24.95" customHeight="1" x14ac:dyDescent="0.2">
      <c r="A96" s="16"/>
      <c r="B96" s="16"/>
      <c r="C96" s="16" t="s">
        <v>860</v>
      </c>
      <c r="D96" s="16" t="s">
        <v>785</v>
      </c>
      <c r="E96" s="16" t="s">
        <v>785</v>
      </c>
      <c r="F96" s="25" t="str">
        <f t="shared" si="1"/>
        <v/>
      </c>
      <c r="G96" s="16"/>
      <c r="H96" s="15"/>
    </row>
    <row r="97" spans="1:8" ht="24.95" customHeight="1" x14ac:dyDescent="0.2">
      <c r="A97" s="16"/>
      <c r="B97" s="16"/>
      <c r="C97" s="16" t="s">
        <v>860</v>
      </c>
      <c r="D97" s="16" t="s">
        <v>785</v>
      </c>
      <c r="E97" s="16" t="s">
        <v>785</v>
      </c>
      <c r="F97" s="25" t="str">
        <f t="shared" si="1"/>
        <v/>
      </c>
      <c r="G97" s="16"/>
      <c r="H97" s="15"/>
    </row>
    <row r="98" spans="1:8" ht="24.95" customHeight="1" x14ac:dyDescent="0.2">
      <c r="A98" s="16"/>
      <c r="B98" s="16"/>
      <c r="C98" s="16" t="s">
        <v>860</v>
      </c>
      <c r="D98" s="16" t="s">
        <v>786</v>
      </c>
      <c r="E98" s="16" t="s">
        <v>785</v>
      </c>
      <c r="F98" s="25" t="str">
        <f t="shared" si="1"/>
        <v>Técnico</v>
      </c>
      <c r="G98" s="16"/>
      <c r="H98" s="15"/>
    </row>
    <row r="99" spans="1:8" ht="24.95" customHeight="1" x14ac:dyDescent="0.2">
      <c r="A99" s="16"/>
      <c r="B99" s="16"/>
      <c r="C99" s="16" t="s">
        <v>860</v>
      </c>
      <c r="D99" s="16" t="s">
        <v>785</v>
      </c>
      <c r="E99" s="16" t="s">
        <v>785</v>
      </c>
      <c r="F99" s="25" t="str">
        <f t="shared" si="1"/>
        <v/>
      </c>
      <c r="G99" s="16"/>
      <c r="H99" s="15"/>
    </row>
    <row r="100" spans="1:8" ht="24.95" customHeight="1" x14ac:dyDescent="0.2">
      <c r="A100" s="16"/>
      <c r="B100" s="16"/>
      <c r="C100" s="16" t="s">
        <v>860</v>
      </c>
      <c r="D100" s="16" t="s">
        <v>786</v>
      </c>
      <c r="E100" s="16" t="s">
        <v>785</v>
      </c>
      <c r="F100" s="25" t="str">
        <f t="shared" si="1"/>
        <v>Técnico</v>
      </c>
      <c r="G100" s="16"/>
      <c r="H100" s="15"/>
    </row>
    <row r="101" spans="1:8" ht="24.95" customHeight="1" x14ac:dyDescent="0.2">
      <c r="A101" s="16"/>
      <c r="B101" s="16"/>
      <c r="C101" s="16" t="s">
        <v>860</v>
      </c>
      <c r="D101" s="16" t="s">
        <v>785</v>
      </c>
      <c r="E101" s="16" t="s">
        <v>785</v>
      </c>
      <c r="F101" s="25" t="str">
        <f t="shared" si="1"/>
        <v/>
      </c>
      <c r="G101" s="16"/>
      <c r="H101" s="15"/>
    </row>
    <row r="102" spans="1:8" ht="24.95" customHeight="1" x14ac:dyDescent="0.2">
      <c r="A102" s="16"/>
      <c r="B102" s="16"/>
      <c r="C102" s="16" t="s">
        <v>859</v>
      </c>
      <c r="D102" s="16" t="s">
        <v>786</v>
      </c>
      <c r="E102" s="16" t="s">
        <v>786</v>
      </c>
      <c r="F102" s="25" t="str">
        <f t="shared" si="1"/>
        <v>Ambos</v>
      </c>
      <c r="G102" s="16"/>
      <c r="H102" s="15"/>
    </row>
    <row r="103" spans="1:8" ht="24.95" customHeight="1" x14ac:dyDescent="0.2">
      <c r="A103" s="16"/>
      <c r="B103" s="16"/>
      <c r="C103" s="16" t="s">
        <v>859</v>
      </c>
      <c r="D103" s="16" t="s">
        <v>786</v>
      </c>
      <c r="E103" s="16" t="s">
        <v>786</v>
      </c>
      <c r="F103" s="25" t="str">
        <f t="shared" si="1"/>
        <v>Ambos</v>
      </c>
      <c r="G103" s="16"/>
      <c r="H103" s="15"/>
    </row>
    <row r="104" spans="1:8" ht="24.95" customHeight="1" x14ac:dyDescent="0.2">
      <c r="A104" s="16"/>
      <c r="B104" s="16"/>
      <c r="C104" s="16" t="s">
        <v>859</v>
      </c>
      <c r="D104" s="16" t="s">
        <v>786</v>
      </c>
      <c r="E104" s="16" t="s">
        <v>786</v>
      </c>
      <c r="F104" s="25" t="str">
        <f t="shared" si="1"/>
        <v>Ambos</v>
      </c>
      <c r="G104" s="16"/>
      <c r="H104" s="15"/>
    </row>
    <row r="105" spans="1:8" ht="24.95" customHeight="1" x14ac:dyDescent="0.2">
      <c r="A105" s="16"/>
      <c r="B105" s="16"/>
      <c r="C105" s="16" t="s">
        <v>859</v>
      </c>
      <c r="D105" s="16" t="s">
        <v>785</v>
      </c>
      <c r="E105" s="16" t="s">
        <v>786</v>
      </c>
      <c r="F105" s="25" t="str">
        <f t="shared" si="1"/>
        <v>REP</v>
      </c>
      <c r="G105" s="16"/>
      <c r="H105" s="15"/>
    </row>
    <row r="106" spans="1:8" ht="24.95" customHeight="1" x14ac:dyDescent="0.2">
      <c r="A106" s="16"/>
      <c r="B106" s="16"/>
      <c r="C106" s="16" t="s">
        <v>859</v>
      </c>
      <c r="D106" s="16" t="s">
        <v>786</v>
      </c>
      <c r="E106" s="16" t="s">
        <v>786</v>
      </c>
      <c r="F106" s="25" t="str">
        <f t="shared" si="1"/>
        <v>Ambos</v>
      </c>
      <c r="G106" s="16"/>
      <c r="H106" s="15"/>
    </row>
    <row r="107" spans="1:8" ht="24.95" customHeight="1" x14ac:dyDescent="0.2">
      <c r="A107" s="16"/>
      <c r="B107" s="16"/>
      <c r="C107" s="16" t="s">
        <v>859</v>
      </c>
      <c r="D107" s="16" t="s">
        <v>785</v>
      </c>
      <c r="E107" s="16" t="s">
        <v>786</v>
      </c>
      <c r="F107" s="25" t="str">
        <f t="shared" si="1"/>
        <v>REP</v>
      </c>
      <c r="G107" s="16"/>
      <c r="H107" s="15"/>
    </row>
    <row r="108" spans="1:8" ht="24.95" customHeight="1" x14ac:dyDescent="0.2">
      <c r="A108" s="16"/>
      <c r="B108" s="16"/>
      <c r="C108" s="16" t="s">
        <v>859</v>
      </c>
      <c r="D108" s="16" t="s">
        <v>785</v>
      </c>
      <c r="E108" s="16" t="s">
        <v>786</v>
      </c>
      <c r="F108" s="25" t="str">
        <f t="shared" si="1"/>
        <v>REP</v>
      </c>
      <c r="G108" s="16"/>
      <c r="H108" s="15"/>
    </row>
    <row r="109" spans="1:8" ht="24.95" customHeight="1" x14ac:dyDescent="0.2">
      <c r="A109" s="16"/>
      <c r="B109" s="16"/>
      <c r="C109" s="16" t="s">
        <v>860</v>
      </c>
      <c r="D109" s="16" t="s">
        <v>786</v>
      </c>
      <c r="E109" s="16" t="s">
        <v>785</v>
      </c>
      <c r="F109" s="25" t="str">
        <f t="shared" si="1"/>
        <v>Técnico</v>
      </c>
      <c r="G109" s="16"/>
      <c r="H109" s="15"/>
    </row>
    <row r="110" spans="1:8" ht="24.95" customHeight="1" x14ac:dyDescent="0.2">
      <c r="A110" s="16"/>
      <c r="B110" s="16"/>
      <c r="C110" s="16" t="s">
        <v>860</v>
      </c>
      <c r="D110" s="16" t="s">
        <v>786</v>
      </c>
      <c r="E110" s="16" t="s">
        <v>786</v>
      </c>
      <c r="F110" s="25" t="str">
        <f t="shared" si="1"/>
        <v>Ambos</v>
      </c>
      <c r="G110" s="16"/>
      <c r="H110" s="15"/>
    </row>
    <row r="111" spans="1:8" ht="24.95" customHeight="1" x14ac:dyDescent="0.2">
      <c r="A111" s="16"/>
      <c r="B111" s="16"/>
      <c r="C111" s="16" t="s">
        <v>860</v>
      </c>
      <c r="D111" s="16" t="s">
        <v>786</v>
      </c>
      <c r="E111" s="16" t="s">
        <v>786</v>
      </c>
      <c r="F111" s="25" t="str">
        <f t="shared" si="1"/>
        <v>Ambos</v>
      </c>
      <c r="G111" s="16"/>
      <c r="H111" s="15"/>
    </row>
    <row r="112" spans="1:8" ht="24.95" customHeight="1" x14ac:dyDescent="0.2">
      <c r="A112" s="16"/>
      <c r="B112" s="16"/>
      <c r="C112" s="16" t="s">
        <v>860</v>
      </c>
      <c r="D112" s="16" t="s">
        <v>785</v>
      </c>
      <c r="E112" s="16" t="s">
        <v>785</v>
      </c>
      <c r="F112" s="25" t="str">
        <f t="shared" si="1"/>
        <v/>
      </c>
      <c r="G112" s="16"/>
      <c r="H112" s="15"/>
    </row>
    <row r="113" spans="1:8" ht="24.95" customHeight="1" x14ac:dyDescent="0.2">
      <c r="A113" s="16"/>
      <c r="B113" s="16"/>
      <c r="C113" s="16" t="s">
        <v>860</v>
      </c>
      <c r="D113" s="16" t="s">
        <v>785</v>
      </c>
      <c r="E113" s="16" t="s">
        <v>785</v>
      </c>
      <c r="F113" s="25" t="str">
        <f t="shared" si="1"/>
        <v/>
      </c>
      <c r="G113" s="16"/>
      <c r="H113" s="15"/>
    </row>
    <row r="114" spans="1:8" ht="24.95" customHeight="1" x14ac:dyDescent="0.2">
      <c r="A114" s="16"/>
      <c r="B114" s="16"/>
      <c r="C114" s="16" t="s">
        <v>860</v>
      </c>
      <c r="D114" s="16" t="s">
        <v>785</v>
      </c>
      <c r="E114" s="16" t="s">
        <v>785</v>
      </c>
      <c r="F114" s="25" t="str">
        <f t="shared" si="1"/>
        <v/>
      </c>
      <c r="G114" s="16"/>
      <c r="H114" s="15"/>
    </row>
    <row r="115" spans="1:8" ht="24.95" customHeight="1" x14ac:dyDescent="0.2">
      <c r="A115" s="16"/>
      <c r="B115" s="16"/>
      <c r="C115" s="16" t="s">
        <v>862</v>
      </c>
      <c r="D115" s="16" t="s">
        <v>785</v>
      </c>
      <c r="E115" s="16" t="s">
        <v>785</v>
      </c>
      <c r="F115" s="25" t="str">
        <f t="shared" si="1"/>
        <v/>
      </c>
      <c r="G115" s="16"/>
      <c r="H115" s="15"/>
    </row>
    <row r="116" spans="1:8" ht="24.95" customHeight="1" x14ac:dyDescent="0.2">
      <c r="A116" s="16"/>
      <c r="B116" s="16"/>
      <c r="C116" s="16" t="s">
        <v>860</v>
      </c>
      <c r="D116" s="16" t="s">
        <v>786</v>
      </c>
      <c r="E116" s="16" t="s">
        <v>785</v>
      </c>
      <c r="F116" s="25" t="str">
        <f t="shared" si="1"/>
        <v>Técnico</v>
      </c>
      <c r="G116" s="16"/>
      <c r="H116" s="15"/>
    </row>
    <row r="117" spans="1:8" ht="24.95" customHeight="1" x14ac:dyDescent="0.2">
      <c r="A117" s="16"/>
      <c r="B117" s="16"/>
      <c r="C117" s="16" t="s">
        <v>858</v>
      </c>
      <c r="D117" s="16" t="s">
        <v>785</v>
      </c>
      <c r="E117" s="16" t="s">
        <v>785</v>
      </c>
      <c r="F117" s="25" t="str">
        <f t="shared" si="1"/>
        <v/>
      </c>
      <c r="G117" s="16"/>
      <c r="H117" s="15"/>
    </row>
    <row r="118" spans="1:8" ht="24.95" customHeight="1" x14ac:dyDescent="0.2">
      <c r="A118" s="16"/>
      <c r="B118" s="16"/>
      <c r="C118" s="16" t="s">
        <v>859</v>
      </c>
      <c r="D118" s="16" t="s">
        <v>785</v>
      </c>
      <c r="E118" s="16" t="s">
        <v>785</v>
      </c>
      <c r="F118" s="25" t="str">
        <f t="shared" si="1"/>
        <v/>
      </c>
      <c r="G118" s="16"/>
      <c r="H118" s="15"/>
    </row>
    <row r="119" spans="1:8" ht="24.95" customHeight="1" x14ac:dyDescent="0.2">
      <c r="A119" s="16"/>
      <c r="B119" s="16"/>
      <c r="C119" s="16" t="s">
        <v>860</v>
      </c>
      <c r="D119" s="16" t="s">
        <v>786</v>
      </c>
      <c r="E119" s="16" t="s">
        <v>786</v>
      </c>
      <c r="F119" s="25" t="str">
        <f t="shared" si="1"/>
        <v>Ambos</v>
      </c>
      <c r="G119" s="16"/>
      <c r="H119" s="15"/>
    </row>
    <row r="120" spans="1:8" ht="24.95" customHeight="1" x14ac:dyDescent="0.2">
      <c r="A120" s="16"/>
      <c r="B120" s="16"/>
      <c r="C120" s="16" t="s">
        <v>863</v>
      </c>
      <c r="D120" s="16" t="s">
        <v>786</v>
      </c>
      <c r="E120" s="16" t="s">
        <v>786</v>
      </c>
      <c r="F120" s="25" t="str">
        <f t="shared" si="1"/>
        <v>Ambos</v>
      </c>
      <c r="G120" s="16"/>
      <c r="H120" s="15"/>
    </row>
    <row r="121" spans="1:8" ht="24.95" customHeight="1" x14ac:dyDescent="0.2">
      <c r="A121" s="16"/>
      <c r="B121" s="16"/>
      <c r="C121" s="16" t="s">
        <v>860</v>
      </c>
      <c r="D121" s="16" t="s">
        <v>786</v>
      </c>
      <c r="E121" s="16" t="s">
        <v>786</v>
      </c>
      <c r="F121" s="25" t="str">
        <f t="shared" si="1"/>
        <v>Ambos</v>
      </c>
      <c r="G121" s="16"/>
      <c r="H121" s="15"/>
    </row>
    <row r="122" spans="1:8" ht="24.95" customHeight="1" x14ac:dyDescent="0.2">
      <c r="A122" s="16"/>
      <c r="B122" s="16"/>
      <c r="C122" s="16" t="s">
        <v>860</v>
      </c>
      <c r="D122" s="16" t="s">
        <v>786</v>
      </c>
      <c r="E122" s="16" t="s">
        <v>786</v>
      </c>
      <c r="F122" s="25" t="str">
        <f t="shared" si="1"/>
        <v>Ambos</v>
      </c>
      <c r="G122" s="16"/>
      <c r="H122" s="15"/>
    </row>
    <row r="123" spans="1:8" ht="24.95" customHeight="1" x14ac:dyDescent="0.2">
      <c r="A123" s="16"/>
      <c r="B123" s="16"/>
      <c r="C123" s="16" t="s">
        <v>860</v>
      </c>
      <c r="D123" s="16" t="s">
        <v>786</v>
      </c>
      <c r="E123" s="16" t="s">
        <v>786</v>
      </c>
      <c r="F123" s="25" t="str">
        <f t="shared" si="1"/>
        <v>Ambos</v>
      </c>
      <c r="G123" s="16"/>
      <c r="H123" s="15"/>
    </row>
    <row r="124" spans="1:8" ht="24.95" customHeight="1" x14ac:dyDescent="0.2">
      <c r="A124" s="16"/>
      <c r="B124" s="16"/>
      <c r="C124" s="16" t="s">
        <v>860</v>
      </c>
      <c r="D124" s="16" t="s">
        <v>785</v>
      </c>
      <c r="E124" s="16" t="s">
        <v>785</v>
      </c>
      <c r="F124" s="25" t="str">
        <f t="shared" si="1"/>
        <v/>
      </c>
      <c r="G124" s="16"/>
      <c r="H124" s="15"/>
    </row>
    <row r="125" spans="1:8" ht="24.95" customHeight="1" x14ac:dyDescent="0.2">
      <c r="A125" s="16"/>
      <c r="B125" s="16"/>
      <c r="C125" s="16" t="s">
        <v>860</v>
      </c>
      <c r="D125" s="16" t="s">
        <v>786</v>
      </c>
      <c r="E125" s="16" t="s">
        <v>786</v>
      </c>
      <c r="F125" s="25" t="str">
        <f t="shared" si="1"/>
        <v>Ambos</v>
      </c>
      <c r="G125" s="16"/>
      <c r="H125" s="15"/>
    </row>
    <row r="126" spans="1:8" ht="24.95" customHeight="1" x14ac:dyDescent="0.2">
      <c r="A126" s="16"/>
      <c r="B126" s="16"/>
      <c r="C126" s="16" t="s">
        <v>860</v>
      </c>
      <c r="D126" s="16" t="s">
        <v>786</v>
      </c>
      <c r="E126" s="16" t="s">
        <v>786</v>
      </c>
      <c r="F126" s="25" t="str">
        <f t="shared" si="1"/>
        <v>Ambos</v>
      </c>
      <c r="G126" s="16"/>
      <c r="H126" s="15"/>
    </row>
    <row r="127" spans="1:8" ht="24.95" customHeight="1" x14ac:dyDescent="0.2">
      <c r="A127" s="16"/>
      <c r="B127" s="16"/>
      <c r="C127" s="16" t="s">
        <v>859</v>
      </c>
      <c r="D127" s="16" t="s">
        <v>785</v>
      </c>
      <c r="E127" s="16" t="s">
        <v>785</v>
      </c>
      <c r="F127" s="25" t="str">
        <f t="shared" si="1"/>
        <v/>
      </c>
      <c r="G127" s="16"/>
      <c r="H127" s="15"/>
    </row>
    <row r="128" spans="1:8" ht="24.95" customHeight="1" x14ac:dyDescent="0.2">
      <c r="A128" s="16"/>
      <c r="B128" s="16"/>
      <c r="C128" s="16" t="s">
        <v>859</v>
      </c>
      <c r="D128" s="16" t="s">
        <v>785</v>
      </c>
      <c r="E128" s="16" t="s">
        <v>785</v>
      </c>
      <c r="F128" s="25" t="str">
        <f t="shared" si="1"/>
        <v/>
      </c>
      <c r="G128" s="16"/>
      <c r="H128" s="15"/>
    </row>
    <row r="129" spans="1:8" ht="24.95" customHeight="1" x14ac:dyDescent="0.2">
      <c r="A129" s="16"/>
      <c r="B129" s="16"/>
      <c r="C129" s="16" t="s">
        <v>859</v>
      </c>
      <c r="D129" s="16" t="s">
        <v>786</v>
      </c>
      <c r="E129" s="16" t="s">
        <v>785</v>
      </c>
      <c r="F129" s="25" t="str">
        <f t="shared" si="1"/>
        <v>Técnico</v>
      </c>
      <c r="G129" s="16"/>
      <c r="H129" s="15"/>
    </row>
    <row r="130" spans="1:8" ht="24.95" customHeight="1" x14ac:dyDescent="0.2">
      <c r="A130" s="16"/>
      <c r="B130" s="16"/>
      <c r="C130" s="16" t="s">
        <v>859</v>
      </c>
      <c r="D130" s="16" t="s">
        <v>785</v>
      </c>
      <c r="E130" s="16" t="s">
        <v>785</v>
      </c>
      <c r="F130" s="25" t="str">
        <f t="shared" si="1"/>
        <v/>
      </c>
      <c r="G130" s="16"/>
      <c r="H130" s="15"/>
    </row>
    <row r="131" spans="1:8" ht="24.95" customHeight="1" x14ac:dyDescent="0.2">
      <c r="A131" s="16"/>
      <c r="B131" s="16"/>
      <c r="C131" s="16" t="s">
        <v>859</v>
      </c>
      <c r="D131" s="16" t="s">
        <v>785</v>
      </c>
      <c r="E131" s="16" t="s">
        <v>786</v>
      </c>
      <c r="F131" s="25" t="str">
        <f t="shared" si="1"/>
        <v>REP</v>
      </c>
      <c r="G131" s="16"/>
      <c r="H131" s="15"/>
    </row>
    <row r="132" spans="1:8" ht="24.95" customHeight="1" x14ac:dyDescent="0.2">
      <c r="A132" s="16"/>
      <c r="B132" s="16"/>
      <c r="C132" s="16" t="s">
        <v>859</v>
      </c>
      <c r="D132" s="16" t="s">
        <v>785</v>
      </c>
      <c r="E132" s="16" t="s">
        <v>785</v>
      </c>
      <c r="F132" s="25" t="str">
        <f t="shared" ref="F132:F195" si="2">IFERROR(IF(AND(D132="Não",E132="Sim"),"REP",
IF(AND(D132="Sim",E132="Não"),"Técnico",
IF(AND(D132="Sim",E132="Sim"),"Ambos",""))),"")</f>
        <v/>
      </c>
      <c r="G132" s="16"/>
      <c r="H132" s="15"/>
    </row>
    <row r="133" spans="1:8" ht="24.95" customHeight="1" x14ac:dyDescent="0.2">
      <c r="A133" s="16"/>
      <c r="B133" s="16"/>
      <c r="C133" s="16" t="s">
        <v>859</v>
      </c>
      <c r="D133" s="16" t="s">
        <v>785</v>
      </c>
      <c r="E133" s="16" t="s">
        <v>785</v>
      </c>
      <c r="F133" s="25" t="str">
        <f t="shared" si="2"/>
        <v/>
      </c>
      <c r="G133" s="16"/>
      <c r="H133" s="15"/>
    </row>
    <row r="134" spans="1:8" ht="24.95" customHeight="1" x14ac:dyDescent="0.2">
      <c r="A134" s="16"/>
      <c r="B134" s="16"/>
      <c r="C134" s="16" t="s">
        <v>859</v>
      </c>
      <c r="D134" s="16" t="s">
        <v>785</v>
      </c>
      <c r="E134" s="16" t="s">
        <v>785</v>
      </c>
      <c r="F134" s="25" t="str">
        <f t="shared" si="2"/>
        <v/>
      </c>
      <c r="G134" s="16"/>
      <c r="H134" s="15"/>
    </row>
    <row r="135" spans="1:8" ht="24.95" customHeight="1" x14ac:dyDescent="0.2">
      <c r="A135" s="16"/>
      <c r="B135" s="16"/>
      <c r="C135" s="16" t="s">
        <v>859</v>
      </c>
      <c r="D135" s="16" t="s">
        <v>785</v>
      </c>
      <c r="E135" s="16" t="s">
        <v>786</v>
      </c>
      <c r="F135" s="25" t="str">
        <f t="shared" si="2"/>
        <v>REP</v>
      </c>
      <c r="G135" s="16"/>
      <c r="H135" s="15"/>
    </row>
    <row r="136" spans="1:8" ht="24.95" customHeight="1" x14ac:dyDescent="0.2">
      <c r="A136" s="16"/>
      <c r="B136" s="16"/>
      <c r="C136" s="16" t="s">
        <v>859</v>
      </c>
      <c r="D136" s="16" t="s">
        <v>785</v>
      </c>
      <c r="E136" s="16" t="s">
        <v>785</v>
      </c>
      <c r="F136" s="25" t="str">
        <f t="shared" si="2"/>
        <v/>
      </c>
      <c r="G136" s="16"/>
      <c r="H136" s="15"/>
    </row>
    <row r="137" spans="1:8" ht="24.95" customHeight="1" x14ac:dyDescent="0.2">
      <c r="A137" s="16"/>
      <c r="B137" s="16"/>
      <c r="C137" s="16" t="s">
        <v>859</v>
      </c>
      <c r="D137" s="16" t="s">
        <v>785</v>
      </c>
      <c r="E137" s="16" t="s">
        <v>785</v>
      </c>
      <c r="F137" s="25" t="str">
        <f t="shared" si="2"/>
        <v/>
      </c>
      <c r="G137" s="16"/>
      <c r="H137" s="15"/>
    </row>
    <row r="138" spans="1:8" ht="24.95" customHeight="1" x14ac:dyDescent="0.2">
      <c r="A138" s="16"/>
      <c r="B138" s="16"/>
      <c r="C138" s="16" t="s">
        <v>860</v>
      </c>
      <c r="D138" s="16" t="s">
        <v>785</v>
      </c>
      <c r="E138" s="16" t="s">
        <v>785</v>
      </c>
      <c r="F138" s="25" t="str">
        <f t="shared" si="2"/>
        <v/>
      </c>
      <c r="G138" s="16"/>
      <c r="H138" s="15"/>
    </row>
    <row r="139" spans="1:8" ht="24.95" customHeight="1" x14ac:dyDescent="0.2">
      <c r="A139" s="16"/>
      <c r="B139" s="16"/>
      <c r="C139" s="16" t="s">
        <v>863</v>
      </c>
      <c r="D139" s="16" t="s">
        <v>785</v>
      </c>
      <c r="E139" s="16" t="s">
        <v>785</v>
      </c>
      <c r="F139" s="25" t="str">
        <f t="shared" si="2"/>
        <v/>
      </c>
      <c r="G139" s="16"/>
      <c r="H139" s="15"/>
    </row>
    <row r="140" spans="1:8" ht="24.95" customHeight="1" x14ac:dyDescent="0.2">
      <c r="A140" s="16"/>
      <c r="B140" s="16"/>
      <c r="C140" s="16" t="s">
        <v>860</v>
      </c>
      <c r="D140" s="16" t="s">
        <v>785</v>
      </c>
      <c r="E140" s="16" t="s">
        <v>785</v>
      </c>
      <c r="F140" s="25" t="str">
        <f t="shared" si="2"/>
        <v/>
      </c>
      <c r="G140" s="16"/>
      <c r="H140" s="15"/>
    </row>
    <row r="141" spans="1:8" ht="24.95" customHeight="1" x14ac:dyDescent="0.2">
      <c r="A141" s="16"/>
      <c r="B141" s="16"/>
      <c r="C141" s="16" t="s">
        <v>860</v>
      </c>
      <c r="D141" s="16" t="s">
        <v>785</v>
      </c>
      <c r="E141" s="16" t="s">
        <v>785</v>
      </c>
      <c r="F141" s="25" t="str">
        <f t="shared" si="2"/>
        <v/>
      </c>
      <c r="G141" s="16"/>
      <c r="H141" s="15"/>
    </row>
    <row r="142" spans="1:8" ht="24.95" customHeight="1" x14ac:dyDescent="0.2">
      <c r="A142" s="16"/>
      <c r="B142" s="16"/>
      <c r="C142" s="16" t="s">
        <v>858</v>
      </c>
      <c r="D142" s="16" t="s">
        <v>785</v>
      </c>
      <c r="E142" s="16" t="s">
        <v>785</v>
      </c>
      <c r="F142" s="25" t="str">
        <f t="shared" si="2"/>
        <v/>
      </c>
      <c r="G142" s="16"/>
      <c r="H142" s="15"/>
    </row>
    <row r="143" spans="1:8" ht="24.95" customHeight="1" x14ac:dyDescent="0.2">
      <c r="A143" s="16"/>
      <c r="B143" s="16"/>
      <c r="C143" s="16" t="s">
        <v>858</v>
      </c>
      <c r="D143" s="16" t="s">
        <v>785</v>
      </c>
      <c r="E143" s="16" t="s">
        <v>785</v>
      </c>
      <c r="F143" s="25" t="str">
        <f t="shared" si="2"/>
        <v/>
      </c>
      <c r="G143" s="16"/>
      <c r="H143" s="15"/>
    </row>
    <row r="144" spans="1:8" ht="24.95" customHeight="1" x14ac:dyDescent="0.2">
      <c r="A144" s="16"/>
      <c r="B144" s="16"/>
      <c r="C144" s="16" t="s">
        <v>858</v>
      </c>
      <c r="D144" s="16" t="s">
        <v>785</v>
      </c>
      <c r="E144" s="16" t="s">
        <v>785</v>
      </c>
      <c r="F144" s="25" t="str">
        <f t="shared" si="2"/>
        <v/>
      </c>
      <c r="G144" s="16"/>
      <c r="H144" s="15"/>
    </row>
    <row r="145" spans="1:8" ht="24.95" customHeight="1" x14ac:dyDescent="0.2">
      <c r="A145" s="16"/>
      <c r="B145" s="16"/>
      <c r="C145" s="16" t="s">
        <v>858</v>
      </c>
      <c r="D145" s="16" t="s">
        <v>785</v>
      </c>
      <c r="E145" s="16" t="s">
        <v>785</v>
      </c>
      <c r="F145" s="25" t="str">
        <f t="shared" si="2"/>
        <v/>
      </c>
      <c r="G145" s="16"/>
      <c r="H145" s="15"/>
    </row>
    <row r="146" spans="1:8" ht="24.95" customHeight="1" x14ac:dyDescent="0.2">
      <c r="A146" s="16"/>
      <c r="B146" s="16"/>
      <c r="C146" s="16" t="s">
        <v>858</v>
      </c>
      <c r="D146" s="16" t="s">
        <v>785</v>
      </c>
      <c r="E146" s="16" t="s">
        <v>785</v>
      </c>
      <c r="F146" s="25" t="str">
        <f t="shared" si="2"/>
        <v/>
      </c>
      <c r="G146" s="16"/>
      <c r="H146" s="15"/>
    </row>
    <row r="147" spans="1:8" ht="24.95" customHeight="1" x14ac:dyDescent="0.2">
      <c r="A147" s="16"/>
      <c r="B147" s="16"/>
      <c r="C147" s="16" t="s">
        <v>858</v>
      </c>
      <c r="D147" s="16" t="s">
        <v>785</v>
      </c>
      <c r="E147" s="16" t="s">
        <v>785</v>
      </c>
      <c r="F147" s="25" t="str">
        <f t="shared" si="2"/>
        <v/>
      </c>
      <c r="G147" s="16"/>
      <c r="H147" s="15"/>
    </row>
    <row r="148" spans="1:8" ht="24.95" customHeight="1" x14ac:dyDescent="0.2">
      <c r="A148" s="16"/>
      <c r="B148" s="16"/>
      <c r="C148" s="16" t="s">
        <v>858</v>
      </c>
      <c r="D148" s="16" t="s">
        <v>785</v>
      </c>
      <c r="E148" s="16" t="s">
        <v>785</v>
      </c>
      <c r="F148" s="25" t="str">
        <f t="shared" si="2"/>
        <v/>
      </c>
      <c r="G148" s="16"/>
      <c r="H148" s="15"/>
    </row>
    <row r="149" spans="1:8" ht="24.95" customHeight="1" x14ac:dyDescent="0.2">
      <c r="A149" s="16"/>
      <c r="B149" s="16"/>
      <c r="C149" s="16" t="s">
        <v>858</v>
      </c>
      <c r="D149" s="16" t="s">
        <v>785</v>
      </c>
      <c r="E149" s="16" t="s">
        <v>785</v>
      </c>
      <c r="F149" s="25" t="str">
        <f t="shared" si="2"/>
        <v/>
      </c>
      <c r="G149" s="16"/>
      <c r="H149" s="15"/>
    </row>
    <row r="150" spans="1:8" ht="24.95" customHeight="1" x14ac:dyDescent="0.2">
      <c r="A150" s="16"/>
      <c r="B150" s="16"/>
      <c r="C150" s="16" t="s">
        <v>858</v>
      </c>
      <c r="D150" s="16" t="s">
        <v>785</v>
      </c>
      <c r="E150" s="16" t="s">
        <v>785</v>
      </c>
      <c r="F150" s="25" t="str">
        <f t="shared" si="2"/>
        <v/>
      </c>
      <c r="G150" s="16"/>
      <c r="H150" s="15"/>
    </row>
    <row r="151" spans="1:8" ht="24.95" customHeight="1" x14ac:dyDescent="0.2">
      <c r="A151" s="16"/>
      <c r="B151" s="16"/>
      <c r="C151" s="16" t="s">
        <v>858</v>
      </c>
      <c r="D151" s="16" t="s">
        <v>785</v>
      </c>
      <c r="E151" s="16" t="s">
        <v>785</v>
      </c>
      <c r="F151" s="25" t="str">
        <f t="shared" si="2"/>
        <v/>
      </c>
      <c r="G151" s="16"/>
      <c r="H151" s="15"/>
    </row>
    <row r="152" spans="1:8" ht="24.95" customHeight="1" x14ac:dyDescent="0.2">
      <c r="A152" s="16"/>
      <c r="B152" s="16"/>
      <c r="C152" s="16" t="s">
        <v>858</v>
      </c>
      <c r="D152" s="16" t="s">
        <v>785</v>
      </c>
      <c r="E152" s="16" t="s">
        <v>785</v>
      </c>
      <c r="F152" s="25" t="str">
        <f t="shared" si="2"/>
        <v/>
      </c>
      <c r="G152" s="16"/>
      <c r="H152" s="15"/>
    </row>
    <row r="153" spans="1:8" ht="24.95" customHeight="1" x14ac:dyDescent="0.2">
      <c r="A153" s="16"/>
      <c r="B153" s="16"/>
      <c r="C153" s="16" t="s">
        <v>858</v>
      </c>
      <c r="D153" s="16" t="s">
        <v>785</v>
      </c>
      <c r="E153" s="16" t="s">
        <v>785</v>
      </c>
      <c r="F153" s="25" t="str">
        <f t="shared" si="2"/>
        <v/>
      </c>
      <c r="G153" s="16"/>
      <c r="H153" s="15"/>
    </row>
    <row r="154" spans="1:8" ht="24.95" customHeight="1" x14ac:dyDescent="0.2">
      <c r="A154" s="16"/>
      <c r="B154" s="16"/>
      <c r="C154" s="16" t="s">
        <v>858</v>
      </c>
      <c r="D154" s="16" t="s">
        <v>785</v>
      </c>
      <c r="E154" s="16" t="s">
        <v>785</v>
      </c>
      <c r="F154" s="25" t="str">
        <f t="shared" si="2"/>
        <v/>
      </c>
      <c r="G154" s="16"/>
      <c r="H154" s="15"/>
    </row>
    <row r="155" spans="1:8" ht="24.95" customHeight="1" x14ac:dyDescent="0.2">
      <c r="A155" s="16"/>
      <c r="B155" s="16"/>
      <c r="C155" s="16" t="s">
        <v>858</v>
      </c>
      <c r="D155" s="16" t="s">
        <v>785</v>
      </c>
      <c r="E155" s="16" t="s">
        <v>785</v>
      </c>
      <c r="F155" s="25" t="str">
        <f t="shared" si="2"/>
        <v/>
      </c>
      <c r="G155" s="16"/>
      <c r="H155" s="15"/>
    </row>
    <row r="156" spans="1:8" ht="24.95" customHeight="1" x14ac:dyDescent="0.2">
      <c r="A156" s="16"/>
      <c r="B156" s="16"/>
      <c r="C156" s="16" t="s">
        <v>858</v>
      </c>
      <c r="D156" s="16" t="s">
        <v>785</v>
      </c>
      <c r="E156" s="16" t="s">
        <v>785</v>
      </c>
      <c r="F156" s="25" t="str">
        <f t="shared" si="2"/>
        <v/>
      </c>
      <c r="G156" s="16"/>
      <c r="H156" s="15"/>
    </row>
    <row r="157" spans="1:8" ht="24.95" customHeight="1" x14ac:dyDescent="0.2">
      <c r="A157" s="16"/>
      <c r="B157" s="16"/>
      <c r="C157" s="16" t="s">
        <v>858</v>
      </c>
      <c r="D157" s="16" t="s">
        <v>785</v>
      </c>
      <c r="E157" s="16" t="s">
        <v>785</v>
      </c>
      <c r="F157" s="25" t="str">
        <f t="shared" si="2"/>
        <v/>
      </c>
      <c r="G157" s="16"/>
      <c r="H157" s="15"/>
    </row>
    <row r="158" spans="1:8" ht="24.95" customHeight="1" x14ac:dyDescent="0.2">
      <c r="A158" s="16"/>
      <c r="B158" s="16"/>
      <c r="C158" s="16" t="s">
        <v>858</v>
      </c>
      <c r="D158" s="16" t="s">
        <v>785</v>
      </c>
      <c r="E158" s="16" t="s">
        <v>785</v>
      </c>
      <c r="F158" s="25" t="str">
        <f t="shared" si="2"/>
        <v/>
      </c>
      <c r="G158" s="16"/>
      <c r="H158" s="15"/>
    </row>
    <row r="159" spans="1:8" ht="24.95" customHeight="1" x14ac:dyDescent="0.2">
      <c r="A159" s="16"/>
      <c r="B159" s="16"/>
      <c r="C159" s="16" t="s">
        <v>858</v>
      </c>
      <c r="D159" s="16" t="s">
        <v>785</v>
      </c>
      <c r="E159" s="16" t="s">
        <v>785</v>
      </c>
      <c r="F159" s="25" t="str">
        <f t="shared" si="2"/>
        <v/>
      </c>
      <c r="G159" s="16"/>
      <c r="H159" s="15"/>
    </row>
    <row r="160" spans="1:8" ht="24.95" customHeight="1" x14ac:dyDescent="0.2">
      <c r="A160" s="16"/>
      <c r="B160" s="16"/>
      <c r="C160" s="16" t="s">
        <v>858</v>
      </c>
      <c r="D160" s="16" t="s">
        <v>785</v>
      </c>
      <c r="E160" s="16" t="s">
        <v>785</v>
      </c>
      <c r="F160" s="25" t="str">
        <f t="shared" si="2"/>
        <v/>
      </c>
      <c r="G160" s="16"/>
      <c r="H160" s="15"/>
    </row>
    <row r="161" spans="1:8" ht="24.95" customHeight="1" x14ac:dyDescent="0.2">
      <c r="A161" s="16"/>
      <c r="B161" s="16"/>
      <c r="C161" s="16" t="s">
        <v>858</v>
      </c>
      <c r="D161" s="16" t="s">
        <v>785</v>
      </c>
      <c r="E161" s="16" t="s">
        <v>785</v>
      </c>
      <c r="F161" s="25" t="str">
        <f t="shared" si="2"/>
        <v/>
      </c>
      <c r="G161" s="16"/>
      <c r="H161" s="15"/>
    </row>
    <row r="162" spans="1:8" ht="24.95" customHeight="1" x14ac:dyDescent="0.2">
      <c r="A162" s="16"/>
      <c r="B162" s="16"/>
      <c r="C162" s="16" t="s">
        <v>858</v>
      </c>
      <c r="D162" s="16" t="s">
        <v>785</v>
      </c>
      <c r="E162" s="16" t="s">
        <v>785</v>
      </c>
      <c r="F162" s="25" t="str">
        <f t="shared" si="2"/>
        <v/>
      </c>
      <c r="G162" s="16"/>
      <c r="H162" s="15"/>
    </row>
    <row r="163" spans="1:8" ht="24.95" customHeight="1" x14ac:dyDescent="0.2">
      <c r="A163" s="16"/>
      <c r="B163" s="16"/>
      <c r="C163" s="16" t="s">
        <v>858</v>
      </c>
      <c r="D163" s="16" t="s">
        <v>785</v>
      </c>
      <c r="E163" s="16" t="s">
        <v>785</v>
      </c>
      <c r="F163" s="25" t="str">
        <f t="shared" si="2"/>
        <v/>
      </c>
      <c r="G163" s="16"/>
      <c r="H163" s="15"/>
    </row>
    <row r="164" spans="1:8" ht="24.95" customHeight="1" x14ac:dyDescent="0.2">
      <c r="A164" s="16"/>
      <c r="B164" s="16"/>
      <c r="C164" s="16" t="s">
        <v>858</v>
      </c>
      <c r="D164" s="16" t="s">
        <v>785</v>
      </c>
      <c r="E164" s="16" t="s">
        <v>785</v>
      </c>
      <c r="F164" s="25" t="str">
        <f t="shared" si="2"/>
        <v/>
      </c>
      <c r="G164" s="16"/>
      <c r="H164" s="15"/>
    </row>
    <row r="165" spans="1:8" ht="24.95" customHeight="1" x14ac:dyDescent="0.2">
      <c r="A165" s="16"/>
      <c r="B165" s="16"/>
      <c r="C165" s="16" t="s">
        <v>858</v>
      </c>
      <c r="D165" s="16" t="s">
        <v>785</v>
      </c>
      <c r="E165" s="16" t="s">
        <v>785</v>
      </c>
      <c r="F165" s="25" t="str">
        <f t="shared" si="2"/>
        <v/>
      </c>
      <c r="G165" s="16"/>
      <c r="H165" s="15"/>
    </row>
    <row r="166" spans="1:8" ht="24.95" customHeight="1" x14ac:dyDescent="0.2">
      <c r="A166" s="16"/>
      <c r="B166" s="16"/>
      <c r="C166" s="16" t="s">
        <v>858</v>
      </c>
      <c r="D166" s="16" t="s">
        <v>785</v>
      </c>
      <c r="E166" s="16" t="s">
        <v>785</v>
      </c>
      <c r="F166" s="25" t="str">
        <f t="shared" si="2"/>
        <v/>
      </c>
      <c r="G166" s="16"/>
      <c r="H166" s="15"/>
    </row>
    <row r="167" spans="1:8" ht="24.95" customHeight="1" x14ac:dyDescent="0.2">
      <c r="A167" s="16"/>
      <c r="B167" s="16"/>
      <c r="C167" s="16" t="s">
        <v>858</v>
      </c>
      <c r="D167" s="16" t="s">
        <v>785</v>
      </c>
      <c r="E167" s="16" t="s">
        <v>785</v>
      </c>
      <c r="F167" s="25" t="str">
        <f t="shared" si="2"/>
        <v/>
      </c>
      <c r="G167" s="16"/>
      <c r="H167" s="15"/>
    </row>
    <row r="168" spans="1:8" ht="24.95" customHeight="1" x14ac:dyDescent="0.2">
      <c r="A168" s="16"/>
      <c r="B168" s="16"/>
      <c r="C168" s="16" t="s">
        <v>858</v>
      </c>
      <c r="D168" s="16" t="s">
        <v>785</v>
      </c>
      <c r="E168" s="16" t="s">
        <v>785</v>
      </c>
      <c r="F168" s="25" t="str">
        <f t="shared" si="2"/>
        <v/>
      </c>
      <c r="G168" s="16"/>
      <c r="H168" s="15"/>
    </row>
    <row r="169" spans="1:8" ht="24.95" customHeight="1" x14ac:dyDescent="0.2">
      <c r="A169" s="16"/>
      <c r="B169" s="16"/>
      <c r="C169" s="16" t="s">
        <v>858</v>
      </c>
      <c r="D169" s="16" t="s">
        <v>785</v>
      </c>
      <c r="E169" s="16" t="s">
        <v>785</v>
      </c>
      <c r="F169" s="25" t="str">
        <f t="shared" si="2"/>
        <v/>
      </c>
      <c r="G169" s="16"/>
      <c r="H169" s="15"/>
    </row>
    <row r="170" spans="1:8" ht="24.95" customHeight="1" x14ac:dyDescent="0.2">
      <c r="A170" s="16"/>
      <c r="B170" s="16"/>
      <c r="C170" s="16" t="s">
        <v>858</v>
      </c>
      <c r="D170" s="16" t="s">
        <v>785</v>
      </c>
      <c r="E170" s="16" t="s">
        <v>785</v>
      </c>
      <c r="F170" s="25" t="str">
        <f t="shared" si="2"/>
        <v/>
      </c>
      <c r="G170" s="16"/>
      <c r="H170" s="15"/>
    </row>
    <row r="171" spans="1:8" ht="24.95" customHeight="1" x14ac:dyDescent="0.2">
      <c r="A171" s="16"/>
      <c r="B171" s="16"/>
      <c r="C171" s="16" t="s">
        <v>858</v>
      </c>
      <c r="D171" s="16" t="s">
        <v>785</v>
      </c>
      <c r="E171" s="16" t="s">
        <v>785</v>
      </c>
      <c r="F171" s="25" t="str">
        <f t="shared" si="2"/>
        <v/>
      </c>
      <c r="G171" s="16"/>
      <c r="H171" s="15"/>
    </row>
    <row r="172" spans="1:8" ht="24.95" customHeight="1" x14ac:dyDescent="0.2">
      <c r="A172" s="16"/>
      <c r="B172" s="16"/>
      <c r="C172" s="16" t="s">
        <v>858</v>
      </c>
      <c r="D172" s="16" t="s">
        <v>785</v>
      </c>
      <c r="E172" s="16" t="s">
        <v>785</v>
      </c>
      <c r="F172" s="25" t="str">
        <f t="shared" si="2"/>
        <v/>
      </c>
      <c r="G172" s="16"/>
      <c r="H172" s="15"/>
    </row>
    <row r="173" spans="1:8" ht="24.95" customHeight="1" x14ac:dyDescent="0.2">
      <c r="A173" s="16"/>
      <c r="B173" s="16"/>
      <c r="C173" s="16" t="s">
        <v>858</v>
      </c>
      <c r="D173" s="16" t="s">
        <v>785</v>
      </c>
      <c r="E173" s="16" t="s">
        <v>785</v>
      </c>
      <c r="F173" s="25" t="str">
        <f t="shared" si="2"/>
        <v/>
      </c>
      <c r="G173" s="16"/>
      <c r="H173" s="15"/>
    </row>
    <row r="174" spans="1:8" ht="24.95" customHeight="1" x14ac:dyDescent="0.2">
      <c r="A174" s="16"/>
      <c r="B174" s="16"/>
      <c r="C174" s="16" t="s">
        <v>858</v>
      </c>
      <c r="D174" s="16" t="s">
        <v>785</v>
      </c>
      <c r="E174" s="16" t="s">
        <v>785</v>
      </c>
      <c r="F174" s="25" t="str">
        <f t="shared" si="2"/>
        <v/>
      </c>
      <c r="G174" s="16"/>
      <c r="H174" s="15"/>
    </row>
    <row r="175" spans="1:8" ht="24.95" customHeight="1" x14ac:dyDescent="0.2">
      <c r="A175" s="16"/>
      <c r="B175" s="16"/>
      <c r="C175" s="16" t="s">
        <v>858</v>
      </c>
      <c r="D175" s="16" t="s">
        <v>785</v>
      </c>
      <c r="E175" s="16" t="s">
        <v>785</v>
      </c>
      <c r="F175" s="25" t="str">
        <f t="shared" si="2"/>
        <v/>
      </c>
      <c r="G175" s="16"/>
      <c r="H175" s="15"/>
    </row>
    <row r="176" spans="1:8" ht="24.95" customHeight="1" x14ac:dyDescent="0.2">
      <c r="A176" s="16"/>
      <c r="B176" s="16"/>
      <c r="C176" s="16" t="s">
        <v>858</v>
      </c>
      <c r="D176" s="16" t="s">
        <v>785</v>
      </c>
      <c r="E176" s="16" t="s">
        <v>785</v>
      </c>
      <c r="F176" s="25" t="str">
        <f t="shared" si="2"/>
        <v/>
      </c>
      <c r="G176" s="16"/>
      <c r="H176" s="15"/>
    </row>
    <row r="177" spans="1:8" ht="24.95" customHeight="1" x14ac:dyDescent="0.2">
      <c r="A177" s="16"/>
      <c r="B177" s="16"/>
      <c r="C177" s="16" t="s">
        <v>858</v>
      </c>
      <c r="D177" s="16" t="s">
        <v>785</v>
      </c>
      <c r="E177" s="16" t="s">
        <v>785</v>
      </c>
      <c r="F177" s="25" t="str">
        <f t="shared" si="2"/>
        <v/>
      </c>
      <c r="G177" s="16"/>
      <c r="H177" s="15"/>
    </row>
    <row r="178" spans="1:8" ht="24.95" customHeight="1" x14ac:dyDescent="0.2">
      <c r="A178" s="16"/>
      <c r="B178" s="16"/>
      <c r="C178" s="16" t="s">
        <v>858</v>
      </c>
      <c r="D178" s="16" t="s">
        <v>785</v>
      </c>
      <c r="E178" s="16" t="s">
        <v>785</v>
      </c>
      <c r="F178" s="25" t="str">
        <f t="shared" si="2"/>
        <v/>
      </c>
      <c r="G178" s="16"/>
      <c r="H178" s="15"/>
    </row>
    <row r="179" spans="1:8" ht="24.95" customHeight="1" x14ac:dyDescent="0.2">
      <c r="A179" s="16"/>
      <c r="B179" s="16"/>
      <c r="C179" s="16" t="s">
        <v>858</v>
      </c>
      <c r="D179" s="16" t="s">
        <v>785</v>
      </c>
      <c r="E179" s="16" t="s">
        <v>785</v>
      </c>
      <c r="F179" s="25" t="str">
        <f t="shared" si="2"/>
        <v/>
      </c>
      <c r="G179" s="16"/>
      <c r="H179" s="15"/>
    </row>
    <row r="180" spans="1:8" ht="24.95" customHeight="1" x14ac:dyDescent="0.2">
      <c r="A180" s="16"/>
      <c r="B180" s="16"/>
      <c r="C180" s="16" t="s">
        <v>858</v>
      </c>
      <c r="D180" s="16" t="s">
        <v>785</v>
      </c>
      <c r="E180" s="16" t="s">
        <v>785</v>
      </c>
      <c r="F180" s="25" t="str">
        <f t="shared" si="2"/>
        <v/>
      </c>
      <c r="G180" s="16"/>
      <c r="H180" s="15"/>
    </row>
    <row r="181" spans="1:8" ht="24.95" customHeight="1" x14ac:dyDescent="0.2">
      <c r="A181" s="16"/>
      <c r="B181" s="16"/>
      <c r="C181" s="16" t="s">
        <v>858</v>
      </c>
      <c r="D181" s="16" t="s">
        <v>785</v>
      </c>
      <c r="E181" s="16" t="s">
        <v>785</v>
      </c>
      <c r="F181" s="25" t="str">
        <f t="shared" si="2"/>
        <v/>
      </c>
      <c r="G181" s="16"/>
      <c r="H181" s="15"/>
    </row>
    <row r="182" spans="1:8" ht="24.95" customHeight="1" x14ac:dyDescent="0.2">
      <c r="A182" s="16"/>
      <c r="B182" s="16"/>
      <c r="C182" s="16" t="s">
        <v>858</v>
      </c>
      <c r="D182" s="16" t="s">
        <v>785</v>
      </c>
      <c r="E182" s="16" t="s">
        <v>785</v>
      </c>
      <c r="F182" s="25" t="str">
        <f t="shared" si="2"/>
        <v/>
      </c>
      <c r="G182" s="16"/>
      <c r="H182" s="15"/>
    </row>
    <row r="183" spans="1:8" ht="24.95" customHeight="1" x14ac:dyDescent="0.2">
      <c r="A183" s="16"/>
      <c r="B183" s="16"/>
      <c r="C183" s="16" t="s">
        <v>858</v>
      </c>
      <c r="D183" s="16" t="s">
        <v>785</v>
      </c>
      <c r="E183" s="16" t="s">
        <v>785</v>
      </c>
      <c r="F183" s="25" t="str">
        <f t="shared" si="2"/>
        <v/>
      </c>
      <c r="G183" s="16"/>
      <c r="H183" s="15"/>
    </row>
    <row r="184" spans="1:8" ht="24.95" customHeight="1" x14ac:dyDescent="0.2">
      <c r="A184" s="16"/>
      <c r="B184" s="16"/>
      <c r="C184" s="16" t="s">
        <v>858</v>
      </c>
      <c r="D184" s="16" t="s">
        <v>785</v>
      </c>
      <c r="E184" s="16" t="s">
        <v>785</v>
      </c>
      <c r="F184" s="25" t="str">
        <f t="shared" si="2"/>
        <v/>
      </c>
      <c r="G184" s="16"/>
      <c r="H184" s="15"/>
    </row>
    <row r="185" spans="1:8" ht="24.95" customHeight="1" x14ac:dyDescent="0.2">
      <c r="A185" s="16"/>
      <c r="B185" s="16"/>
      <c r="C185" s="16" t="s">
        <v>858</v>
      </c>
      <c r="D185" s="16" t="s">
        <v>785</v>
      </c>
      <c r="E185" s="16" t="s">
        <v>785</v>
      </c>
      <c r="F185" s="25" t="str">
        <f t="shared" si="2"/>
        <v/>
      </c>
      <c r="G185" s="16"/>
      <c r="H185" s="15"/>
    </row>
    <row r="186" spans="1:8" ht="24.95" customHeight="1" x14ac:dyDescent="0.2">
      <c r="A186" s="16"/>
      <c r="B186" s="16"/>
      <c r="C186" s="16" t="s">
        <v>858</v>
      </c>
      <c r="D186" s="16" t="s">
        <v>785</v>
      </c>
      <c r="E186" s="16" t="s">
        <v>785</v>
      </c>
      <c r="F186" s="25" t="str">
        <f t="shared" si="2"/>
        <v/>
      </c>
      <c r="G186" s="16"/>
      <c r="H186" s="15"/>
    </row>
    <row r="187" spans="1:8" ht="24.95" customHeight="1" x14ac:dyDescent="0.2">
      <c r="A187" s="16"/>
      <c r="B187" s="16"/>
      <c r="C187" s="16" t="s">
        <v>858</v>
      </c>
      <c r="D187" s="16" t="s">
        <v>785</v>
      </c>
      <c r="E187" s="16" t="s">
        <v>785</v>
      </c>
      <c r="F187" s="25" t="str">
        <f t="shared" si="2"/>
        <v/>
      </c>
      <c r="G187" s="16"/>
      <c r="H187" s="15"/>
    </row>
    <row r="188" spans="1:8" ht="24.95" customHeight="1" x14ac:dyDescent="0.2">
      <c r="A188" s="16"/>
      <c r="B188" s="16"/>
      <c r="C188" s="16" t="s">
        <v>858</v>
      </c>
      <c r="D188" s="16" t="s">
        <v>785</v>
      </c>
      <c r="E188" s="16" t="s">
        <v>785</v>
      </c>
      <c r="F188" s="25" t="str">
        <f t="shared" si="2"/>
        <v/>
      </c>
      <c r="G188" s="16"/>
      <c r="H188" s="15"/>
    </row>
    <row r="189" spans="1:8" ht="24.95" customHeight="1" x14ac:dyDescent="0.2">
      <c r="A189" s="16"/>
      <c r="B189" s="16"/>
      <c r="C189" s="16" t="s">
        <v>858</v>
      </c>
      <c r="D189" s="16" t="s">
        <v>785</v>
      </c>
      <c r="E189" s="16" t="s">
        <v>785</v>
      </c>
      <c r="F189" s="25" t="str">
        <f t="shared" si="2"/>
        <v/>
      </c>
      <c r="G189" s="16"/>
      <c r="H189" s="15"/>
    </row>
    <row r="190" spans="1:8" ht="24.95" customHeight="1" x14ac:dyDescent="0.2">
      <c r="A190" s="16"/>
      <c r="B190" s="16"/>
      <c r="C190" s="16" t="s">
        <v>858</v>
      </c>
      <c r="D190" s="16" t="s">
        <v>785</v>
      </c>
      <c r="E190" s="16" t="s">
        <v>785</v>
      </c>
      <c r="F190" s="25" t="str">
        <f t="shared" si="2"/>
        <v/>
      </c>
      <c r="G190" s="16"/>
      <c r="H190" s="15"/>
    </row>
    <row r="191" spans="1:8" ht="24.95" customHeight="1" x14ac:dyDescent="0.2">
      <c r="A191" s="16"/>
      <c r="B191" s="16"/>
      <c r="C191" s="16" t="s">
        <v>858</v>
      </c>
      <c r="D191" s="16" t="s">
        <v>785</v>
      </c>
      <c r="E191" s="16" t="s">
        <v>785</v>
      </c>
      <c r="F191" s="25" t="str">
        <f t="shared" si="2"/>
        <v/>
      </c>
      <c r="G191" s="16"/>
      <c r="H191" s="15"/>
    </row>
    <row r="192" spans="1:8" ht="24.95" customHeight="1" x14ac:dyDescent="0.2">
      <c r="A192" s="16"/>
      <c r="B192" s="16"/>
      <c r="C192" s="16" t="s">
        <v>858</v>
      </c>
      <c r="D192" s="16" t="s">
        <v>785</v>
      </c>
      <c r="E192" s="16" t="s">
        <v>785</v>
      </c>
      <c r="F192" s="25" t="str">
        <f t="shared" si="2"/>
        <v/>
      </c>
      <c r="G192" s="16"/>
      <c r="H192" s="15"/>
    </row>
    <row r="193" spans="1:8" ht="24.95" customHeight="1" x14ac:dyDescent="0.2">
      <c r="A193" s="16"/>
      <c r="B193" s="16"/>
      <c r="C193" s="16" t="s">
        <v>858</v>
      </c>
      <c r="D193" s="16" t="s">
        <v>786</v>
      </c>
      <c r="E193" s="16" t="s">
        <v>785</v>
      </c>
      <c r="F193" s="25" t="str">
        <f t="shared" si="2"/>
        <v>Técnico</v>
      </c>
      <c r="G193" s="16"/>
      <c r="H193" s="15"/>
    </row>
    <row r="194" spans="1:8" ht="24.95" customHeight="1" x14ac:dyDescent="0.2">
      <c r="A194" s="16"/>
      <c r="B194" s="16"/>
      <c r="C194" s="16" t="s">
        <v>858</v>
      </c>
      <c r="D194" s="16" t="s">
        <v>785</v>
      </c>
      <c r="E194" s="16" t="s">
        <v>786</v>
      </c>
      <c r="F194" s="25" t="str">
        <f t="shared" si="2"/>
        <v>REP</v>
      </c>
      <c r="G194" s="16"/>
      <c r="H194" s="15"/>
    </row>
    <row r="195" spans="1:8" ht="24.95" customHeight="1" x14ac:dyDescent="0.2">
      <c r="A195" s="16"/>
      <c r="B195" s="16"/>
      <c r="C195" s="16" t="s">
        <v>858</v>
      </c>
      <c r="D195" s="16" t="s">
        <v>785</v>
      </c>
      <c r="E195" s="16" t="s">
        <v>785</v>
      </c>
      <c r="F195" s="25" t="str">
        <f t="shared" si="2"/>
        <v/>
      </c>
      <c r="G195" s="16"/>
      <c r="H195" s="15"/>
    </row>
    <row r="196" spans="1:8" ht="24.95" customHeight="1" x14ac:dyDescent="0.2">
      <c r="A196" s="16"/>
      <c r="B196" s="16"/>
      <c r="C196" s="16" t="s">
        <v>858</v>
      </c>
      <c r="D196" s="16" t="s">
        <v>786</v>
      </c>
      <c r="E196" s="16" t="s">
        <v>786</v>
      </c>
      <c r="F196" s="25" t="str">
        <f t="shared" ref="F196:F259" si="3">IFERROR(IF(AND(D196="Não",E196="Sim"),"REP",
IF(AND(D196="Sim",E196="Não"),"Técnico",
IF(AND(D196="Sim",E196="Sim"),"Ambos",""))),"")</f>
        <v>Ambos</v>
      </c>
      <c r="G196" s="16"/>
      <c r="H196" s="15"/>
    </row>
    <row r="197" spans="1:8" ht="24.95" customHeight="1" x14ac:dyDescent="0.2">
      <c r="A197" s="16"/>
      <c r="B197" s="16"/>
      <c r="C197" s="16" t="s">
        <v>858</v>
      </c>
      <c r="D197" s="16" t="s">
        <v>786</v>
      </c>
      <c r="E197" s="16" t="s">
        <v>786</v>
      </c>
      <c r="F197" s="25" t="str">
        <f t="shared" si="3"/>
        <v>Ambos</v>
      </c>
      <c r="G197" s="16"/>
      <c r="H197" s="15"/>
    </row>
    <row r="198" spans="1:8" ht="24.95" customHeight="1" x14ac:dyDescent="0.2">
      <c r="A198" s="16"/>
      <c r="B198" s="16"/>
      <c r="C198" s="16" t="s">
        <v>858</v>
      </c>
      <c r="D198" s="16" t="s">
        <v>786</v>
      </c>
      <c r="E198" s="16" t="s">
        <v>786</v>
      </c>
      <c r="F198" s="25" t="str">
        <f t="shared" si="3"/>
        <v>Ambos</v>
      </c>
      <c r="G198" s="16"/>
      <c r="H198" s="15"/>
    </row>
    <row r="199" spans="1:8" ht="24.95" customHeight="1" x14ac:dyDescent="0.2">
      <c r="A199" s="16"/>
      <c r="B199" s="16"/>
      <c r="C199" s="16" t="s">
        <v>858</v>
      </c>
      <c r="D199" s="16" t="s">
        <v>786</v>
      </c>
      <c r="E199" s="16" t="s">
        <v>786</v>
      </c>
      <c r="F199" s="25" t="str">
        <f t="shared" si="3"/>
        <v>Ambos</v>
      </c>
      <c r="G199" s="16"/>
      <c r="H199" s="15"/>
    </row>
    <row r="200" spans="1:8" ht="24.95" customHeight="1" x14ac:dyDescent="0.2">
      <c r="A200" s="16"/>
      <c r="B200" s="16"/>
      <c r="C200" s="16" t="s">
        <v>861</v>
      </c>
      <c r="D200" s="16" t="s">
        <v>785</v>
      </c>
      <c r="E200" s="16" t="s">
        <v>785</v>
      </c>
      <c r="F200" s="25" t="str">
        <f t="shared" si="3"/>
        <v/>
      </c>
      <c r="G200" s="16"/>
      <c r="H200" s="15"/>
    </row>
    <row r="201" spans="1:8" ht="24.95" customHeight="1" x14ac:dyDescent="0.2">
      <c r="A201" s="16"/>
      <c r="B201" s="16"/>
      <c r="C201" s="16" t="s">
        <v>863</v>
      </c>
      <c r="D201" s="16" t="s">
        <v>785</v>
      </c>
      <c r="E201" s="16" t="s">
        <v>785</v>
      </c>
      <c r="F201" s="25" t="str">
        <f t="shared" si="3"/>
        <v/>
      </c>
      <c r="G201" s="16"/>
      <c r="H201" s="15"/>
    </row>
    <row r="202" spans="1:8" ht="24.95" customHeight="1" x14ac:dyDescent="0.2">
      <c r="A202" s="16"/>
      <c r="B202" s="16"/>
      <c r="C202" s="16" t="s">
        <v>860</v>
      </c>
      <c r="D202" s="16" t="s">
        <v>786</v>
      </c>
      <c r="E202" s="16" t="s">
        <v>785</v>
      </c>
      <c r="F202" s="25" t="str">
        <f t="shared" si="3"/>
        <v>Técnico</v>
      </c>
      <c r="G202" s="16"/>
      <c r="H202" s="15"/>
    </row>
    <row r="203" spans="1:8" ht="24.95" customHeight="1" x14ac:dyDescent="0.2">
      <c r="A203" s="16"/>
      <c r="B203" s="16"/>
      <c r="C203" s="16" t="s">
        <v>863</v>
      </c>
      <c r="D203" s="16" t="s">
        <v>785</v>
      </c>
      <c r="E203" s="16" t="s">
        <v>785</v>
      </c>
      <c r="F203" s="25" t="str">
        <f t="shared" si="3"/>
        <v/>
      </c>
      <c r="G203" s="16"/>
      <c r="H203" s="15"/>
    </row>
    <row r="204" spans="1:8" ht="24.95" customHeight="1" x14ac:dyDescent="0.2">
      <c r="A204" s="16"/>
      <c r="B204" s="16"/>
      <c r="C204" s="16" t="s">
        <v>858</v>
      </c>
      <c r="D204" s="16" t="s">
        <v>786</v>
      </c>
      <c r="E204" s="16" t="s">
        <v>785</v>
      </c>
      <c r="F204" s="25" t="str">
        <f t="shared" si="3"/>
        <v>Técnico</v>
      </c>
      <c r="G204" s="16"/>
      <c r="H204" s="15"/>
    </row>
    <row r="205" spans="1:8" ht="24.95" customHeight="1" x14ac:dyDescent="0.2">
      <c r="A205" s="16"/>
      <c r="B205" s="16"/>
      <c r="C205" s="16" t="s">
        <v>858</v>
      </c>
      <c r="D205" s="16" t="s">
        <v>785</v>
      </c>
      <c r="E205" s="16" t="s">
        <v>785</v>
      </c>
      <c r="F205" s="25" t="str">
        <f t="shared" si="3"/>
        <v/>
      </c>
      <c r="G205" s="16"/>
      <c r="H205" s="15"/>
    </row>
    <row r="206" spans="1:8" ht="24.95" customHeight="1" x14ac:dyDescent="0.2">
      <c r="A206" s="16"/>
      <c r="B206" s="16"/>
      <c r="C206" s="16" t="s">
        <v>858</v>
      </c>
      <c r="D206" s="16" t="s">
        <v>785</v>
      </c>
      <c r="E206" s="16" t="s">
        <v>785</v>
      </c>
      <c r="F206" s="25" t="str">
        <f t="shared" si="3"/>
        <v/>
      </c>
      <c r="G206" s="16"/>
      <c r="H206" s="15"/>
    </row>
    <row r="207" spans="1:8" ht="24.95" customHeight="1" x14ac:dyDescent="0.2">
      <c r="A207" s="16"/>
      <c r="B207" s="16"/>
      <c r="C207" s="16" t="s">
        <v>858</v>
      </c>
      <c r="D207" s="16" t="s">
        <v>786</v>
      </c>
      <c r="E207" s="16" t="s">
        <v>785</v>
      </c>
      <c r="F207" s="25" t="str">
        <f t="shared" si="3"/>
        <v>Técnico</v>
      </c>
      <c r="G207" s="16"/>
      <c r="H207" s="15"/>
    </row>
    <row r="208" spans="1:8" ht="24.95" customHeight="1" x14ac:dyDescent="0.2">
      <c r="A208" s="16"/>
      <c r="B208" s="16"/>
      <c r="C208" s="16" t="s">
        <v>858</v>
      </c>
      <c r="D208" s="16" t="s">
        <v>785</v>
      </c>
      <c r="E208" s="16" t="s">
        <v>785</v>
      </c>
      <c r="F208" s="25" t="str">
        <f t="shared" si="3"/>
        <v/>
      </c>
      <c r="G208" s="16"/>
      <c r="H208" s="15"/>
    </row>
    <row r="209" spans="1:8" ht="24.95" customHeight="1" x14ac:dyDescent="0.2">
      <c r="A209" s="16"/>
      <c r="B209" s="16"/>
      <c r="C209" s="16" t="s">
        <v>858</v>
      </c>
      <c r="D209" s="16" t="s">
        <v>786</v>
      </c>
      <c r="E209" s="16" t="s">
        <v>785</v>
      </c>
      <c r="F209" s="25" t="str">
        <f t="shared" si="3"/>
        <v>Técnico</v>
      </c>
      <c r="G209" s="16"/>
      <c r="H209" s="15"/>
    </row>
    <row r="210" spans="1:8" ht="24.95" customHeight="1" x14ac:dyDescent="0.2">
      <c r="A210" s="16"/>
      <c r="B210" s="16"/>
      <c r="C210" s="16" t="s">
        <v>858</v>
      </c>
      <c r="D210" s="16" t="s">
        <v>785</v>
      </c>
      <c r="E210" s="16" t="s">
        <v>785</v>
      </c>
      <c r="F210" s="25" t="str">
        <f t="shared" si="3"/>
        <v/>
      </c>
      <c r="G210" s="16"/>
      <c r="H210" s="15"/>
    </row>
    <row r="211" spans="1:8" ht="24.95" customHeight="1" x14ac:dyDescent="0.2">
      <c r="A211" s="16"/>
      <c r="B211" s="16"/>
      <c r="C211" s="16" t="s">
        <v>858</v>
      </c>
      <c r="D211" s="16" t="s">
        <v>786</v>
      </c>
      <c r="E211" s="16" t="s">
        <v>785</v>
      </c>
      <c r="F211" s="25" t="str">
        <f t="shared" si="3"/>
        <v>Técnico</v>
      </c>
      <c r="G211" s="16"/>
      <c r="H211" s="15"/>
    </row>
    <row r="212" spans="1:8" ht="24.95" customHeight="1" x14ac:dyDescent="0.2">
      <c r="A212" s="16"/>
      <c r="B212" s="16"/>
      <c r="C212" s="16" t="s">
        <v>858</v>
      </c>
      <c r="D212" s="16" t="s">
        <v>785</v>
      </c>
      <c r="E212" s="16" t="s">
        <v>785</v>
      </c>
      <c r="F212" s="25" t="str">
        <f t="shared" si="3"/>
        <v/>
      </c>
      <c r="G212" s="16"/>
      <c r="H212" s="15"/>
    </row>
    <row r="213" spans="1:8" ht="24.95" customHeight="1" x14ac:dyDescent="0.2">
      <c r="A213" s="16"/>
      <c r="B213" s="16"/>
      <c r="C213" s="16" t="s">
        <v>858</v>
      </c>
      <c r="D213" s="16" t="s">
        <v>786</v>
      </c>
      <c r="E213" s="16" t="s">
        <v>786</v>
      </c>
      <c r="F213" s="25" t="str">
        <f t="shared" si="3"/>
        <v>Ambos</v>
      </c>
      <c r="G213" s="16"/>
      <c r="H213" s="15"/>
    </row>
    <row r="214" spans="1:8" ht="24.95" customHeight="1" x14ac:dyDescent="0.2">
      <c r="A214" s="16"/>
      <c r="B214" s="16"/>
      <c r="C214" s="16" t="s">
        <v>860</v>
      </c>
      <c r="D214" s="16" t="s">
        <v>785</v>
      </c>
      <c r="E214" s="16" t="s">
        <v>785</v>
      </c>
      <c r="F214" s="25" t="str">
        <f t="shared" si="3"/>
        <v/>
      </c>
      <c r="G214" s="16"/>
      <c r="H214" s="15"/>
    </row>
    <row r="215" spans="1:8" ht="24.95" customHeight="1" x14ac:dyDescent="0.2">
      <c r="A215" s="16"/>
      <c r="B215" s="16"/>
      <c r="C215" s="16" t="s">
        <v>859</v>
      </c>
      <c r="D215" s="16" t="s">
        <v>785</v>
      </c>
      <c r="E215" s="16" t="s">
        <v>785</v>
      </c>
      <c r="F215" s="25" t="str">
        <f t="shared" si="3"/>
        <v/>
      </c>
      <c r="G215" s="16"/>
      <c r="H215" s="15"/>
    </row>
    <row r="216" spans="1:8" ht="24.95" customHeight="1" x14ac:dyDescent="0.2">
      <c r="A216" s="16"/>
      <c r="B216" s="16"/>
      <c r="C216" s="16" t="s">
        <v>860</v>
      </c>
      <c r="D216" s="16" t="s">
        <v>785</v>
      </c>
      <c r="E216" s="16" t="s">
        <v>785</v>
      </c>
      <c r="F216" s="25" t="str">
        <f t="shared" si="3"/>
        <v/>
      </c>
      <c r="G216" s="16"/>
      <c r="H216" s="15"/>
    </row>
    <row r="217" spans="1:8" ht="24.95" customHeight="1" x14ac:dyDescent="0.2">
      <c r="A217" s="16"/>
      <c r="B217" s="16"/>
      <c r="C217" s="16" t="s">
        <v>860</v>
      </c>
      <c r="D217" s="16" t="s">
        <v>785</v>
      </c>
      <c r="E217" s="16" t="s">
        <v>785</v>
      </c>
      <c r="F217" s="25" t="str">
        <f t="shared" si="3"/>
        <v/>
      </c>
      <c r="G217" s="16"/>
      <c r="H217" s="15"/>
    </row>
    <row r="218" spans="1:8" ht="24.95" customHeight="1" x14ac:dyDescent="0.2">
      <c r="A218" s="16"/>
      <c r="B218" s="16"/>
      <c r="C218" s="16" t="s">
        <v>860</v>
      </c>
      <c r="D218" s="16" t="s">
        <v>785</v>
      </c>
      <c r="E218" s="16" t="s">
        <v>785</v>
      </c>
      <c r="F218" s="25" t="str">
        <f t="shared" si="3"/>
        <v/>
      </c>
      <c r="G218" s="16"/>
      <c r="H218" s="15"/>
    </row>
    <row r="219" spans="1:8" ht="24.95" customHeight="1" x14ac:dyDescent="0.2">
      <c r="A219" s="16"/>
      <c r="B219" s="16"/>
      <c r="C219" s="16" t="s">
        <v>860</v>
      </c>
      <c r="D219" s="16" t="s">
        <v>786</v>
      </c>
      <c r="E219" s="16" t="s">
        <v>785</v>
      </c>
      <c r="F219" s="25" t="str">
        <f t="shared" si="3"/>
        <v>Técnico</v>
      </c>
      <c r="G219" s="16"/>
      <c r="H219" s="15"/>
    </row>
    <row r="220" spans="1:8" ht="24.95" customHeight="1" x14ac:dyDescent="0.2">
      <c r="A220" s="16"/>
      <c r="B220" s="16"/>
      <c r="C220" s="16" t="s">
        <v>860</v>
      </c>
      <c r="D220" s="16" t="s">
        <v>786</v>
      </c>
      <c r="E220" s="16" t="s">
        <v>785</v>
      </c>
      <c r="F220" s="25" t="str">
        <f t="shared" si="3"/>
        <v>Técnico</v>
      </c>
      <c r="G220" s="16"/>
      <c r="H220" s="15"/>
    </row>
    <row r="221" spans="1:8" ht="24.95" customHeight="1" x14ac:dyDescent="0.2">
      <c r="A221" s="16"/>
      <c r="B221" s="16"/>
      <c r="C221" s="16" t="s">
        <v>860</v>
      </c>
      <c r="D221" s="16" t="s">
        <v>786</v>
      </c>
      <c r="E221" s="16" t="s">
        <v>785</v>
      </c>
      <c r="F221" s="25" t="str">
        <f t="shared" si="3"/>
        <v>Técnico</v>
      </c>
      <c r="G221" s="16"/>
      <c r="H221" s="15"/>
    </row>
    <row r="222" spans="1:8" ht="24.95" customHeight="1" x14ac:dyDescent="0.2">
      <c r="A222" s="16"/>
      <c r="B222" s="16"/>
      <c r="C222" s="16" t="s">
        <v>860</v>
      </c>
      <c r="D222" s="16" t="s">
        <v>786</v>
      </c>
      <c r="E222" s="16" t="s">
        <v>785</v>
      </c>
      <c r="F222" s="25" t="str">
        <f t="shared" si="3"/>
        <v>Técnico</v>
      </c>
      <c r="G222" s="16"/>
      <c r="H222" s="15"/>
    </row>
    <row r="223" spans="1:8" ht="24.95" customHeight="1" x14ac:dyDescent="0.2">
      <c r="A223" s="16"/>
      <c r="B223" s="16"/>
      <c r="C223" s="16" t="s">
        <v>862</v>
      </c>
      <c r="D223" s="16" t="s">
        <v>785</v>
      </c>
      <c r="E223" s="16" t="s">
        <v>786</v>
      </c>
      <c r="F223" s="25" t="str">
        <f t="shared" si="3"/>
        <v>REP</v>
      </c>
      <c r="G223" s="16"/>
      <c r="H223" s="15"/>
    </row>
    <row r="224" spans="1:8" ht="24.95" customHeight="1" x14ac:dyDescent="0.2">
      <c r="A224" s="16"/>
      <c r="B224" s="16"/>
      <c r="C224" s="16" t="s">
        <v>860</v>
      </c>
      <c r="D224" s="16" t="s">
        <v>786</v>
      </c>
      <c r="E224" s="16" t="s">
        <v>786</v>
      </c>
      <c r="F224" s="25" t="str">
        <f t="shared" si="3"/>
        <v>Ambos</v>
      </c>
      <c r="G224" s="16"/>
      <c r="H224" s="15"/>
    </row>
    <row r="225" spans="1:8" ht="24.95" customHeight="1" x14ac:dyDescent="0.2">
      <c r="A225" s="16"/>
      <c r="B225" s="16"/>
      <c r="C225" s="16" t="s">
        <v>859</v>
      </c>
      <c r="D225" s="16" t="s">
        <v>785</v>
      </c>
      <c r="E225" s="16" t="s">
        <v>785</v>
      </c>
      <c r="F225" s="25" t="str">
        <f t="shared" si="3"/>
        <v/>
      </c>
      <c r="G225" s="16"/>
      <c r="H225" s="15"/>
    </row>
    <row r="226" spans="1:8" ht="24.95" customHeight="1" x14ac:dyDescent="0.2">
      <c r="A226" s="16"/>
      <c r="B226" s="16"/>
      <c r="C226" s="16" t="s">
        <v>860</v>
      </c>
      <c r="D226" s="16" t="s">
        <v>785</v>
      </c>
      <c r="E226" s="16" t="s">
        <v>785</v>
      </c>
      <c r="F226" s="25" t="str">
        <f t="shared" si="3"/>
        <v/>
      </c>
      <c r="G226" s="16"/>
      <c r="H226" s="15"/>
    </row>
    <row r="227" spans="1:8" ht="24.95" customHeight="1" x14ac:dyDescent="0.2">
      <c r="A227" s="16"/>
      <c r="B227" s="16"/>
      <c r="C227" s="16" t="s">
        <v>860</v>
      </c>
      <c r="D227" s="16" t="s">
        <v>785</v>
      </c>
      <c r="E227" s="16" t="s">
        <v>785</v>
      </c>
      <c r="F227" s="25" t="str">
        <f t="shared" si="3"/>
        <v/>
      </c>
      <c r="G227" s="16"/>
      <c r="H227" s="15"/>
    </row>
    <row r="228" spans="1:8" ht="24.95" customHeight="1" x14ac:dyDescent="0.2">
      <c r="A228" s="16"/>
      <c r="B228" s="16"/>
      <c r="C228" s="16" t="s">
        <v>859</v>
      </c>
      <c r="D228" s="16" t="s">
        <v>786</v>
      </c>
      <c r="E228" s="16" t="s">
        <v>786</v>
      </c>
      <c r="F228" s="25" t="str">
        <f t="shared" si="3"/>
        <v>Ambos</v>
      </c>
      <c r="G228" s="16"/>
      <c r="H228" s="15"/>
    </row>
    <row r="229" spans="1:8" ht="24.95" customHeight="1" x14ac:dyDescent="0.2">
      <c r="A229" s="16"/>
      <c r="B229" s="16"/>
      <c r="C229" s="16" t="s">
        <v>859</v>
      </c>
      <c r="D229" s="16" t="s">
        <v>785</v>
      </c>
      <c r="E229" s="16" t="s">
        <v>785</v>
      </c>
      <c r="F229" s="25" t="str">
        <f t="shared" si="3"/>
        <v/>
      </c>
      <c r="G229" s="16"/>
      <c r="H229" s="15"/>
    </row>
    <row r="230" spans="1:8" ht="24.95" customHeight="1" x14ac:dyDescent="0.2">
      <c r="A230" s="16"/>
      <c r="B230" s="16"/>
      <c r="C230" s="16" t="s">
        <v>859</v>
      </c>
      <c r="D230" s="16" t="s">
        <v>785</v>
      </c>
      <c r="E230" s="16" t="s">
        <v>785</v>
      </c>
      <c r="F230" s="25" t="str">
        <f t="shared" si="3"/>
        <v/>
      </c>
      <c r="G230" s="16"/>
      <c r="H230" s="15"/>
    </row>
    <row r="231" spans="1:8" ht="24.95" customHeight="1" x14ac:dyDescent="0.2">
      <c r="A231" s="16"/>
      <c r="B231" s="16"/>
      <c r="C231" s="16" t="s">
        <v>860</v>
      </c>
      <c r="D231" s="16" t="s">
        <v>786</v>
      </c>
      <c r="E231" s="16" t="s">
        <v>786</v>
      </c>
      <c r="F231" s="25" t="str">
        <f t="shared" si="3"/>
        <v>Ambos</v>
      </c>
      <c r="G231" s="16"/>
      <c r="H231" s="15"/>
    </row>
    <row r="232" spans="1:8" ht="24.95" customHeight="1" x14ac:dyDescent="0.2">
      <c r="A232" s="16"/>
      <c r="B232" s="16"/>
      <c r="C232" s="16" t="s">
        <v>860</v>
      </c>
      <c r="D232" s="16" t="s">
        <v>786</v>
      </c>
      <c r="E232" s="16" t="s">
        <v>786</v>
      </c>
      <c r="F232" s="25" t="str">
        <f t="shared" si="3"/>
        <v>Ambos</v>
      </c>
      <c r="G232" s="16"/>
      <c r="H232" s="15"/>
    </row>
    <row r="233" spans="1:8" ht="24.95" customHeight="1" x14ac:dyDescent="0.2">
      <c r="A233" s="16"/>
      <c r="B233" s="16"/>
      <c r="C233" s="16" t="s">
        <v>860</v>
      </c>
      <c r="D233" s="16" t="s">
        <v>786</v>
      </c>
      <c r="E233" s="16" t="s">
        <v>785</v>
      </c>
      <c r="F233" s="25" t="str">
        <f t="shared" si="3"/>
        <v>Técnico</v>
      </c>
      <c r="G233" s="16"/>
      <c r="H233" s="15"/>
    </row>
    <row r="234" spans="1:8" ht="24.95" customHeight="1" x14ac:dyDescent="0.2">
      <c r="A234" s="16"/>
      <c r="B234" s="16"/>
      <c r="C234" s="16" t="s">
        <v>859</v>
      </c>
      <c r="D234" s="16" t="s">
        <v>786</v>
      </c>
      <c r="E234" s="16" t="s">
        <v>786</v>
      </c>
      <c r="F234" s="25" t="str">
        <f t="shared" si="3"/>
        <v>Ambos</v>
      </c>
      <c r="G234" s="16"/>
      <c r="H234" s="15"/>
    </row>
    <row r="235" spans="1:8" ht="24.95" customHeight="1" x14ac:dyDescent="0.2">
      <c r="A235" s="16"/>
      <c r="B235" s="16"/>
      <c r="C235" s="16" t="s">
        <v>859</v>
      </c>
      <c r="D235" s="16" t="s">
        <v>785</v>
      </c>
      <c r="E235" s="16" t="s">
        <v>785</v>
      </c>
      <c r="F235" s="25" t="str">
        <f t="shared" si="3"/>
        <v/>
      </c>
      <c r="G235" s="16"/>
      <c r="H235" s="15"/>
    </row>
    <row r="236" spans="1:8" ht="24.95" customHeight="1" x14ac:dyDescent="0.2">
      <c r="A236" s="16"/>
      <c r="B236" s="16"/>
      <c r="C236" s="16" t="s">
        <v>859</v>
      </c>
      <c r="D236" s="16" t="s">
        <v>785</v>
      </c>
      <c r="E236" s="16" t="s">
        <v>785</v>
      </c>
      <c r="F236" s="25" t="str">
        <f t="shared" si="3"/>
        <v/>
      </c>
      <c r="G236" s="16"/>
      <c r="H236" s="15"/>
    </row>
    <row r="237" spans="1:8" ht="24.95" customHeight="1" x14ac:dyDescent="0.2">
      <c r="A237" s="16"/>
      <c r="B237" s="16"/>
      <c r="C237" s="16" t="s">
        <v>859</v>
      </c>
      <c r="D237" s="16" t="s">
        <v>786</v>
      </c>
      <c r="E237" s="16" t="s">
        <v>786</v>
      </c>
      <c r="F237" s="25" t="str">
        <f t="shared" si="3"/>
        <v>Ambos</v>
      </c>
      <c r="G237" s="16"/>
      <c r="H237" s="15"/>
    </row>
    <row r="238" spans="1:8" ht="24.95" customHeight="1" x14ac:dyDescent="0.2">
      <c r="A238" s="16"/>
      <c r="B238" s="16"/>
      <c r="C238" s="16" t="s">
        <v>859</v>
      </c>
      <c r="D238" s="16" t="s">
        <v>785</v>
      </c>
      <c r="E238" s="16" t="s">
        <v>785</v>
      </c>
      <c r="F238" s="25" t="str">
        <f t="shared" si="3"/>
        <v/>
      </c>
      <c r="G238" s="16"/>
      <c r="H238" s="15"/>
    </row>
    <row r="239" spans="1:8" ht="24.95" customHeight="1" x14ac:dyDescent="0.2">
      <c r="A239" s="16"/>
      <c r="B239" s="16"/>
      <c r="C239" s="16" t="s">
        <v>859</v>
      </c>
      <c r="D239" s="16" t="s">
        <v>785</v>
      </c>
      <c r="E239" s="16" t="s">
        <v>785</v>
      </c>
      <c r="F239" s="25" t="str">
        <f t="shared" si="3"/>
        <v/>
      </c>
      <c r="G239" s="16"/>
      <c r="H239" s="15"/>
    </row>
    <row r="240" spans="1:8" ht="24.95" customHeight="1" x14ac:dyDescent="0.2">
      <c r="A240" s="16"/>
      <c r="B240" s="16"/>
      <c r="C240" s="16" t="s">
        <v>860</v>
      </c>
      <c r="D240" s="16" t="s">
        <v>785</v>
      </c>
      <c r="E240" s="16" t="s">
        <v>786</v>
      </c>
      <c r="F240" s="25" t="str">
        <f t="shared" si="3"/>
        <v>REP</v>
      </c>
      <c r="G240" s="16"/>
      <c r="H240" s="15"/>
    </row>
    <row r="241" spans="1:8" ht="24.95" customHeight="1" x14ac:dyDescent="0.2">
      <c r="A241" s="16"/>
      <c r="B241" s="16"/>
      <c r="C241" s="16" t="s">
        <v>860</v>
      </c>
      <c r="D241" s="16" t="s">
        <v>786</v>
      </c>
      <c r="E241" s="16" t="s">
        <v>786</v>
      </c>
      <c r="F241" s="25" t="str">
        <f t="shared" si="3"/>
        <v>Ambos</v>
      </c>
      <c r="G241" s="16"/>
      <c r="H241" s="15"/>
    </row>
    <row r="242" spans="1:8" ht="24.95" customHeight="1" x14ac:dyDescent="0.2">
      <c r="A242" s="16"/>
      <c r="B242" s="16"/>
      <c r="C242" s="16" t="s">
        <v>860</v>
      </c>
      <c r="D242" s="16" t="s">
        <v>786</v>
      </c>
      <c r="E242" s="16" t="s">
        <v>786</v>
      </c>
      <c r="F242" s="25" t="str">
        <f t="shared" si="3"/>
        <v>Ambos</v>
      </c>
      <c r="G242" s="16"/>
      <c r="H242" s="15"/>
    </row>
    <row r="243" spans="1:8" ht="24.95" customHeight="1" x14ac:dyDescent="0.2">
      <c r="A243" s="16"/>
      <c r="B243" s="16"/>
      <c r="C243" s="16" t="s">
        <v>858</v>
      </c>
      <c r="D243" s="16" t="s">
        <v>785</v>
      </c>
      <c r="E243" s="16" t="s">
        <v>785</v>
      </c>
      <c r="F243" s="25" t="str">
        <f t="shared" si="3"/>
        <v/>
      </c>
      <c r="G243" s="16"/>
      <c r="H243" s="15"/>
    </row>
    <row r="244" spans="1:8" ht="24.95" customHeight="1" x14ac:dyDescent="0.2">
      <c r="A244" s="16"/>
      <c r="B244" s="16"/>
      <c r="C244" s="16" t="s">
        <v>858</v>
      </c>
      <c r="D244" s="16" t="s">
        <v>785</v>
      </c>
      <c r="E244" s="16" t="s">
        <v>785</v>
      </c>
      <c r="F244" s="25" t="str">
        <f t="shared" si="3"/>
        <v/>
      </c>
      <c r="G244" s="16"/>
      <c r="H244" s="15"/>
    </row>
    <row r="245" spans="1:8" ht="24.95" customHeight="1" x14ac:dyDescent="0.2">
      <c r="A245" s="16"/>
      <c r="B245" s="16"/>
      <c r="C245" s="16" t="s">
        <v>858</v>
      </c>
      <c r="D245" s="16" t="s">
        <v>785</v>
      </c>
      <c r="E245" s="16" t="s">
        <v>785</v>
      </c>
      <c r="F245" s="25" t="str">
        <f t="shared" si="3"/>
        <v/>
      </c>
      <c r="G245" s="16"/>
      <c r="H245" s="15"/>
    </row>
    <row r="246" spans="1:8" ht="24.95" customHeight="1" x14ac:dyDescent="0.2">
      <c r="A246" s="16"/>
      <c r="B246" s="16"/>
      <c r="C246" s="16" t="s">
        <v>858</v>
      </c>
      <c r="D246" s="16" t="s">
        <v>785</v>
      </c>
      <c r="E246" s="16" t="s">
        <v>785</v>
      </c>
      <c r="F246" s="25" t="str">
        <f t="shared" si="3"/>
        <v/>
      </c>
      <c r="G246" s="16"/>
      <c r="H246" s="15"/>
    </row>
    <row r="247" spans="1:8" ht="24.95" customHeight="1" x14ac:dyDescent="0.2">
      <c r="A247" s="16"/>
      <c r="B247" s="16"/>
      <c r="C247" s="16" t="s">
        <v>858</v>
      </c>
      <c r="D247" s="16" t="s">
        <v>785</v>
      </c>
      <c r="E247" s="16" t="s">
        <v>785</v>
      </c>
      <c r="F247" s="25" t="str">
        <f t="shared" si="3"/>
        <v/>
      </c>
      <c r="G247" s="16"/>
      <c r="H247" s="15"/>
    </row>
    <row r="248" spans="1:8" ht="24.95" customHeight="1" x14ac:dyDescent="0.2">
      <c r="A248" s="16"/>
      <c r="B248" s="16"/>
      <c r="C248" s="16" t="s">
        <v>858</v>
      </c>
      <c r="D248" s="16" t="s">
        <v>785</v>
      </c>
      <c r="E248" s="16" t="s">
        <v>785</v>
      </c>
      <c r="F248" s="25" t="str">
        <f t="shared" si="3"/>
        <v/>
      </c>
      <c r="G248" s="16"/>
      <c r="H248" s="15"/>
    </row>
    <row r="249" spans="1:8" ht="24.95" customHeight="1" x14ac:dyDescent="0.2">
      <c r="A249" s="16"/>
      <c r="B249" s="16"/>
      <c r="C249" s="16" t="s">
        <v>858</v>
      </c>
      <c r="D249" s="16" t="s">
        <v>785</v>
      </c>
      <c r="E249" s="16" t="s">
        <v>785</v>
      </c>
      <c r="F249" s="25" t="str">
        <f t="shared" si="3"/>
        <v/>
      </c>
      <c r="G249" s="16"/>
      <c r="H249" s="15"/>
    </row>
    <row r="250" spans="1:8" ht="24.95" customHeight="1" x14ac:dyDescent="0.2">
      <c r="A250" s="16"/>
      <c r="B250" s="16"/>
      <c r="C250" s="16" t="s">
        <v>858</v>
      </c>
      <c r="D250" s="16" t="s">
        <v>785</v>
      </c>
      <c r="E250" s="16" t="s">
        <v>785</v>
      </c>
      <c r="F250" s="25" t="str">
        <f t="shared" si="3"/>
        <v/>
      </c>
      <c r="G250" s="16"/>
      <c r="H250" s="15"/>
    </row>
    <row r="251" spans="1:8" ht="24.95" customHeight="1" x14ac:dyDescent="0.2">
      <c r="A251" s="16"/>
      <c r="B251" s="16"/>
      <c r="C251" s="16" t="s">
        <v>858</v>
      </c>
      <c r="D251" s="16" t="s">
        <v>785</v>
      </c>
      <c r="E251" s="16" t="s">
        <v>785</v>
      </c>
      <c r="F251" s="25" t="str">
        <f t="shared" si="3"/>
        <v/>
      </c>
      <c r="G251" s="16"/>
      <c r="H251" s="15"/>
    </row>
    <row r="252" spans="1:8" ht="24.95" customHeight="1" x14ac:dyDescent="0.2">
      <c r="A252" s="16"/>
      <c r="B252" s="16"/>
      <c r="C252" s="16" t="s">
        <v>858</v>
      </c>
      <c r="D252" s="16" t="s">
        <v>785</v>
      </c>
      <c r="E252" s="16" t="s">
        <v>785</v>
      </c>
      <c r="F252" s="25" t="str">
        <f t="shared" si="3"/>
        <v/>
      </c>
      <c r="G252" s="16"/>
      <c r="H252" s="15"/>
    </row>
    <row r="253" spans="1:8" ht="24.95" customHeight="1" x14ac:dyDescent="0.2">
      <c r="A253" s="16"/>
      <c r="B253" s="16"/>
      <c r="C253" s="16" t="s">
        <v>859</v>
      </c>
      <c r="D253" s="16" t="s">
        <v>785</v>
      </c>
      <c r="E253" s="16" t="s">
        <v>786</v>
      </c>
      <c r="F253" s="25" t="str">
        <f t="shared" si="3"/>
        <v>REP</v>
      </c>
      <c r="G253" s="16"/>
      <c r="H253" s="15"/>
    </row>
    <row r="254" spans="1:8" ht="24.95" customHeight="1" x14ac:dyDescent="0.2">
      <c r="A254" s="16"/>
      <c r="B254" s="16"/>
      <c r="C254" s="16" t="s">
        <v>859</v>
      </c>
      <c r="D254" s="16" t="s">
        <v>785</v>
      </c>
      <c r="E254" s="16" t="s">
        <v>786</v>
      </c>
      <c r="F254" s="25" t="str">
        <f t="shared" si="3"/>
        <v>REP</v>
      </c>
      <c r="G254" s="16"/>
      <c r="H254" s="15"/>
    </row>
    <row r="255" spans="1:8" ht="24.95" customHeight="1" x14ac:dyDescent="0.2">
      <c r="A255" s="16"/>
      <c r="B255" s="16"/>
      <c r="C255" s="16" t="s">
        <v>859</v>
      </c>
      <c r="D255" s="16" t="s">
        <v>786</v>
      </c>
      <c r="E255" s="16" t="s">
        <v>786</v>
      </c>
      <c r="F255" s="25" t="str">
        <f t="shared" si="3"/>
        <v>Ambos</v>
      </c>
      <c r="G255" s="16"/>
      <c r="H255" s="15"/>
    </row>
    <row r="256" spans="1:8" ht="24.95" customHeight="1" x14ac:dyDescent="0.2">
      <c r="A256" s="16"/>
      <c r="B256" s="16"/>
      <c r="C256" s="16" t="s">
        <v>860</v>
      </c>
      <c r="D256" s="16" t="s">
        <v>785</v>
      </c>
      <c r="E256" s="16" t="s">
        <v>786</v>
      </c>
      <c r="F256" s="25" t="str">
        <f t="shared" si="3"/>
        <v>REP</v>
      </c>
      <c r="G256" s="16"/>
      <c r="H256" s="15"/>
    </row>
    <row r="257" spans="1:8" ht="24.95" customHeight="1" x14ac:dyDescent="0.2">
      <c r="A257" s="16"/>
      <c r="B257" s="16"/>
      <c r="C257" s="16" t="s">
        <v>860</v>
      </c>
      <c r="D257" s="16" t="s">
        <v>785</v>
      </c>
      <c r="E257" s="16" t="s">
        <v>786</v>
      </c>
      <c r="F257" s="25" t="str">
        <f t="shared" si="3"/>
        <v>REP</v>
      </c>
      <c r="G257" s="16"/>
      <c r="H257" s="15"/>
    </row>
    <row r="258" spans="1:8" ht="24.95" customHeight="1" x14ac:dyDescent="0.2">
      <c r="A258" s="16"/>
      <c r="B258" s="16"/>
      <c r="C258" s="16" t="s">
        <v>859</v>
      </c>
      <c r="D258" s="16" t="s">
        <v>786</v>
      </c>
      <c r="E258" s="16" t="s">
        <v>785</v>
      </c>
      <c r="F258" s="25" t="str">
        <f t="shared" si="3"/>
        <v>Técnico</v>
      </c>
      <c r="G258" s="16"/>
      <c r="H258" s="15"/>
    </row>
    <row r="259" spans="1:8" ht="24.95" customHeight="1" x14ac:dyDescent="0.2">
      <c r="A259" s="16"/>
      <c r="B259" s="16"/>
      <c r="C259" s="16" t="s">
        <v>859</v>
      </c>
      <c r="D259" s="16" t="s">
        <v>786</v>
      </c>
      <c r="E259" s="16" t="s">
        <v>785</v>
      </c>
      <c r="F259" s="25" t="str">
        <f t="shared" si="3"/>
        <v>Técnico</v>
      </c>
      <c r="G259" s="16"/>
      <c r="H259" s="15"/>
    </row>
    <row r="260" spans="1:8" ht="24.95" customHeight="1" x14ac:dyDescent="0.2">
      <c r="A260" s="16"/>
      <c r="B260" s="16"/>
      <c r="C260" s="16" t="s">
        <v>859</v>
      </c>
      <c r="D260" s="16" t="s">
        <v>786</v>
      </c>
      <c r="E260" s="16" t="s">
        <v>785</v>
      </c>
      <c r="F260" s="25" t="str">
        <f t="shared" ref="F260:F323" si="4">IFERROR(IF(AND(D260="Não",E260="Sim"),"REP",
IF(AND(D260="Sim",E260="Não"),"Técnico",
IF(AND(D260="Sim",E260="Sim"),"Ambos",""))),"")</f>
        <v>Técnico</v>
      </c>
      <c r="G260" s="16"/>
      <c r="H260" s="15"/>
    </row>
    <row r="261" spans="1:8" ht="24.95" customHeight="1" x14ac:dyDescent="0.2">
      <c r="A261" s="16"/>
      <c r="B261" s="16"/>
      <c r="C261" s="16" t="s">
        <v>859</v>
      </c>
      <c r="D261" s="16" t="s">
        <v>786</v>
      </c>
      <c r="E261" s="16" t="s">
        <v>785</v>
      </c>
      <c r="F261" s="25" t="str">
        <f t="shared" si="4"/>
        <v>Técnico</v>
      </c>
      <c r="G261" s="16"/>
      <c r="H261" s="15"/>
    </row>
    <row r="262" spans="1:8" ht="24.95" customHeight="1" x14ac:dyDescent="0.2">
      <c r="A262" s="16"/>
      <c r="B262" s="16"/>
      <c r="C262" s="16" t="s">
        <v>859</v>
      </c>
      <c r="D262" s="16" t="s">
        <v>786</v>
      </c>
      <c r="E262" s="16" t="s">
        <v>785</v>
      </c>
      <c r="F262" s="25" t="str">
        <f t="shared" si="4"/>
        <v>Técnico</v>
      </c>
      <c r="G262" s="16"/>
      <c r="H262" s="15"/>
    </row>
    <row r="263" spans="1:8" ht="24.95" customHeight="1" x14ac:dyDescent="0.2">
      <c r="A263" s="16"/>
      <c r="B263" s="16"/>
      <c r="C263" s="16" t="s">
        <v>859</v>
      </c>
      <c r="D263" s="16" t="s">
        <v>786</v>
      </c>
      <c r="E263" s="16" t="s">
        <v>785</v>
      </c>
      <c r="F263" s="25" t="str">
        <f t="shared" si="4"/>
        <v>Técnico</v>
      </c>
      <c r="G263" s="16"/>
      <c r="H263" s="15"/>
    </row>
    <row r="264" spans="1:8" ht="24.95" customHeight="1" x14ac:dyDescent="0.2">
      <c r="A264" s="16"/>
      <c r="B264" s="16"/>
      <c r="C264" s="16" t="s">
        <v>859</v>
      </c>
      <c r="D264" s="16" t="s">
        <v>786</v>
      </c>
      <c r="E264" s="16" t="s">
        <v>785</v>
      </c>
      <c r="F264" s="25" t="str">
        <f t="shared" si="4"/>
        <v>Técnico</v>
      </c>
      <c r="G264" s="16"/>
      <c r="H264" s="15"/>
    </row>
    <row r="265" spans="1:8" ht="24.95" customHeight="1" x14ac:dyDescent="0.2">
      <c r="A265" s="16"/>
      <c r="B265" s="16"/>
      <c r="C265" s="16" t="s">
        <v>859</v>
      </c>
      <c r="D265" s="16" t="s">
        <v>786</v>
      </c>
      <c r="E265" s="16" t="s">
        <v>785</v>
      </c>
      <c r="F265" s="25" t="str">
        <f t="shared" si="4"/>
        <v>Técnico</v>
      </c>
      <c r="G265" s="16"/>
      <c r="H265" s="15"/>
    </row>
    <row r="266" spans="1:8" ht="24.95" customHeight="1" x14ac:dyDescent="0.2">
      <c r="A266" s="16"/>
      <c r="B266" s="16"/>
      <c r="C266" s="16" t="s">
        <v>859</v>
      </c>
      <c r="D266" s="16" t="s">
        <v>786</v>
      </c>
      <c r="E266" s="16" t="s">
        <v>785</v>
      </c>
      <c r="F266" s="25" t="str">
        <f t="shared" si="4"/>
        <v>Técnico</v>
      </c>
      <c r="G266" s="16"/>
      <c r="H266" s="15"/>
    </row>
    <row r="267" spans="1:8" ht="24.95" customHeight="1" x14ac:dyDescent="0.2">
      <c r="A267" s="16"/>
      <c r="B267" s="16"/>
      <c r="C267" s="16" t="s">
        <v>859</v>
      </c>
      <c r="D267" s="16" t="s">
        <v>786</v>
      </c>
      <c r="E267" s="16" t="s">
        <v>785</v>
      </c>
      <c r="F267" s="25" t="str">
        <f t="shared" si="4"/>
        <v>Técnico</v>
      </c>
      <c r="G267" s="16"/>
      <c r="H267" s="15"/>
    </row>
    <row r="268" spans="1:8" ht="24.95" customHeight="1" x14ac:dyDescent="0.2">
      <c r="A268" s="16"/>
      <c r="B268" s="16"/>
      <c r="C268" s="16" t="s">
        <v>859</v>
      </c>
      <c r="D268" s="16" t="s">
        <v>786</v>
      </c>
      <c r="E268" s="16" t="s">
        <v>785</v>
      </c>
      <c r="F268" s="25" t="str">
        <f t="shared" si="4"/>
        <v>Técnico</v>
      </c>
      <c r="G268" s="16"/>
      <c r="H268" s="15"/>
    </row>
    <row r="269" spans="1:8" ht="24.95" customHeight="1" x14ac:dyDescent="0.2">
      <c r="A269" s="16"/>
      <c r="B269" s="16"/>
      <c r="C269" s="16" t="s">
        <v>862</v>
      </c>
      <c r="D269" s="16" t="s">
        <v>785</v>
      </c>
      <c r="E269" s="16" t="s">
        <v>785</v>
      </c>
      <c r="F269" s="25" t="str">
        <f t="shared" si="4"/>
        <v/>
      </c>
      <c r="G269" s="16"/>
      <c r="H269" s="15"/>
    </row>
    <row r="270" spans="1:8" ht="24.95" customHeight="1" x14ac:dyDescent="0.2">
      <c r="A270" s="16"/>
      <c r="B270" s="16"/>
      <c r="C270" s="16" t="s">
        <v>863</v>
      </c>
      <c r="D270" s="16" t="s">
        <v>786</v>
      </c>
      <c r="E270" s="16" t="s">
        <v>786</v>
      </c>
      <c r="F270" s="25" t="str">
        <f t="shared" si="4"/>
        <v>Ambos</v>
      </c>
      <c r="G270" s="16"/>
      <c r="H270" s="15"/>
    </row>
    <row r="271" spans="1:8" ht="24.95" customHeight="1" x14ac:dyDescent="0.2">
      <c r="A271" s="16"/>
      <c r="B271" s="16"/>
      <c r="C271" s="16" t="s">
        <v>860</v>
      </c>
      <c r="D271" s="16" t="s">
        <v>785</v>
      </c>
      <c r="E271" s="16" t="s">
        <v>786</v>
      </c>
      <c r="F271" s="25" t="str">
        <f t="shared" si="4"/>
        <v>REP</v>
      </c>
      <c r="G271" s="16"/>
      <c r="H271" s="15"/>
    </row>
    <row r="272" spans="1:8" ht="24.95" customHeight="1" x14ac:dyDescent="0.2">
      <c r="A272" s="16"/>
      <c r="B272" s="16"/>
      <c r="C272" s="16" t="s">
        <v>860</v>
      </c>
      <c r="D272" s="16" t="s">
        <v>786</v>
      </c>
      <c r="E272" s="16" t="s">
        <v>786</v>
      </c>
      <c r="F272" s="25" t="str">
        <f t="shared" si="4"/>
        <v>Ambos</v>
      </c>
      <c r="G272" s="16"/>
      <c r="H272" s="15"/>
    </row>
    <row r="273" spans="1:8" ht="24.95" customHeight="1" x14ac:dyDescent="0.2">
      <c r="A273" s="16"/>
      <c r="B273" s="16"/>
      <c r="C273" s="16" t="s">
        <v>860</v>
      </c>
      <c r="D273" s="16" t="s">
        <v>786</v>
      </c>
      <c r="E273" s="16" t="s">
        <v>786</v>
      </c>
      <c r="F273" s="25" t="str">
        <f t="shared" si="4"/>
        <v>Ambos</v>
      </c>
      <c r="G273" s="16"/>
      <c r="H273" s="15"/>
    </row>
    <row r="274" spans="1:8" ht="24.95" customHeight="1" x14ac:dyDescent="0.2">
      <c r="A274" s="16"/>
      <c r="B274" s="16"/>
      <c r="C274" s="16" t="s">
        <v>860</v>
      </c>
      <c r="D274" s="16" t="s">
        <v>785</v>
      </c>
      <c r="E274" s="16" t="s">
        <v>786</v>
      </c>
      <c r="F274" s="25" t="str">
        <f t="shared" si="4"/>
        <v>REP</v>
      </c>
      <c r="G274" s="16"/>
      <c r="H274" s="15"/>
    </row>
    <row r="275" spans="1:8" ht="24.95" customHeight="1" x14ac:dyDescent="0.2">
      <c r="A275" s="16"/>
      <c r="B275" s="16"/>
      <c r="C275" s="16" t="s">
        <v>860</v>
      </c>
      <c r="D275" s="16" t="s">
        <v>786</v>
      </c>
      <c r="E275" s="16" t="s">
        <v>786</v>
      </c>
      <c r="F275" s="25" t="str">
        <f t="shared" si="4"/>
        <v>Ambos</v>
      </c>
      <c r="G275" s="16"/>
      <c r="H275" s="15"/>
    </row>
    <row r="276" spans="1:8" ht="24.95" customHeight="1" x14ac:dyDescent="0.2">
      <c r="A276" s="16"/>
      <c r="B276" s="16"/>
      <c r="C276" s="16" t="s">
        <v>859</v>
      </c>
      <c r="D276" s="16" t="s">
        <v>785</v>
      </c>
      <c r="E276" s="16" t="s">
        <v>786</v>
      </c>
      <c r="F276" s="25" t="str">
        <f t="shared" si="4"/>
        <v>REP</v>
      </c>
      <c r="G276" s="16"/>
      <c r="H276" s="15"/>
    </row>
    <row r="277" spans="1:8" ht="24.95" customHeight="1" x14ac:dyDescent="0.2">
      <c r="A277" s="16"/>
      <c r="B277" s="16"/>
      <c r="C277" s="16" t="s">
        <v>860</v>
      </c>
      <c r="D277" s="16" t="s">
        <v>785</v>
      </c>
      <c r="E277" s="16" t="s">
        <v>785</v>
      </c>
      <c r="F277" s="25" t="str">
        <f t="shared" si="4"/>
        <v/>
      </c>
      <c r="G277" s="16"/>
      <c r="H277" s="15"/>
    </row>
    <row r="278" spans="1:8" ht="24.95" customHeight="1" x14ac:dyDescent="0.2">
      <c r="A278" s="16"/>
      <c r="B278" s="16"/>
      <c r="C278" s="16" t="s">
        <v>862</v>
      </c>
      <c r="D278" s="16" t="s">
        <v>785</v>
      </c>
      <c r="E278" s="16" t="s">
        <v>785</v>
      </c>
      <c r="F278" s="25" t="str">
        <f t="shared" si="4"/>
        <v/>
      </c>
      <c r="G278" s="16"/>
      <c r="H278" s="15"/>
    </row>
    <row r="279" spans="1:8" ht="24.95" customHeight="1" x14ac:dyDescent="0.2">
      <c r="A279" s="16"/>
      <c r="B279" s="16"/>
      <c r="C279" s="16" t="s">
        <v>859</v>
      </c>
      <c r="D279" s="16" t="s">
        <v>785</v>
      </c>
      <c r="E279" s="16" t="s">
        <v>786</v>
      </c>
      <c r="F279" s="25" t="str">
        <f t="shared" si="4"/>
        <v>REP</v>
      </c>
      <c r="G279" s="16"/>
      <c r="H279" s="15"/>
    </row>
    <row r="280" spans="1:8" ht="24.95" customHeight="1" x14ac:dyDescent="0.2">
      <c r="A280" s="16"/>
      <c r="B280" s="16"/>
      <c r="C280" s="16" t="s">
        <v>860</v>
      </c>
      <c r="D280" s="16" t="s">
        <v>786</v>
      </c>
      <c r="E280" s="16" t="s">
        <v>786</v>
      </c>
      <c r="F280" s="25" t="str">
        <f t="shared" si="4"/>
        <v>Ambos</v>
      </c>
      <c r="G280" s="16"/>
      <c r="H280" s="15"/>
    </row>
    <row r="281" spans="1:8" ht="24.95" customHeight="1" x14ac:dyDescent="0.2">
      <c r="A281" s="16"/>
      <c r="B281" s="16"/>
      <c r="C281" s="16" t="s">
        <v>860</v>
      </c>
      <c r="D281" s="16" t="s">
        <v>785</v>
      </c>
      <c r="E281" s="16" t="s">
        <v>785</v>
      </c>
      <c r="F281" s="25" t="str">
        <f t="shared" si="4"/>
        <v/>
      </c>
      <c r="G281" s="16"/>
      <c r="H281" s="15"/>
    </row>
    <row r="282" spans="1:8" ht="24.95" customHeight="1" x14ac:dyDescent="0.2">
      <c r="A282" s="16"/>
      <c r="B282" s="16"/>
      <c r="C282" s="16" t="s">
        <v>860</v>
      </c>
      <c r="D282" s="16" t="s">
        <v>786</v>
      </c>
      <c r="E282" s="16" t="s">
        <v>786</v>
      </c>
      <c r="F282" s="25" t="str">
        <f t="shared" si="4"/>
        <v>Ambos</v>
      </c>
      <c r="G282" s="16"/>
      <c r="H282" s="15"/>
    </row>
    <row r="283" spans="1:8" ht="24.95" customHeight="1" x14ac:dyDescent="0.2">
      <c r="A283" s="16"/>
      <c r="B283" s="16"/>
      <c r="C283" s="16" t="s">
        <v>861</v>
      </c>
      <c r="D283" s="16" t="s">
        <v>785</v>
      </c>
      <c r="E283" s="16" t="s">
        <v>785</v>
      </c>
      <c r="F283" s="25" t="str">
        <f t="shared" si="4"/>
        <v/>
      </c>
      <c r="G283" s="16"/>
      <c r="H283" s="15"/>
    </row>
    <row r="284" spans="1:8" ht="24.95" customHeight="1" x14ac:dyDescent="0.2">
      <c r="A284" s="16"/>
      <c r="B284" s="16"/>
      <c r="C284" s="16" t="s">
        <v>860</v>
      </c>
      <c r="D284" s="16" t="s">
        <v>786</v>
      </c>
      <c r="E284" s="16" t="s">
        <v>785</v>
      </c>
      <c r="F284" s="25" t="str">
        <f t="shared" si="4"/>
        <v>Técnico</v>
      </c>
      <c r="G284" s="16"/>
      <c r="H284" s="15"/>
    </row>
    <row r="285" spans="1:8" ht="24.95" customHeight="1" x14ac:dyDescent="0.2">
      <c r="A285" s="16"/>
      <c r="B285" s="16"/>
      <c r="C285" s="16" t="s">
        <v>860</v>
      </c>
      <c r="D285" s="16" t="s">
        <v>786</v>
      </c>
      <c r="E285" s="16" t="s">
        <v>785</v>
      </c>
      <c r="F285" s="25" t="str">
        <f t="shared" si="4"/>
        <v>Técnico</v>
      </c>
      <c r="G285" s="16"/>
      <c r="H285" s="15"/>
    </row>
    <row r="286" spans="1:8" ht="24.95" customHeight="1" x14ac:dyDescent="0.2">
      <c r="A286" s="16"/>
      <c r="B286" s="16"/>
      <c r="C286" s="16" t="s">
        <v>860</v>
      </c>
      <c r="D286" s="16" t="s">
        <v>786</v>
      </c>
      <c r="E286" s="16" t="s">
        <v>785</v>
      </c>
      <c r="F286" s="25" t="str">
        <f t="shared" si="4"/>
        <v>Técnico</v>
      </c>
      <c r="G286" s="16"/>
      <c r="H286" s="15"/>
    </row>
    <row r="287" spans="1:8" ht="24.95" customHeight="1" x14ac:dyDescent="0.2">
      <c r="A287" s="16"/>
      <c r="B287" s="16"/>
      <c r="C287" s="16" t="s">
        <v>862</v>
      </c>
      <c r="D287" s="16" t="s">
        <v>785</v>
      </c>
      <c r="E287" s="16" t="s">
        <v>785</v>
      </c>
      <c r="F287" s="25" t="str">
        <f t="shared" si="4"/>
        <v/>
      </c>
      <c r="G287" s="16"/>
      <c r="H287" s="15"/>
    </row>
    <row r="288" spans="1:8" ht="24.95" customHeight="1" x14ac:dyDescent="0.2">
      <c r="A288" s="16"/>
      <c r="B288" s="16"/>
      <c r="C288" s="16" t="s">
        <v>862</v>
      </c>
      <c r="D288" s="16" t="s">
        <v>785</v>
      </c>
      <c r="E288" s="16" t="s">
        <v>785</v>
      </c>
      <c r="F288" s="25" t="str">
        <f t="shared" si="4"/>
        <v/>
      </c>
      <c r="G288" s="16"/>
      <c r="H288" s="15"/>
    </row>
    <row r="289" spans="1:8" ht="24.95" customHeight="1" x14ac:dyDescent="0.2">
      <c r="A289" s="16"/>
      <c r="B289" s="16"/>
      <c r="C289" s="16" t="s">
        <v>859</v>
      </c>
      <c r="D289" s="16" t="s">
        <v>786</v>
      </c>
      <c r="E289" s="16" t="s">
        <v>785</v>
      </c>
      <c r="F289" s="25" t="str">
        <f t="shared" si="4"/>
        <v>Técnico</v>
      </c>
      <c r="G289" s="16"/>
      <c r="H289" s="15"/>
    </row>
    <row r="290" spans="1:8" ht="24.95" customHeight="1" x14ac:dyDescent="0.2">
      <c r="A290" s="16"/>
      <c r="B290" s="16"/>
      <c r="C290" s="16" t="s">
        <v>859</v>
      </c>
      <c r="D290" s="16" t="s">
        <v>786</v>
      </c>
      <c r="E290" s="16" t="s">
        <v>785</v>
      </c>
      <c r="F290" s="25" t="str">
        <f t="shared" si="4"/>
        <v>Técnico</v>
      </c>
      <c r="G290" s="16"/>
      <c r="H290" s="15"/>
    </row>
    <row r="291" spans="1:8" ht="24.95" customHeight="1" x14ac:dyDescent="0.2">
      <c r="A291" s="16"/>
      <c r="B291" s="16"/>
      <c r="C291" s="16" t="s">
        <v>859</v>
      </c>
      <c r="D291" s="16" t="s">
        <v>786</v>
      </c>
      <c r="E291" s="16" t="s">
        <v>785</v>
      </c>
      <c r="F291" s="25" t="str">
        <f t="shared" si="4"/>
        <v>Técnico</v>
      </c>
      <c r="G291" s="16"/>
      <c r="H291" s="15"/>
    </row>
    <row r="292" spans="1:8" ht="24.95" customHeight="1" x14ac:dyDescent="0.2">
      <c r="A292" s="16"/>
      <c r="B292" s="16"/>
      <c r="C292" s="16" t="s">
        <v>859</v>
      </c>
      <c r="D292" s="16" t="s">
        <v>786</v>
      </c>
      <c r="E292" s="16" t="s">
        <v>785</v>
      </c>
      <c r="F292" s="25" t="str">
        <f t="shared" si="4"/>
        <v>Técnico</v>
      </c>
      <c r="G292" s="16"/>
      <c r="H292" s="15"/>
    </row>
    <row r="293" spans="1:8" ht="24.95" customHeight="1" x14ac:dyDescent="0.2">
      <c r="A293" s="16"/>
      <c r="B293" s="16"/>
      <c r="C293" s="16" t="s">
        <v>859</v>
      </c>
      <c r="D293" s="16" t="s">
        <v>786</v>
      </c>
      <c r="E293" s="16" t="s">
        <v>785</v>
      </c>
      <c r="F293" s="25" t="str">
        <f t="shared" si="4"/>
        <v>Técnico</v>
      </c>
      <c r="G293" s="16"/>
      <c r="H293" s="15"/>
    </row>
    <row r="294" spans="1:8" ht="24.95" customHeight="1" x14ac:dyDescent="0.2">
      <c r="A294" s="16"/>
      <c r="B294" s="16"/>
      <c r="C294" s="16" t="s">
        <v>859</v>
      </c>
      <c r="D294" s="16" t="s">
        <v>786</v>
      </c>
      <c r="E294" s="16" t="s">
        <v>785</v>
      </c>
      <c r="F294" s="25" t="str">
        <f t="shared" si="4"/>
        <v>Técnico</v>
      </c>
      <c r="G294" s="16"/>
      <c r="H294" s="15"/>
    </row>
    <row r="295" spans="1:8" ht="24.95" customHeight="1" x14ac:dyDescent="0.2">
      <c r="A295" s="16"/>
      <c r="B295" s="16"/>
      <c r="C295" s="16" t="s">
        <v>859</v>
      </c>
      <c r="D295" s="16" t="s">
        <v>786</v>
      </c>
      <c r="E295" s="16" t="s">
        <v>785</v>
      </c>
      <c r="F295" s="25" t="str">
        <f t="shared" si="4"/>
        <v>Técnico</v>
      </c>
      <c r="G295" s="16"/>
      <c r="H295" s="15"/>
    </row>
    <row r="296" spans="1:8" ht="24.95" customHeight="1" x14ac:dyDescent="0.2">
      <c r="A296" s="16"/>
      <c r="B296" s="16"/>
      <c r="C296" s="16" t="s">
        <v>859</v>
      </c>
      <c r="D296" s="16" t="s">
        <v>786</v>
      </c>
      <c r="E296" s="16" t="s">
        <v>785</v>
      </c>
      <c r="F296" s="25" t="str">
        <f t="shared" si="4"/>
        <v>Técnico</v>
      </c>
      <c r="G296" s="16"/>
      <c r="H296" s="15"/>
    </row>
    <row r="297" spans="1:8" ht="24.95" customHeight="1" x14ac:dyDescent="0.2">
      <c r="A297" s="16"/>
      <c r="B297" s="16"/>
      <c r="C297" s="16" t="s">
        <v>860</v>
      </c>
      <c r="D297" s="16" t="s">
        <v>785</v>
      </c>
      <c r="E297" s="16" t="s">
        <v>786</v>
      </c>
      <c r="F297" s="25" t="str">
        <f t="shared" si="4"/>
        <v>REP</v>
      </c>
      <c r="G297" s="16"/>
      <c r="H297" s="15"/>
    </row>
    <row r="298" spans="1:8" ht="24.95" customHeight="1" x14ac:dyDescent="0.2">
      <c r="A298" s="16"/>
      <c r="B298" s="16"/>
      <c r="C298" s="16" t="s">
        <v>860</v>
      </c>
      <c r="D298" s="16" t="s">
        <v>786</v>
      </c>
      <c r="E298" s="16" t="s">
        <v>786</v>
      </c>
      <c r="F298" s="25" t="str">
        <f t="shared" si="4"/>
        <v>Ambos</v>
      </c>
      <c r="G298" s="16"/>
      <c r="H298" s="15"/>
    </row>
    <row r="299" spans="1:8" ht="24.95" customHeight="1" x14ac:dyDescent="0.2">
      <c r="A299" s="16"/>
      <c r="B299" s="16"/>
      <c r="C299" s="16" t="s">
        <v>860</v>
      </c>
      <c r="D299" s="16" t="s">
        <v>785</v>
      </c>
      <c r="E299" s="16" t="s">
        <v>786</v>
      </c>
      <c r="F299" s="25" t="str">
        <f t="shared" si="4"/>
        <v>REP</v>
      </c>
      <c r="G299" s="16"/>
      <c r="H299" s="15"/>
    </row>
    <row r="300" spans="1:8" ht="24.95" customHeight="1" x14ac:dyDescent="0.2">
      <c r="A300" s="16"/>
      <c r="B300" s="16"/>
      <c r="C300" s="16" t="s">
        <v>860</v>
      </c>
      <c r="D300" s="16" t="s">
        <v>785</v>
      </c>
      <c r="E300" s="16" t="s">
        <v>785</v>
      </c>
      <c r="F300" s="25" t="str">
        <f t="shared" si="4"/>
        <v/>
      </c>
      <c r="G300" s="16"/>
      <c r="H300" s="15"/>
    </row>
    <row r="301" spans="1:8" ht="24.95" customHeight="1" x14ac:dyDescent="0.2">
      <c r="A301" s="16"/>
      <c r="B301" s="16"/>
      <c r="C301" s="16" t="s">
        <v>858</v>
      </c>
      <c r="D301" s="16" t="s">
        <v>785</v>
      </c>
      <c r="E301" s="16" t="s">
        <v>785</v>
      </c>
      <c r="F301" s="25" t="str">
        <f t="shared" si="4"/>
        <v/>
      </c>
      <c r="G301" s="16"/>
      <c r="H301" s="15"/>
    </row>
    <row r="302" spans="1:8" ht="24.95" customHeight="1" x14ac:dyDescent="0.2">
      <c r="A302" s="16"/>
      <c r="B302" s="16"/>
      <c r="C302" s="16" t="s">
        <v>858</v>
      </c>
      <c r="D302" s="16" t="s">
        <v>785</v>
      </c>
      <c r="E302" s="16" t="s">
        <v>785</v>
      </c>
      <c r="F302" s="25" t="str">
        <f t="shared" si="4"/>
        <v/>
      </c>
      <c r="G302" s="16"/>
      <c r="H302" s="15"/>
    </row>
    <row r="303" spans="1:8" ht="24.95" customHeight="1" x14ac:dyDescent="0.2">
      <c r="A303" s="16"/>
      <c r="B303" s="16"/>
      <c r="C303" s="16" t="s">
        <v>860</v>
      </c>
      <c r="D303" s="16" t="s">
        <v>785</v>
      </c>
      <c r="E303" s="16" t="s">
        <v>785</v>
      </c>
      <c r="F303" s="25" t="str">
        <f t="shared" si="4"/>
        <v/>
      </c>
      <c r="G303" s="16"/>
      <c r="H303" s="15"/>
    </row>
    <row r="304" spans="1:8" ht="24.95" customHeight="1" x14ac:dyDescent="0.2">
      <c r="A304" s="16"/>
      <c r="B304" s="16"/>
      <c r="C304" s="16" t="s">
        <v>860</v>
      </c>
      <c r="D304" s="16" t="s">
        <v>785</v>
      </c>
      <c r="E304" s="16" t="s">
        <v>785</v>
      </c>
      <c r="F304" s="25" t="str">
        <f t="shared" si="4"/>
        <v/>
      </c>
      <c r="G304" s="16"/>
      <c r="H304" s="15"/>
    </row>
    <row r="305" spans="1:8" ht="24.95" customHeight="1" x14ac:dyDescent="0.2">
      <c r="A305" s="16"/>
      <c r="B305" s="16"/>
      <c r="C305" s="16" t="s">
        <v>858</v>
      </c>
      <c r="D305" s="16" t="s">
        <v>785</v>
      </c>
      <c r="E305" s="16" t="s">
        <v>785</v>
      </c>
      <c r="F305" s="25" t="str">
        <f t="shared" si="4"/>
        <v/>
      </c>
      <c r="G305" s="16"/>
      <c r="H305" s="15"/>
    </row>
    <row r="306" spans="1:8" ht="24.95" customHeight="1" x14ac:dyDescent="0.2">
      <c r="A306" s="16"/>
      <c r="B306" s="16"/>
      <c r="C306" s="16" t="s">
        <v>859</v>
      </c>
      <c r="D306" s="16" t="s">
        <v>786</v>
      </c>
      <c r="E306" s="16" t="s">
        <v>785</v>
      </c>
      <c r="F306" s="25" t="str">
        <f t="shared" si="4"/>
        <v>Técnico</v>
      </c>
      <c r="G306" s="16"/>
      <c r="H306" s="15"/>
    </row>
    <row r="307" spans="1:8" ht="24.95" customHeight="1" x14ac:dyDescent="0.2">
      <c r="A307" s="16"/>
      <c r="B307" s="16"/>
      <c r="C307" s="16" t="s">
        <v>859</v>
      </c>
      <c r="D307" s="16" t="s">
        <v>786</v>
      </c>
      <c r="E307" s="16" t="s">
        <v>785</v>
      </c>
      <c r="F307" s="25" t="str">
        <f t="shared" si="4"/>
        <v>Técnico</v>
      </c>
      <c r="G307" s="16"/>
      <c r="H307" s="15"/>
    </row>
    <row r="308" spans="1:8" ht="24.95" customHeight="1" x14ac:dyDescent="0.2">
      <c r="A308" s="16"/>
      <c r="B308" s="16"/>
      <c r="C308" s="16" t="s">
        <v>862</v>
      </c>
      <c r="D308" s="16" t="s">
        <v>785</v>
      </c>
      <c r="E308" s="16" t="s">
        <v>786</v>
      </c>
      <c r="F308" s="25" t="str">
        <f t="shared" si="4"/>
        <v>REP</v>
      </c>
      <c r="G308" s="16"/>
      <c r="H308" s="15"/>
    </row>
    <row r="309" spans="1:8" ht="24.95" customHeight="1" x14ac:dyDescent="0.2">
      <c r="A309" s="16"/>
      <c r="B309" s="16"/>
      <c r="C309" s="16" t="s">
        <v>859</v>
      </c>
      <c r="D309" s="16" t="s">
        <v>786</v>
      </c>
      <c r="E309" s="16" t="s">
        <v>786</v>
      </c>
      <c r="F309" s="25" t="str">
        <f t="shared" si="4"/>
        <v>Ambos</v>
      </c>
      <c r="G309" s="16"/>
      <c r="H309" s="15"/>
    </row>
    <row r="310" spans="1:8" ht="24.95" customHeight="1" x14ac:dyDescent="0.2">
      <c r="A310" s="16"/>
      <c r="B310" s="16"/>
      <c r="C310" s="16" t="s">
        <v>860</v>
      </c>
      <c r="D310" s="16" t="s">
        <v>785</v>
      </c>
      <c r="E310" s="16" t="s">
        <v>785</v>
      </c>
      <c r="F310" s="25" t="str">
        <f t="shared" si="4"/>
        <v/>
      </c>
      <c r="G310" s="16"/>
      <c r="H310" s="15"/>
    </row>
    <row r="311" spans="1:8" ht="24.95" customHeight="1" x14ac:dyDescent="0.2">
      <c r="A311" s="16"/>
      <c r="B311" s="16"/>
      <c r="C311" s="16" t="s">
        <v>858</v>
      </c>
      <c r="D311" s="16" t="s">
        <v>785</v>
      </c>
      <c r="E311" s="16" t="s">
        <v>785</v>
      </c>
      <c r="F311" s="25" t="str">
        <f t="shared" si="4"/>
        <v/>
      </c>
      <c r="G311" s="16"/>
      <c r="H311" s="15"/>
    </row>
    <row r="312" spans="1:8" ht="24.95" customHeight="1" x14ac:dyDescent="0.2">
      <c r="A312" s="16"/>
      <c r="B312" s="16"/>
      <c r="C312" s="16" t="s">
        <v>858</v>
      </c>
      <c r="D312" s="16" t="s">
        <v>785</v>
      </c>
      <c r="E312" s="16" t="s">
        <v>785</v>
      </c>
      <c r="F312" s="25" t="str">
        <f t="shared" si="4"/>
        <v/>
      </c>
      <c r="G312" s="16"/>
      <c r="H312" s="15"/>
    </row>
    <row r="313" spans="1:8" ht="24.95" customHeight="1" x14ac:dyDescent="0.2">
      <c r="A313" s="16"/>
      <c r="B313" s="16"/>
      <c r="C313" s="16" t="s">
        <v>858</v>
      </c>
      <c r="D313" s="16" t="s">
        <v>785</v>
      </c>
      <c r="E313" s="16" t="s">
        <v>785</v>
      </c>
      <c r="F313" s="25" t="str">
        <f t="shared" si="4"/>
        <v/>
      </c>
      <c r="G313" s="16"/>
      <c r="H313" s="15"/>
    </row>
    <row r="314" spans="1:8" ht="24.95" customHeight="1" x14ac:dyDescent="0.2">
      <c r="A314" s="16"/>
      <c r="B314" s="16"/>
      <c r="C314" s="16" t="s">
        <v>858</v>
      </c>
      <c r="D314" s="16" t="s">
        <v>785</v>
      </c>
      <c r="E314" s="16" t="s">
        <v>785</v>
      </c>
      <c r="F314" s="25" t="str">
        <f t="shared" si="4"/>
        <v/>
      </c>
      <c r="G314" s="16"/>
      <c r="H314" s="15"/>
    </row>
    <row r="315" spans="1:8" ht="24.95" customHeight="1" x14ac:dyDescent="0.2">
      <c r="A315" s="16"/>
      <c r="B315" s="16"/>
      <c r="C315" s="16" t="s">
        <v>858</v>
      </c>
      <c r="D315" s="16" t="s">
        <v>785</v>
      </c>
      <c r="E315" s="16" t="s">
        <v>785</v>
      </c>
      <c r="F315" s="25" t="str">
        <f t="shared" si="4"/>
        <v/>
      </c>
      <c r="G315" s="16"/>
      <c r="H315" s="15"/>
    </row>
    <row r="316" spans="1:8" ht="24.95" customHeight="1" x14ac:dyDescent="0.2">
      <c r="A316" s="16"/>
      <c r="B316" s="16"/>
      <c r="C316" s="16" t="s">
        <v>858</v>
      </c>
      <c r="D316" s="16" t="s">
        <v>785</v>
      </c>
      <c r="E316" s="16" t="s">
        <v>785</v>
      </c>
      <c r="F316" s="25" t="str">
        <f t="shared" si="4"/>
        <v/>
      </c>
      <c r="G316" s="16"/>
      <c r="H316" s="15"/>
    </row>
    <row r="317" spans="1:8" ht="24.95" customHeight="1" x14ac:dyDescent="0.2">
      <c r="A317" s="16"/>
      <c r="B317" s="16"/>
      <c r="C317" s="16" t="s">
        <v>860</v>
      </c>
      <c r="D317" s="16" t="s">
        <v>786</v>
      </c>
      <c r="E317" s="16" t="s">
        <v>785</v>
      </c>
      <c r="F317" s="25" t="str">
        <f t="shared" si="4"/>
        <v>Técnico</v>
      </c>
      <c r="G317" s="16"/>
      <c r="H317" s="15"/>
    </row>
    <row r="318" spans="1:8" ht="24.95" customHeight="1" x14ac:dyDescent="0.2">
      <c r="A318" s="16"/>
      <c r="B318" s="16"/>
      <c r="C318" s="16" t="s">
        <v>858</v>
      </c>
      <c r="D318" s="16" t="s">
        <v>785</v>
      </c>
      <c r="E318" s="16" t="s">
        <v>785</v>
      </c>
      <c r="F318" s="25" t="str">
        <f t="shared" si="4"/>
        <v/>
      </c>
      <c r="G318" s="16"/>
      <c r="H318" s="15"/>
    </row>
    <row r="319" spans="1:8" ht="24.95" customHeight="1" x14ac:dyDescent="0.2">
      <c r="A319" s="16"/>
      <c r="B319" s="16"/>
      <c r="C319" s="16" t="s">
        <v>860</v>
      </c>
      <c r="D319" s="16" t="s">
        <v>786</v>
      </c>
      <c r="E319" s="16" t="s">
        <v>785</v>
      </c>
      <c r="F319" s="25" t="str">
        <f t="shared" si="4"/>
        <v>Técnico</v>
      </c>
      <c r="G319" s="16"/>
      <c r="H319" s="15"/>
    </row>
    <row r="320" spans="1:8" ht="24.95" customHeight="1" x14ac:dyDescent="0.2">
      <c r="A320" s="16"/>
      <c r="B320" s="16"/>
      <c r="C320" s="16" t="s">
        <v>860</v>
      </c>
      <c r="D320" s="16" t="s">
        <v>786</v>
      </c>
      <c r="E320" s="16" t="s">
        <v>785</v>
      </c>
      <c r="F320" s="25" t="str">
        <f t="shared" si="4"/>
        <v>Técnico</v>
      </c>
      <c r="G320" s="16"/>
      <c r="H320" s="15"/>
    </row>
    <row r="321" spans="1:8" ht="24.95" customHeight="1" x14ac:dyDescent="0.2">
      <c r="A321" s="16"/>
      <c r="B321" s="16"/>
      <c r="C321" s="16" t="s">
        <v>860</v>
      </c>
      <c r="D321" s="16" t="s">
        <v>786</v>
      </c>
      <c r="E321" s="16" t="s">
        <v>785</v>
      </c>
      <c r="F321" s="25" t="str">
        <f t="shared" si="4"/>
        <v>Técnico</v>
      </c>
      <c r="G321" s="16"/>
      <c r="H321" s="15"/>
    </row>
    <row r="322" spans="1:8" ht="24.95" customHeight="1" x14ac:dyDescent="0.2">
      <c r="A322" s="16"/>
      <c r="B322" s="16"/>
      <c r="C322" s="16" t="s">
        <v>860</v>
      </c>
      <c r="D322" s="16" t="s">
        <v>786</v>
      </c>
      <c r="E322" s="16" t="s">
        <v>785</v>
      </c>
      <c r="F322" s="25" t="str">
        <f t="shared" si="4"/>
        <v>Técnico</v>
      </c>
      <c r="G322" s="16"/>
      <c r="H322" s="15"/>
    </row>
    <row r="323" spans="1:8" ht="24.95" customHeight="1" x14ac:dyDescent="0.2">
      <c r="A323" s="16"/>
      <c r="B323" s="16"/>
      <c r="C323" s="16" t="s">
        <v>860</v>
      </c>
      <c r="D323" s="16" t="s">
        <v>786</v>
      </c>
      <c r="E323" s="16" t="s">
        <v>785</v>
      </c>
      <c r="F323" s="25" t="str">
        <f t="shared" si="4"/>
        <v>Técnico</v>
      </c>
      <c r="G323" s="16"/>
      <c r="H323" s="15"/>
    </row>
    <row r="324" spans="1:8" ht="24.95" customHeight="1" x14ac:dyDescent="0.2">
      <c r="A324" s="16"/>
      <c r="B324" s="16"/>
      <c r="C324" s="16" t="s">
        <v>860</v>
      </c>
      <c r="D324" s="16" t="s">
        <v>786</v>
      </c>
      <c r="E324" s="16" t="s">
        <v>785</v>
      </c>
      <c r="F324" s="25" t="str">
        <f t="shared" ref="F324:F387" si="5">IFERROR(IF(AND(D324="Não",E324="Sim"),"REP",
IF(AND(D324="Sim",E324="Não"),"Técnico",
IF(AND(D324="Sim",E324="Sim"),"Ambos",""))),"")</f>
        <v>Técnico</v>
      </c>
      <c r="G324" s="16"/>
      <c r="H324" s="15"/>
    </row>
    <row r="325" spans="1:8" ht="24.95" customHeight="1" x14ac:dyDescent="0.2">
      <c r="A325" s="16"/>
      <c r="B325" s="16"/>
      <c r="C325" s="16" t="s">
        <v>860</v>
      </c>
      <c r="D325" s="16" t="s">
        <v>786</v>
      </c>
      <c r="E325" s="16" t="s">
        <v>785</v>
      </c>
      <c r="F325" s="25" t="str">
        <f t="shared" si="5"/>
        <v>Técnico</v>
      </c>
      <c r="G325" s="16"/>
      <c r="H325" s="15"/>
    </row>
    <row r="326" spans="1:8" ht="24.95" customHeight="1" x14ac:dyDescent="0.2">
      <c r="A326" s="16"/>
      <c r="B326" s="16"/>
      <c r="C326" s="16" t="s">
        <v>860</v>
      </c>
      <c r="D326" s="16" t="s">
        <v>785</v>
      </c>
      <c r="E326" s="16" t="s">
        <v>785</v>
      </c>
      <c r="F326" s="25" t="str">
        <f t="shared" si="5"/>
        <v/>
      </c>
      <c r="G326" s="16"/>
      <c r="H326" s="15"/>
    </row>
    <row r="327" spans="1:8" ht="24.95" customHeight="1" x14ac:dyDescent="0.2">
      <c r="A327" s="16"/>
      <c r="B327" s="16"/>
      <c r="C327" s="16" t="s">
        <v>860</v>
      </c>
      <c r="D327" s="16" t="s">
        <v>785</v>
      </c>
      <c r="E327" s="16" t="s">
        <v>785</v>
      </c>
      <c r="F327" s="25" t="str">
        <f t="shared" si="5"/>
        <v/>
      </c>
      <c r="G327" s="16"/>
      <c r="H327" s="15"/>
    </row>
    <row r="328" spans="1:8" ht="24.95" customHeight="1" x14ac:dyDescent="0.2">
      <c r="A328" s="16"/>
      <c r="B328" s="16"/>
      <c r="C328" s="16" t="s">
        <v>860</v>
      </c>
      <c r="D328" s="16" t="s">
        <v>785</v>
      </c>
      <c r="E328" s="16" t="s">
        <v>785</v>
      </c>
      <c r="F328" s="25" t="str">
        <f t="shared" si="5"/>
        <v/>
      </c>
      <c r="G328" s="16"/>
      <c r="H328" s="15"/>
    </row>
    <row r="329" spans="1:8" ht="24.95" customHeight="1" x14ac:dyDescent="0.2">
      <c r="A329" s="16"/>
      <c r="B329" s="16"/>
      <c r="C329" s="16" t="s">
        <v>860</v>
      </c>
      <c r="D329" s="16" t="s">
        <v>785</v>
      </c>
      <c r="E329" s="16" t="s">
        <v>785</v>
      </c>
      <c r="F329" s="25" t="str">
        <f t="shared" si="5"/>
        <v/>
      </c>
      <c r="G329" s="16"/>
      <c r="H329" s="15"/>
    </row>
    <row r="330" spans="1:8" ht="24.95" customHeight="1" x14ac:dyDescent="0.2">
      <c r="A330" s="16"/>
      <c r="B330" s="16"/>
      <c r="C330" s="16" t="s">
        <v>860</v>
      </c>
      <c r="D330" s="16" t="s">
        <v>785</v>
      </c>
      <c r="E330" s="16" t="s">
        <v>785</v>
      </c>
      <c r="F330" s="25" t="str">
        <f t="shared" si="5"/>
        <v/>
      </c>
      <c r="G330" s="16"/>
      <c r="H330" s="15"/>
    </row>
    <row r="331" spans="1:8" ht="24.95" customHeight="1" x14ac:dyDescent="0.2">
      <c r="A331" s="16"/>
      <c r="B331" s="16"/>
      <c r="C331" s="16" t="s">
        <v>860</v>
      </c>
      <c r="D331" s="16" t="s">
        <v>785</v>
      </c>
      <c r="E331" s="16" t="s">
        <v>785</v>
      </c>
      <c r="F331" s="25" t="str">
        <f t="shared" si="5"/>
        <v/>
      </c>
      <c r="G331" s="16"/>
      <c r="H331" s="15"/>
    </row>
    <row r="332" spans="1:8" ht="24.95" customHeight="1" x14ac:dyDescent="0.2">
      <c r="A332" s="16"/>
      <c r="B332" s="16"/>
      <c r="C332" s="16" t="s">
        <v>860</v>
      </c>
      <c r="D332" s="16" t="s">
        <v>785</v>
      </c>
      <c r="E332" s="16" t="s">
        <v>785</v>
      </c>
      <c r="F332" s="25" t="str">
        <f t="shared" si="5"/>
        <v/>
      </c>
      <c r="G332" s="16"/>
      <c r="H332" s="15"/>
    </row>
    <row r="333" spans="1:8" ht="24.95" customHeight="1" x14ac:dyDescent="0.2">
      <c r="A333" s="16"/>
      <c r="B333" s="16"/>
      <c r="C333" s="16" t="s">
        <v>859</v>
      </c>
      <c r="D333" s="16" t="s">
        <v>785</v>
      </c>
      <c r="E333" s="16" t="s">
        <v>785</v>
      </c>
      <c r="F333" s="25" t="str">
        <f t="shared" si="5"/>
        <v/>
      </c>
      <c r="G333" s="16"/>
      <c r="H333" s="15"/>
    </row>
    <row r="334" spans="1:8" ht="24.95" customHeight="1" x14ac:dyDescent="0.2">
      <c r="A334" s="16"/>
      <c r="B334" s="16"/>
      <c r="C334" s="16" t="s">
        <v>859</v>
      </c>
      <c r="D334" s="16" t="s">
        <v>786</v>
      </c>
      <c r="E334" s="16" t="s">
        <v>785</v>
      </c>
      <c r="F334" s="25" t="str">
        <f t="shared" si="5"/>
        <v>Técnico</v>
      </c>
      <c r="G334" s="16"/>
      <c r="H334" s="15"/>
    </row>
    <row r="335" spans="1:8" ht="24.95" customHeight="1" x14ac:dyDescent="0.2">
      <c r="A335" s="16"/>
      <c r="B335" s="16"/>
      <c r="C335" s="16" t="s">
        <v>859</v>
      </c>
      <c r="D335" s="16" t="s">
        <v>785</v>
      </c>
      <c r="E335" s="16" t="s">
        <v>785</v>
      </c>
      <c r="F335" s="25" t="str">
        <f t="shared" si="5"/>
        <v/>
      </c>
      <c r="G335" s="16"/>
      <c r="H335" s="15"/>
    </row>
    <row r="336" spans="1:8" ht="24.95" customHeight="1" x14ac:dyDescent="0.2">
      <c r="A336" s="16"/>
      <c r="B336" s="16"/>
      <c r="C336" s="16" t="s">
        <v>860</v>
      </c>
      <c r="D336" s="16" t="s">
        <v>786</v>
      </c>
      <c r="E336" s="16" t="s">
        <v>785</v>
      </c>
      <c r="F336" s="25" t="str">
        <f t="shared" si="5"/>
        <v>Técnico</v>
      </c>
      <c r="G336" s="16"/>
      <c r="H336" s="15"/>
    </row>
    <row r="337" spans="1:8" ht="24.95" customHeight="1" x14ac:dyDescent="0.2">
      <c r="A337" s="16"/>
      <c r="B337" s="16"/>
      <c r="C337" s="16" t="s">
        <v>859</v>
      </c>
      <c r="D337" s="16" t="s">
        <v>785</v>
      </c>
      <c r="E337" s="16" t="s">
        <v>785</v>
      </c>
      <c r="F337" s="25" t="str">
        <f t="shared" si="5"/>
        <v/>
      </c>
      <c r="G337" s="16"/>
      <c r="H337" s="15"/>
    </row>
    <row r="338" spans="1:8" ht="24.95" customHeight="1" x14ac:dyDescent="0.2">
      <c r="A338" s="16"/>
      <c r="B338" s="16"/>
      <c r="C338" s="16" t="s">
        <v>860</v>
      </c>
      <c r="D338" s="16" t="s">
        <v>786</v>
      </c>
      <c r="E338" s="16" t="s">
        <v>786</v>
      </c>
      <c r="F338" s="25" t="str">
        <f t="shared" si="5"/>
        <v>Ambos</v>
      </c>
      <c r="G338" s="16"/>
      <c r="H338" s="15"/>
    </row>
    <row r="339" spans="1:8" ht="24.95" customHeight="1" x14ac:dyDescent="0.2">
      <c r="A339" s="16"/>
      <c r="B339" s="16"/>
      <c r="C339" s="16" t="s">
        <v>860</v>
      </c>
      <c r="D339" s="16" t="s">
        <v>786</v>
      </c>
      <c r="E339" s="16" t="s">
        <v>785</v>
      </c>
      <c r="F339" s="25" t="str">
        <f t="shared" si="5"/>
        <v>Técnico</v>
      </c>
      <c r="G339" s="16"/>
      <c r="H339" s="15"/>
    </row>
    <row r="340" spans="1:8" ht="24.95" customHeight="1" x14ac:dyDescent="0.2">
      <c r="A340" s="16"/>
      <c r="B340" s="16"/>
      <c r="C340" s="16" t="s">
        <v>860</v>
      </c>
      <c r="D340" s="16" t="s">
        <v>786</v>
      </c>
      <c r="E340" s="16" t="s">
        <v>785</v>
      </c>
      <c r="F340" s="25" t="str">
        <f t="shared" si="5"/>
        <v>Técnico</v>
      </c>
      <c r="G340" s="16"/>
      <c r="H340" s="15"/>
    </row>
    <row r="341" spans="1:8" ht="24.95" customHeight="1" x14ac:dyDescent="0.2">
      <c r="A341" s="16"/>
      <c r="B341" s="16"/>
      <c r="C341" s="16" t="s">
        <v>860</v>
      </c>
      <c r="D341" s="16" t="s">
        <v>786</v>
      </c>
      <c r="E341" s="16" t="s">
        <v>785</v>
      </c>
      <c r="F341" s="25" t="str">
        <f t="shared" si="5"/>
        <v>Técnico</v>
      </c>
      <c r="G341" s="16"/>
      <c r="H341" s="15"/>
    </row>
    <row r="342" spans="1:8" ht="24.95" customHeight="1" x14ac:dyDescent="0.2">
      <c r="A342" s="16"/>
      <c r="B342" s="16"/>
      <c r="C342" s="16" t="s">
        <v>860</v>
      </c>
      <c r="D342" s="16" t="s">
        <v>786</v>
      </c>
      <c r="E342" s="16" t="s">
        <v>785</v>
      </c>
      <c r="F342" s="25" t="str">
        <f t="shared" si="5"/>
        <v>Técnico</v>
      </c>
      <c r="G342" s="16"/>
      <c r="H342" s="15"/>
    </row>
    <row r="343" spans="1:8" ht="24.95" customHeight="1" x14ac:dyDescent="0.2">
      <c r="A343" s="16"/>
      <c r="B343" s="16"/>
      <c r="C343" s="16" t="s">
        <v>863</v>
      </c>
      <c r="D343" s="16" t="s">
        <v>785</v>
      </c>
      <c r="E343" s="16" t="s">
        <v>785</v>
      </c>
      <c r="F343" s="25" t="str">
        <f t="shared" si="5"/>
        <v/>
      </c>
      <c r="G343" s="16"/>
      <c r="H343" s="15"/>
    </row>
    <row r="344" spans="1:8" ht="24.95" customHeight="1" x14ac:dyDescent="0.2">
      <c r="A344" s="16"/>
      <c r="B344" s="16"/>
      <c r="C344" s="16" t="s">
        <v>859</v>
      </c>
      <c r="D344" s="16" t="s">
        <v>785</v>
      </c>
      <c r="E344" s="16" t="s">
        <v>785</v>
      </c>
      <c r="F344" s="25" t="str">
        <f t="shared" si="5"/>
        <v/>
      </c>
      <c r="G344" s="16"/>
      <c r="H344" s="15"/>
    </row>
    <row r="345" spans="1:8" ht="24.95" customHeight="1" x14ac:dyDescent="0.2">
      <c r="A345" s="16"/>
      <c r="B345" s="16"/>
      <c r="C345" s="16" t="s">
        <v>860</v>
      </c>
      <c r="D345" s="16" t="s">
        <v>785</v>
      </c>
      <c r="E345" s="16" t="s">
        <v>785</v>
      </c>
      <c r="F345" s="25" t="str">
        <f t="shared" si="5"/>
        <v/>
      </c>
      <c r="G345" s="16"/>
      <c r="H345" s="15"/>
    </row>
    <row r="346" spans="1:8" ht="24.95" customHeight="1" x14ac:dyDescent="0.2">
      <c r="A346" s="16"/>
      <c r="B346" s="16"/>
      <c r="C346" s="16"/>
      <c r="D346" s="16"/>
      <c r="E346" s="16"/>
      <c r="F346" s="25" t="str">
        <f t="shared" si="5"/>
        <v/>
      </c>
      <c r="G346" s="16"/>
      <c r="H346" s="15"/>
    </row>
    <row r="347" spans="1:8" ht="24.95" customHeight="1" x14ac:dyDescent="0.2">
      <c r="A347" s="16"/>
      <c r="B347" s="16"/>
      <c r="C347" s="16"/>
      <c r="D347" s="16"/>
      <c r="E347" s="16"/>
      <c r="F347" s="25" t="str">
        <f t="shared" si="5"/>
        <v/>
      </c>
      <c r="G347" s="16"/>
      <c r="H347" s="15"/>
    </row>
    <row r="348" spans="1:8" ht="24.95" customHeight="1" x14ac:dyDescent="0.2">
      <c r="A348" s="16"/>
      <c r="B348" s="16"/>
      <c r="C348" s="16"/>
      <c r="D348" s="16"/>
      <c r="E348" s="16"/>
      <c r="F348" s="25" t="str">
        <f t="shared" si="5"/>
        <v/>
      </c>
      <c r="G348" s="16"/>
      <c r="H348" s="15"/>
    </row>
    <row r="349" spans="1:8" ht="24.95" customHeight="1" x14ac:dyDescent="0.2">
      <c r="A349" s="16"/>
      <c r="B349" s="16"/>
      <c r="C349" s="16"/>
      <c r="D349" s="16"/>
      <c r="E349" s="16"/>
      <c r="F349" s="25" t="str">
        <f t="shared" si="5"/>
        <v/>
      </c>
      <c r="G349" s="16"/>
      <c r="H349" s="15"/>
    </row>
    <row r="350" spans="1:8" ht="24.95" customHeight="1" x14ac:dyDescent="0.2">
      <c r="A350" s="16"/>
      <c r="B350" s="16"/>
      <c r="C350" s="16"/>
      <c r="D350" s="16"/>
      <c r="E350" s="16"/>
      <c r="F350" s="25" t="str">
        <f t="shared" si="5"/>
        <v/>
      </c>
      <c r="G350" s="16"/>
      <c r="H350" s="15"/>
    </row>
    <row r="351" spans="1:8" ht="24.95" customHeight="1" x14ac:dyDescent="0.2">
      <c r="A351" s="16"/>
      <c r="B351" s="16"/>
      <c r="C351" s="16"/>
      <c r="D351" s="16"/>
      <c r="E351" s="16"/>
      <c r="F351" s="25" t="str">
        <f t="shared" si="5"/>
        <v/>
      </c>
      <c r="G351" s="16"/>
      <c r="H351" s="15"/>
    </row>
    <row r="352" spans="1:8" ht="24.95" customHeight="1" x14ac:dyDescent="0.2">
      <c r="A352" s="16"/>
      <c r="B352" s="16"/>
      <c r="C352" s="16"/>
      <c r="D352" s="16"/>
      <c r="E352" s="16"/>
      <c r="F352" s="25" t="str">
        <f t="shared" si="5"/>
        <v/>
      </c>
      <c r="G352" s="16"/>
      <c r="H352" s="15"/>
    </row>
    <row r="353" spans="1:8" ht="24.95" customHeight="1" x14ac:dyDescent="0.2">
      <c r="A353" s="16"/>
      <c r="B353" s="16"/>
      <c r="C353" s="16"/>
      <c r="D353" s="16"/>
      <c r="E353" s="16"/>
      <c r="F353" s="25" t="str">
        <f t="shared" si="5"/>
        <v/>
      </c>
      <c r="G353" s="16"/>
      <c r="H353" s="15"/>
    </row>
    <row r="354" spans="1:8" ht="24.95" customHeight="1" x14ac:dyDescent="0.2">
      <c r="A354" s="16"/>
      <c r="B354" s="16"/>
      <c r="C354" s="16"/>
      <c r="D354" s="16"/>
      <c r="E354" s="16"/>
      <c r="F354" s="25" t="str">
        <f t="shared" si="5"/>
        <v/>
      </c>
      <c r="G354" s="16"/>
      <c r="H354" s="15"/>
    </row>
    <row r="355" spans="1:8" ht="24.95" customHeight="1" x14ac:dyDescent="0.2">
      <c r="A355" s="16"/>
      <c r="B355" s="16"/>
      <c r="C355" s="16"/>
      <c r="D355" s="16"/>
      <c r="E355" s="16"/>
      <c r="F355" s="25" t="str">
        <f t="shared" si="5"/>
        <v/>
      </c>
      <c r="G355" s="16"/>
      <c r="H355" s="15"/>
    </row>
    <row r="356" spans="1:8" ht="24.95" customHeight="1" x14ac:dyDescent="0.2">
      <c r="A356" s="16"/>
      <c r="B356" s="16"/>
      <c r="C356" s="16"/>
      <c r="D356" s="16"/>
      <c r="E356" s="16"/>
      <c r="F356" s="25" t="str">
        <f t="shared" si="5"/>
        <v/>
      </c>
      <c r="G356" s="16"/>
      <c r="H356" s="15"/>
    </row>
    <row r="357" spans="1:8" ht="24.95" customHeight="1" x14ac:dyDescent="0.2">
      <c r="A357" s="16"/>
      <c r="B357" s="16"/>
      <c r="C357" s="16"/>
      <c r="D357" s="16"/>
      <c r="E357" s="16"/>
      <c r="F357" s="25" t="str">
        <f t="shared" si="5"/>
        <v/>
      </c>
      <c r="G357" s="16"/>
      <c r="H357" s="15"/>
    </row>
    <row r="358" spans="1:8" ht="24.95" customHeight="1" x14ac:dyDescent="0.2">
      <c r="A358" s="16"/>
      <c r="B358" s="16"/>
      <c r="C358" s="16"/>
      <c r="D358" s="16"/>
      <c r="E358" s="16"/>
      <c r="F358" s="25" t="str">
        <f t="shared" si="5"/>
        <v/>
      </c>
      <c r="G358" s="16"/>
      <c r="H358" s="15"/>
    </row>
    <row r="359" spans="1:8" ht="24.95" customHeight="1" x14ac:dyDescent="0.2">
      <c r="A359" s="16"/>
      <c r="B359" s="16"/>
      <c r="C359" s="16"/>
      <c r="D359" s="16"/>
      <c r="E359" s="16"/>
      <c r="F359" s="25" t="str">
        <f t="shared" si="5"/>
        <v/>
      </c>
      <c r="G359" s="16"/>
      <c r="H359" s="15"/>
    </row>
    <row r="360" spans="1:8" ht="24.95" customHeight="1" x14ac:dyDescent="0.2">
      <c r="A360" s="16"/>
      <c r="B360" s="16"/>
      <c r="C360" s="16"/>
      <c r="D360" s="16"/>
      <c r="E360" s="16"/>
      <c r="F360" s="25" t="str">
        <f t="shared" si="5"/>
        <v/>
      </c>
      <c r="G360" s="16"/>
      <c r="H360" s="15"/>
    </row>
    <row r="361" spans="1:8" ht="24.95" customHeight="1" x14ac:dyDescent="0.2">
      <c r="A361" s="16"/>
      <c r="B361" s="16"/>
      <c r="C361" s="16"/>
      <c r="D361" s="16"/>
      <c r="E361" s="16"/>
      <c r="F361" s="25" t="str">
        <f t="shared" si="5"/>
        <v/>
      </c>
      <c r="G361" s="16"/>
      <c r="H361" s="15"/>
    </row>
    <row r="362" spans="1:8" ht="24.95" customHeight="1" x14ac:dyDescent="0.2">
      <c r="A362" s="16"/>
      <c r="B362" s="16"/>
      <c r="C362" s="16"/>
      <c r="D362" s="16"/>
      <c r="E362" s="16"/>
      <c r="F362" s="25" t="str">
        <f t="shared" si="5"/>
        <v/>
      </c>
      <c r="G362" s="16"/>
      <c r="H362" s="15"/>
    </row>
    <row r="363" spans="1:8" ht="24.95" customHeight="1" x14ac:dyDescent="0.2">
      <c r="A363" s="16"/>
      <c r="B363" s="16"/>
      <c r="C363" s="16"/>
      <c r="D363" s="16"/>
      <c r="E363" s="16"/>
      <c r="F363" s="25" t="str">
        <f t="shared" si="5"/>
        <v/>
      </c>
      <c r="G363" s="16"/>
      <c r="H363" s="15"/>
    </row>
    <row r="364" spans="1:8" ht="24.95" customHeight="1" x14ac:dyDescent="0.2">
      <c r="A364" s="16"/>
      <c r="B364" s="16"/>
      <c r="C364" s="16"/>
      <c r="D364" s="16"/>
      <c r="E364" s="16"/>
      <c r="F364" s="25" t="str">
        <f t="shared" si="5"/>
        <v/>
      </c>
      <c r="G364" s="16"/>
      <c r="H364" s="15"/>
    </row>
    <row r="365" spans="1:8" ht="24.95" customHeight="1" x14ac:dyDescent="0.2">
      <c r="A365" s="16"/>
      <c r="B365" s="16"/>
      <c r="C365" s="16"/>
      <c r="D365" s="16"/>
      <c r="E365" s="16"/>
      <c r="F365" s="25" t="str">
        <f t="shared" si="5"/>
        <v/>
      </c>
      <c r="G365" s="16"/>
      <c r="H365" s="15"/>
    </row>
    <row r="366" spans="1:8" ht="24.95" customHeight="1" x14ac:dyDescent="0.2">
      <c r="A366" s="16"/>
      <c r="B366" s="16"/>
      <c r="C366" s="16"/>
      <c r="D366" s="16"/>
      <c r="E366" s="16"/>
      <c r="F366" s="25" t="str">
        <f t="shared" si="5"/>
        <v/>
      </c>
      <c r="G366" s="16"/>
      <c r="H366" s="15"/>
    </row>
    <row r="367" spans="1:8" ht="24.95" customHeight="1" x14ac:dyDescent="0.2">
      <c r="A367" s="16"/>
      <c r="B367" s="16"/>
      <c r="C367" s="16"/>
      <c r="D367" s="16"/>
      <c r="E367" s="16"/>
      <c r="F367" s="25" t="str">
        <f t="shared" si="5"/>
        <v/>
      </c>
      <c r="G367" s="16"/>
      <c r="H367" s="15"/>
    </row>
    <row r="368" spans="1:8" ht="24.95" customHeight="1" x14ac:dyDescent="0.2">
      <c r="A368" s="16"/>
      <c r="B368" s="16"/>
      <c r="C368" s="16"/>
      <c r="D368" s="16"/>
      <c r="E368" s="16"/>
      <c r="F368" s="25" t="str">
        <f t="shared" si="5"/>
        <v/>
      </c>
      <c r="G368" s="16"/>
      <c r="H368" s="15"/>
    </row>
    <row r="369" spans="1:8" ht="24.95" customHeight="1" x14ac:dyDescent="0.2">
      <c r="A369" s="16"/>
      <c r="B369" s="16"/>
      <c r="C369" s="16"/>
      <c r="D369" s="16"/>
      <c r="E369" s="16"/>
      <c r="F369" s="25" t="str">
        <f t="shared" si="5"/>
        <v/>
      </c>
      <c r="G369" s="16"/>
      <c r="H369" s="15"/>
    </row>
    <row r="370" spans="1:8" ht="24.95" customHeight="1" x14ac:dyDescent="0.2">
      <c r="A370" s="16"/>
      <c r="B370" s="16"/>
      <c r="C370" s="16"/>
      <c r="D370" s="16"/>
      <c r="E370" s="16"/>
      <c r="F370" s="25" t="str">
        <f t="shared" si="5"/>
        <v/>
      </c>
      <c r="G370" s="16"/>
      <c r="H370" s="15"/>
    </row>
    <row r="371" spans="1:8" ht="24.95" customHeight="1" x14ac:dyDescent="0.2">
      <c r="A371" s="16"/>
      <c r="B371" s="16"/>
      <c r="C371" s="16"/>
      <c r="D371" s="16"/>
      <c r="E371" s="16"/>
      <c r="F371" s="25" t="str">
        <f t="shared" si="5"/>
        <v/>
      </c>
      <c r="G371" s="16"/>
      <c r="H371" s="15"/>
    </row>
    <row r="372" spans="1:8" ht="24.95" customHeight="1" x14ac:dyDescent="0.2">
      <c r="A372" s="16"/>
      <c r="B372" s="16"/>
      <c r="C372" s="16"/>
      <c r="D372" s="16"/>
      <c r="E372" s="16"/>
      <c r="F372" s="25" t="str">
        <f t="shared" si="5"/>
        <v/>
      </c>
      <c r="G372" s="16"/>
      <c r="H372" s="15"/>
    </row>
    <row r="373" spans="1:8" ht="24.95" customHeight="1" x14ac:dyDescent="0.2">
      <c r="A373" s="16"/>
      <c r="B373" s="16"/>
      <c r="C373" s="16"/>
      <c r="D373" s="16"/>
      <c r="E373" s="16"/>
      <c r="F373" s="25" t="str">
        <f t="shared" si="5"/>
        <v/>
      </c>
      <c r="G373" s="16"/>
      <c r="H373" s="15"/>
    </row>
    <row r="374" spans="1:8" ht="24.95" customHeight="1" x14ac:dyDescent="0.2">
      <c r="A374" s="16"/>
      <c r="B374" s="16"/>
      <c r="C374" s="16"/>
      <c r="D374" s="16"/>
      <c r="E374" s="16"/>
      <c r="F374" s="25" t="str">
        <f t="shared" si="5"/>
        <v/>
      </c>
      <c r="G374" s="16"/>
      <c r="H374" s="15"/>
    </row>
    <row r="375" spans="1:8" ht="24.95" customHeight="1" x14ac:dyDescent="0.2">
      <c r="A375" s="16"/>
      <c r="B375" s="16"/>
      <c r="C375" s="16"/>
      <c r="D375" s="16"/>
      <c r="E375" s="16"/>
      <c r="F375" s="25" t="str">
        <f t="shared" si="5"/>
        <v/>
      </c>
      <c r="G375" s="16"/>
      <c r="H375" s="15"/>
    </row>
    <row r="376" spans="1:8" ht="24.95" customHeight="1" x14ac:dyDescent="0.2">
      <c r="A376" s="16"/>
      <c r="B376" s="16"/>
      <c r="C376" s="16"/>
      <c r="D376" s="16"/>
      <c r="E376" s="16"/>
      <c r="F376" s="25" t="str">
        <f t="shared" si="5"/>
        <v/>
      </c>
      <c r="G376" s="16"/>
      <c r="H376" s="15"/>
    </row>
    <row r="377" spans="1:8" ht="24.95" customHeight="1" x14ac:dyDescent="0.2">
      <c r="A377" s="16"/>
      <c r="B377" s="16"/>
      <c r="C377" s="16"/>
      <c r="D377" s="16"/>
      <c r="E377" s="16"/>
      <c r="F377" s="25" t="str">
        <f t="shared" si="5"/>
        <v/>
      </c>
      <c r="G377" s="16"/>
      <c r="H377" s="15"/>
    </row>
    <row r="378" spans="1:8" ht="24.95" customHeight="1" x14ac:dyDescent="0.2">
      <c r="A378" s="16"/>
      <c r="B378" s="16"/>
      <c r="C378" s="16"/>
      <c r="D378" s="16"/>
      <c r="E378" s="16"/>
      <c r="F378" s="25" t="str">
        <f t="shared" si="5"/>
        <v/>
      </c>
      <c r="G378" s="16"/>
      <c r="H378" s="15"/>
    </row>
    <row r="379" spans="1:8" ht="24.95" customHeight="1" x14ac:dyDescent="0.2">
      <c r="A379" s="16"/>
      <c r="B379" s="16"/>
      <c r="C379" s="16"/>
      <c r="D379" s="16"/>
      <c r="E379" s="16"/>
      <c r="F379" s="25" t="str">
        <f t="shared" si="5"/>
        <v/>
      </c>
      <c r="G379" s="16"/>
      <c r="H379" s="15"/>
    </row>
    <row r="380" spans="1:8" ht="24.95" customHeight="1" x14ac:dyDescent="0.2">
      <c r="A380" s="16"/>
      <c r="B380" s="16"/>
      <c r="C380" s="16"/>
      <c r="D380" s="16"/>
      <c r="E380" s="16"/>
      <c r="F380" s="25" t="str">
        <f t="shared" si="5"/>
        <v/>
      </c>
      <c r="G380" s="16"/>
      <c r="H380" s="15"/>
    </row>
    <row r="381" spans="1:8" ht="24.95" customHeight="1" x14ac:dyDescent="0.2">
      <c r="A381" s="16"/>
      <c r="B381" s="16"/>
      <c r="C381" s="16"/>
      <c r="D381" s="16"/>
      <c r="E381" s="16"/>
      <c r="F381" s="25" t="str">
        <f t="shared" si="5"/>
        <v/>
      </c>
      <c r="G381" s="16"/>
      <c r="H381" s="15"/>
    </row>
    <row r="382" spans="1:8" ht="24.95" customHeight="1" x14ac:dyDescent="0.2">
      <c r="A382" s="16"/>
      <c r="B382" s="16"/>
      <c r="C382" s="16"/>
      <c r="D382" s="16"/>
      <c r="E382" s="16"/>
      <c r="F382" s="25" t="str">
        <f t="shared" si="5"/>
        <v/>
      </c>
      <c r="G382" s="16"/>
      <c r="H382" s="15"/>
    </row>
    <row r="383" spans="1:8" ht="24.95" customHeight="1" x14ac:dyDescent="0.2">
      <c r="A383" s="16"/>
      <c r="B383" s="16"/>
      <c r="C383" s="16"/>
      <c r="D383" s="16"/>
      <c r="E383" s="16"/>
      <c r="F383" s="25" t="str">
        <f t="shared" si="5"/>
        <v/>
      </c>
      <c r="G383" s="16"/>
      <c r="H383" s="15"/>
    </row>
    <row r="384" spans="1:8" ht="24.95" customHeight="1" x14ac:dyDescent="0.2">
      <c r="A384" s="16"/>
      <c r="B384" s="16"/>
      <c r="C384" s="16"/>
      <c r="D384" s="16"/>
      <c r="E384" s="16"/>
      <c r="F384" s="25" t="str">
        <f t="shared" si="5"/>
        <v/>
      </c>
      <c r="G384" s="16"/>
      <c r="H384" s="15"/>
    </row>
    <row r="385" spans="1:8" ht="24.95" customHeight="1" x14ac:dyDescent="0.2">
      <c r="A385" s="16"/>
      <c r="B385" s="16"/>
      <c r="C385" s="16"/>
      <c r="D385" s="16"/>
      <c r="E385" s="16"/>
      <c r="F385" s="25" t="str">
        <f t="shared" si="5"/>
        <v/>
      </c>
      <c r="G385" s="16"/>
      <c r="H385" s="15"/>
    </row>
    <row r="386" spans="1:8" ht="24.95" customHeight="1" x14ac:dyDescent="0.2">
      <c r="A386" s="16"/>
      <c r="B386" s="16"/>
      <c r="C386" s="16"/>
      <c r="D386" s="16"/>
      <c r="E386" s="16"/>
      <c r="F386" s="25" t="str">
        <f t="shared" si="5"/>
        <v/>
      </c>
      <c r="G386" s="16"/>
      <c r="H386" s="15"/>
    </row>
    <row r="387" spans="1:8" ht="24.95" customHeight="1" x14ac:dyDescent="0.2">
      <c r="A387" s="16"/>
      <c r="B387" s="16"/>
      <c r="C387" s="16"/>
      <c r="D387" s="16"/>
      <c r="E387" s="16"/>
      <c r="F387" s="25" t="str">
        <f t="shared" si="5"/>
        <v/>
      </c>
      <c r="G387" s="16"/>
      <c r="H387" s="15"/>
    </row>
    <row r="388" spans="1:8" ht="24.95" customHeight="1" x14ac:dyDescent="0.2">
      <c r="A388" s="16"/>
      <c r="B388" s="16"/>
      <c r="C388" s="16"/>
      <c r="D388" s="16"/>
      <c r="E388" s="16"/>
      <c r="F388" s="25" t="str">
        <f t="shared" ref="F388:F451" si="6">IFERROR(IF(AND(D388="Não",E388="Sim"),"REP",
IF(AND(D388="Sim",E388="Não"),"Técnico",
IF(AND(D388="Sim",E388="Sim"),"Ambos",""))),"")</f>
        <v/>
      </c>
      <c r="G388" s="16"/>
      <c r="H388" s="15"/>
    </row>
    <row r="389" spans="1:8" ht="24.95" customHeight="1" x14ac:dyDescent="0.2">
      <c r="A389" s="16"/>
      <c r="B389" s="16"/>
      <c r="C389" s="16"/>
      <c r="D389" s="16"/>
      <c r="E389" s="16"/>
      <c r="F389" s="25" t="str">
        <f t="shared" si="6"/>
        <v/>
      </c>
      <c r="G389" s="16"/>
      <c r="H389" s="15"/>
    </row>
    <row r="390" spans="1:8" ht="24.95" customHeight="1" x14ac:dyDescent="0.2">
      <c r="A390" s="16"/>
      <c r="B390" s="16"/>
      <c r="C390" s="16"/>
      <c r="D390" s="16"/>
      <c r="E390" s="16"/>
      <c r="F390" s="25" t="str">
        <f t="shared" si="6"/>
        <v/>
      </c>
      <c r="G390" s="16"/>
      <c r="H390" s="15"/>
    </row>
    <row r="391" spans="1:8" ht="24.95" customHeight="1" x14ac:dyDescent="0.2">
      <c r="A391" s="16"/>
      <c r="B391" s="16"/>
      <c r="C391" s="16"/>
      <c r="D391" s="16"/>
      <c r="E391" s="16"/>
      <c r="F391" s="25" t="str">
        <f t="shared" si="6"/>
        <v/>
      </c>
      <c r="G391" s="16"/>
      <c r="H391" s="15"/>
    </row>
    <row r="392" spans="1:8" ht="24.95" customHeight="1" x14ac:dyDescent="0.2">
      <c r="A392" s="16"/>
      <c r="B392" s="16"/>
      <c r="C392" s="16"/>
      <c r="D392" s="16"/>
      <c r="E392" s="16"/>
      <c r="F392" s="25" t="str">
        <f t="shared" si="6"/>
        <v/>
      </c>
      <c r="G392" s="16"/>
      <c r="H392" s="15"/>
    </row>
    <row r="393" spans="1:8" ht="24.95" customHeight="1" x14ac:dyDescent="0.2">
      <c r="A393" s="16"/>
      <c r="B393" s="16"/>
      <c r="C393" s="16"/>
      <c r="D393" s="16"/>
      <c r="E393" s="16"/>
      <c r="F393" s="25" t="str">
        <f t="shared" si="6"/>
        <v/>
      </c>
      <c r="G393" s="16"/>
      <c r="H393" s="15"/>
    </row>
    <row r="394" spans="1:8" ht="24.95" customHeight="1" x14ac:dyDescent="0.2">
      <c r="A394" s="16"/>
      <c r="B394" s="16"/>
      <c r="C394" s="16"/>
      <c r="D394" s="16"/>
      <c r="E394" s="16"/>
      <c r="F394" s="25" t="str">
        <f t="shared" si="6"/>
        <v/>
      </c>
      <c r="G394" s="16"/>
      <c r="H394" s="15"/>
    </row>
    <row r="395" spans="1:8" ht="24.95" customHeight="1" x14ac:dyDescent="0.2">
      <c r="A395" s="16"/>
      <c r="B395" s="16"/>
      <c r="C395" s="16"/>
      <c r="D395" s="16"/>
      <c r="E395" s="16"/>
      <c r="F395" s="25" t="str">
        <f t="shared" si="6"/>
        <v/>
      </c>
      <c r="G395" s="16"/>
      <c r="H395" s="15"/>
    </row>
    <row r="396" spans="1:8" ht="24.95" customHeight="1" x14ac:dyDescent="0.2">
      <c r="A396" s="16"/>
      <c r="B396" s="16"/>
      <c r="C396" s="16"/>
      <c r="D396" s="16"/>
      <c r="E396" s="16"/>
      <c r="F396" s="25" t="str">
        <f t="shared" si="6"/>
        <v/>
      </c>
      <c r="G396" s="16"/>
      <c r="H396" s="15"/>
    </row>
    <row r="397" spans="1:8" ht="24.95" customHeight="1" x14ac:dyDescent="0.2">
      <c r="A397" s="16"/>
      <c r="B397" s="16"/>
      <c r="C397" s="16"/>
      <c r="D397" s="16"/>
      <c r="E397" s="16"/>
      <c r="F397" s="25" t="str">
        <f t="shared" si="6"/>
        <v/>
      </c>
      <c r="G397" s="16"/>
      <c r="H397" s="15"/>
    </row>
    <row r="398" spans="1:8" ht="24.95" customHeight="1" x14ac:dyDescent="0.2">
      <c r="A398" s="16"/>
      <c r="B398" s="16"/>
      <c r="C398" s="16"/>
      <c r="D398" s="16"/>
      <c r="E398" s="16"/>
      <c r="F398" s="25" t="str">
        <f t="shared" si="6"/>
        <v/>
      </c>
      <c r="G398" s="16"/>
      <c r="H398" s="15"/>
    </row>
    <row r="399" spans="1:8" ht="24.95" customHeight="1" x14ac:dyDescent="0.2">
      <c r="A399" s="16"/>
      <c r="B399" s="16"/>
      <c r="C399" s="16"/>
      <c r="D399" s="16"/>
      <c r="E399" s="16"/>
      <c r="F399" s="25" t="str">
        <f t="shared" si="6"/>
        <v/>
      </c>
      <c r="G399" s="16"/>
      <c r="H399" s="15"/>
    </row>
    <row r="400" spans="1:8" ht="24.95" customHeight="1" x14ac:dyDescent="0.2">
      <c r="A400" s="16"/>
      <c r="B400" s="16"/>
      <c r="C400" s="16"/>
      <c r="D400" s="16"/>
      <c r="E400" s="16"/>
      <c r="F400" s="25" t="str">
        <f t="shared" si="6"/>
        <v/>
      </c>
      <c r="G400" s="16"/>
      <c r="H400" s="15"/>
    </row>
    <row r="401" spans="1:8" ht="24.95" customHeight="1" x14ac:dyDescent="0.2">
      <c r="A401" s="16"/>
      <c r="B401" s="16"/>
      <c r="C401" s="16"/>
      <c r="D401" s="16"/>
      <c r="E401" s="16"/>
      <c r="F401" s="25" t="str">
        <f t="shared" si="6"/>
        <v/>
      </c>
      <c r="G401" s="16"/>
      <c r="H401" s="15"/>
    </row>
    <row r="402" spans="1:8" ht="24.95" customHeight="1" x14ac:dyDescent="0.2">
      <c r="A402" s="16"/>
      <c r="B402" s="16"/>
      <c r="C402" s="16"/>
      <c r="D402" s="16"/>
      <c r="E402" s="16"/>
      <c r="F402" s="25" t="str">
        <f t="shared" si="6"/>
        <v/>
      </c>
      <c r="G402" s="16"/>
      <c r="H402" s="15"/>
    </row>
    <row r="403" spans="1:8" ht="24.95" customHeight="1" x14ac:dyDescent="0.2">
      <c r="A403" s="16"/>
      <c r="B403" s="16"/>
      <c r="C403" s="16"/>
      <c r="D403" s="16"/>
      <c r="E403" s="16"/>
      <c r="F403" s="25" t="str">
        <f t="shared" si="6"/>
        <v/>
      </c>
      <c r="G403" s="16"/>
      <c r="H403" s="15"/>
    </row>
    <row r="404" spans="1:8" ht="24.95" customHeight="1" x14ac:dyDescent="0.2">
      <c r="A404" s="16"/>
      <c r="B404" s="16"/>
      <c r="C404" s="16"/>
      <c r="D404" s="16"/>
      <c r="E404" s="16"/>
      <c r="F404" s="25" t="str">
        <f t="shared" si="6"/>
        <v/>
      </c>
      <c r="G404" s="16"/>
      <c r="H404" s="15"/>
    </row>
    <row r="405" spans="1:8" ht="24.95" customHeight="1" x14ac:dyDescent="0.2">
      <c r="A405" s="16"/>
      <c r="B405" s="16"/>
      <c r="C405" s="16"/>
      <c r="D405" s="16"/>
      <c r="E405" s="16"/>
      <c r="F405" s="25" t="str">
        <f t="shared" si="6"/>
        <v/>
      </c>
      <c r="G405" s="16"/>
      <c r="H405" s="15"/>
    </row>
    <row r="406" spans="1:8" ht="24.95" customHeight="1" x14ac:dyDescent="0.2">
      <c r="A406" s="16"/>
      <c r="B406" s="16"/>
      <c r="C406" s="16"/>
      <c r="D406" s="16"/>
      <c r="E406" s="16"/>
      <c r="F406" s="25" t="str">
        <f t="shared" si="6"/>
        <v/>
      </c>
      <c r="G406" s="16"/>
      <c r="H406" s="15"/>
    </row>
    <row r="407" spans="1:8" ht="24.95" customHeight="1" x14ac:dyDescent="0.2">
      <c r="A407" s="16"/>
      <c r="B407" s="16"/>
      <c r="C407" s="16"/>
      <c r="D407" s="16"/>
      <c r="E407" s="16"/>
      <c r="F407" s="25" t="str">
        <f t="shared" si="6"/>
        <v/>
      </c>
      <c r="G407" s="16"/>
      <c r="H407" s="15"/>
    </row>
    <row r="408" spans="1:8" ht="24.95" customHeight="1" x14ac:dyDescent="0.2">
      <c r="A408" s="16"/>
      <c r="B408" s="16"/>
      <c r="C408" s="16"/>
      <c r="D408" s="16"/>
      <c r="E408" s="16"/>
      <c r="F408" s="25" t="str">
        <f t="shared" si="6"/>
        <v/>
      </c>
      <c r="G408" s="16"/>
      <c r="H408" s="15"/>
    </row>
    <row r="409" spans="1:8" ht="24.95" customHeight="1" x14ac:dyDescent="0.2">
      <c r="A409" s="16"/>
      <c r="B409" s="16"/>
      <c r="C409" s="16"/>
      <c r="D409" s="16"/>
      <c r="E409" s="16"/>
      <c r="F409" s="25" t="str">
        <f t="shared" si="6"/>
        <v/>
      </c>
      <c r="G409" s="16"/>
      <c r="H409" s="15"/>
    </row>
    <row r="410" spans="1:8" ht="24.95" customHeight="1" x14ac:dyDescent="0.2">
      <c r="A410" s="16"/>
      <c r="B410" s="16"/>
      <c r="C410" s="16"/>
      <c r="D410" s="16"/>
      <c r="E410" s="16"/>
      <c r="F410" s="25" t="str">
        <f t="shared" si="6"/>
        <v/>
      </c>
      <c r="G410" s="16"/>
      <c r="H410" s="15"/>
    </row>
    <row r="411" spans="1:8" ht="24.95" customHeight="1" x14ac:dyDescent="0.2">
      <c r="A411" s="16"/>
      <c r="B411" s="16"/>
      <c r="C411" s="16"/>
      <c r="D411" s="16"/>
      <c r="E411" s="16"/>
      <c r="F411" s="25" t="str">
        <f t="shared" si="6"/>
        <v/>
      </c>
      <c r="G411" s="16"/>
      <c r="H411" s="15"/>
    </row>
    <row r="412" spans="1:8" ht="24.95" customHeight="1" x14ac:dyDescent="0.2">
      <c r="A412" s="16"/>
      <c r="B412" s="16"/>
      <c r="C412" s="16"/>
      <c r="D412" s="16"/>
      <c r="E412" s="16"/>
      <c r="F412" s="25" t="str">
        <f t="shared" si="6"/>
        <v/>
      </c>
      <c r="G412" s="16"/>
      <c r="H412" s="15"/>
    </row>
    <row r="413" spans="1:8" ht="24.95" customHeight="1" x14ac:dyDescent="0.2">
      <c r="A413" s="16"/>
      <c r="B413" s="16"/>
      <c r="C413" s="16"/>
      <c r="D413" s="16"/>
      <c r="E413" s="16"/>
      <c r="F413" s="25" t="str">
        <f t="shared" si="6"/>
        <v/>
      </c>
      <c r="G413" s="16"/>
      <c r="H413" s="15"/>
    </row>
    <row r="414" spans="1:8" ht="24.95" customHeight="1" x14ac:dyDescent="0.2">
      <c r="A414" s="16"/>
      <c r="B414" s="16"/>
      <c r="C414" s="16"/>
      <c r="D414" s="16"/>
      <c r="E414" s="16"/>
      <c r="F414" s="25" t="str">
        <f t="shared" si="6"/>
        <v/>
      </c>
      <c r="G414" s="16"/>
      <c r="H414" s="15"/>
    </row>
    <row r="415" spans="1:8" ht="24.95" customHeight="1" x14ac:dyDescent="0.2">
      <c r="A415" s="16"/>
      <c r="B415" s="16"/>
      <c r="C415" s="16"/>
      <c r="D415" s="16"/>
      <c r="E415" s="16"/>
      <c r="F415" s="25" t="str">
        <f t="shared" si="6"/>
        <v/>
      </c>
      <c r="G415" s="16"/>
      <c r="H415" s="15"/>
    </row>
    <row r="416" spans="1:8" ht="24.95" customHeight="1" x14ac:dyDescent="0.2">
      <c r="A416" s="16"/>
      <c r="B416" s="16"/>
      <c r="C416" s="16"/>
      <c r="D416" s="16"/>
      <c r="E416" s="16"/>
      <c r="F416" s="25" t="str">
        <f t="shared" si="6"/>
        <v/>
      </c>
      <c r="G416" s="16"/>
      <c r="H416" s="15"/>
    </row>
    <row r="417" spans="1:8" ht="24.95" customHeight="1" x14ac:dyDescent="0.2">
      <c r="A417" s="16"/>
      <c r="B417" s="16"/>
      <c r="C417" s="16"/>
      <c r="D417" s="16"/>
      <c r="E417" s="16"/>
      <c r="F417" s="25" t="str">
        <f t="shared" si="6"/>
        <v/>
      </c>
      <c r="G417" s="16"/>
      <c r="H417" s="15"/>
    </row>
    <row r="418" spans="1:8" ht="24.95" customHeight="1" x14ac:dyDescent="0.2">
      <c r="A418" s="16"/>
      <c r="B418" s="16"/>
      <c r="C418" s="16"/>
      <c r="D418" s="16"/>
      <c r="E418" s="16"/>
      <c r="F418" s="25" t="str">
        <f t="shared" si="6"/>
        <v/>
      </c>
      <c r="G418" s="16"/>
      <c r="H418" s="15"/>
    </row>
    <row r="419" spans="1:8" ht="24.95" customHeight="1" x14ac:dyDescent="0.2">
      <c r="A419" s="16"/>
      <c r="B419" s="16"/>
      <c r="C419" s="16"/>
      <c r="D419" s="16"/>
      <c r="E419" s="16"/>
      <c r="F419" s="25" t="str">
        <f t="shared" si="6"/>
        <v/>
      </c>
      <c r="G419" s="16"/>
      <c r="H419" s="15"/>
    </row>
    <row r="420" spans="1:8" ht="24.95" customHeight="1" x14ac:dyDescent="0.2">
      <c r="A420" s="16"/>
      <c r="B420" s="16"/>
      <c r="C420" s="16"/>
      <c r="D420" s="16"/>
      <c r="E420" s="16"/>
      <c r="F420" s="25" t="str">
        <f t="shared" si="6"/>
        <v/>
      </c>
      <c r="G420" s="16"/>
      <c r="H420" s="15"/>
    </row>
    <row r="421" spans="1:8" ht="24.95" customHeight="1" x14ac:dyDescent="0.2">
      <c r="A421" s="16"/>
      <c r="B421" s="16"/>
      <c r="C421" s="16"/>
      <c r="D421" s="16"/>
      <c r="E421" s="16"/>
      <c r="F421" s="25" t="str">
        <f t="shared" si="6"/>
        <v/>
      </c>
      <c r="G421" s="16"/>
      <c r="H421" s="15"/>
    </row>
    <row r="422" spans="1:8" ht="24.95" customHeight="1" x14ac:dyDescent="0.2">
      <c r="A422" s="16"/>
      <c r="B422" s="16"/>
      <c r="C422" s="16"/>
      <c r="D422" s="16"/>
      <c r="E422" s="16"/>
      <c r="F422" s="25" t="str">
        <f t="shared" si="6"/>
        <v/>
      </c>
      <c r="G422" s="16"/>
      <c r="H422" s="15"/>
    </row>
    <row r="423" spans="1:8" ht="24.95" customHeight="1" x14ac:dyDescent="0.2">
      <c r="A423" s="16"/>
      <c r="B423" s="16"/>
      <c r="C423" s="16"/>
      <c r="D423" s="16"/>
      <c r="E423" s="16"/>
      <c r="F423" s="25" t="str">
        <f t="shared" si="6"/>
        <v/>
      </c>
      <c r="G423" s="16"/>
      <c r="H423" s="15"/>
    </row>
    <row r="424" spans="1:8" ht="24.95" customHeight="1" x14ac:dyDescent="0.2">
      <c r="A424" s="16"/>
      <c r="B424" s="16"/>
      <c r="C424" s="16"/>
      <c r="D424" s="16"/>
      <c r="E424" s="16"/>
      <c r="F424" s="25" t="str">
        <f t="shared" si="6"/>
        <v/>
      </c>
      <c r="G424" s="16"/>
      <c r="H424" s="15"/>
    </row>
    <row r="425" spans="1:8" ht="24.95" customHeight="1" x14ac:dyDescent="0.2">
      <c r="A425" s="16"/>
      <c r="B425" s="16"/>
      <c r="C425" s="16"/>
      <c r="D425" s="16"/>
      <c r="E425" s="16"/>
      <c r="F425" s="25" t="str">
        <f t="shared" si="6"/>
        <v/>
      </c>
      <c r="G425" s="16"/>
      <c r="H425" s="15"/>
    </row>
    <row r="426" spans="1:8" ht="24.95" customHeight="1" x14ac:dyDescent="0.2">
      <c r="A426" s="16"/>
      <c r="B426" s="16"/>
      <c r="C426" s="16"/>
      <c r="D426" s="16"/>
      <c r="E426" s="16"/>
      <c r="F426" s="25" t="str">
        <f t="shared" si="6"/>
        <v/>
      </c>
      <c r="G426" s="16"/>
      <c r="H426" s="15"/>
    </row>
    <row r="427" spans="1:8" ht="24.95" customHeight="1" x14ac:dyDescent="0.2">
      <c r="A427" s="16"/>
      <c r="B427" s="16"/>
      <c r="C427" s="16"/>
      <c r="D427" s="16"/>
      <c r="E427" s="16"/>
      <c r="F427" s="25" t="str">
        <f t="shared" si="6"/>
        <v/>
      </c>
      <c r="G427" s="16"/>
      <c r="H427" s="15"/>
    </row>
    <row r="428" spans="1:8" ht="24.95" customHeight="1" x14ac:dyDescent="0.2">
      <c r="A428" s="16"/>
      <c r="B428" s="16"/>
      <c r="C428" s="16"/>
      <c r="D428" s="16"/>
      <c r="E428" s="16"/>
      <c r="F428" s="25" t="str">
        <f t="shared" si="6"/>
        <v/>
      </c>
      <c r="G428" s="16"/>
      <c r="H428" s="15"/>
    </row>
    <row r="429" spans="1:8" ht="24.95" customHeight="1" x14ac:dyDescent="0.2">
      <c r="A429" s="16"/>
      <c r="B429" s="16"/>
      <c r="C429" s="16"/>
      <c r="D429" s="16"/>
      <c r="E429" s="16"/>
      <c r="F429" s="25" t="str">
        <f t="shared" si="6"/>
        <v/>
      </c>
      <c r="G429" s="16"/>
      <c r="H429" s="15"/>
    </row>
    <row r="430" spans="1:8" ht="24.95" customHeight="1" x14ac:dyDescent="0.2">
      <c r="A430" s="16"/>
      <c r="B430" s="16"/>
      <c r="C430" s="16"/>
      <c r="D430" s="16"/>
      <c r="E430" s="16"/>
      <c r="F430" s="25" t="str">
        <f t="shared" si="6"/>
        <v/>
      </c>
      <c r="G430" s="16"/>
      <c r="H430" s="15"/>
    </row>
    <row r="431" spans="1:8" ht="24.95" customHeight="1" x14ac:dyDescent="0.2">
      <c r="A431" s="16"/>
      <c r="B431" s="16"/>
      <c r="C431" s="16"/>
      <c r="D431" s="16"/>
      <c r="E431" s="16"/>
      <c r="F431" s="25" t="str">
        <f t="shared" si="6"/>
        <v/>
      </c>
      <c r="G431" s="16"/>
      <c r="H431" s="15"/>
    </row>
    <row r="432" spans="1:8" ht="24.95" customHeight="1" x14ac:dyDescent="0.2">
      <c r="A432" s="16"/>
      <c r="B432" s="16"/>
      <c r="C432" s="16"/>
      <c r="D432" s="16"/>
      <c r="E432" s="16"/>
      <c r="F432" s="25" t="str">
        <f t="shared" si="6"/>
        <v/>
      </c>
      <c r="G432" s="16"/>
      <c r="H432" s="15"/>
    </row>
    <row r="433" spans="1:8" ht="24.95" customHeight="1" x14ac:dyDescent="0.2">
      <c r="A433" s="16"/>
      <c r="B433" s="16"/>
      <c r="C433" s="16"/>
      <c r="D433" s="16"/>
      <c r="E433" s="16"/>
      <c r="F433" s="25" t="str">
        <f t="shared" si="6"/>
        <v/>
      </c>
      <c r="G433" s="16"/>
      <c r="H433" s="15"/>
    </row>
    <row r="434" spans="1:8" ht="24.95" customHeight="1" x14ac:dyDescent="0.2">
      <c r="A434" s="16"/>
      <c r="B434" s="16"/>
      <c r="C434" s="16"/>
      <c r="D434" s="16"/>
      <c r="E434" s="16"/>
      <c r="F434" s="25" t="str">
        <f t="shared" si="6"/>
        <v/>
      </c>
      <c r="G434" s="16"/>
      <c r="H434" s="15"/>
    </row>
    <row r="435" spans="1:8" ht="24.95" customHeight="1" x14ac:dyDescent="0.2">
      <c r="A435" s="16"/>
      <c r="B435" s="16"/>
      <c r="C435" s="16"/>
      <c r="D435" s="16"/>
      <c r="E435" s="16"/>
      <c r="F435" s="25" t="str">
        <f t="shared" si="6"/>
        <v/>
      </c>
      <c r="G435" s="16"/>
      <c r="H435" s="15"/>
    </row>
    <row r="436" spans="1:8" ht="24.95" customHeight="1" x14ac:dyDescent="0.2">
      <c r="A436" s="16"/>
      <c r="B436" s="16"/>
      <c r="C436" s="16"/>
      <c r="D436" s="16"/>
      <c r="E436" s="16"/>
      <c r="F436" s="25" t="str">
        <f t="shared" si="6"/>
        <v/>
      </c>
      <c r="G436" s="16"/>
      <c r="H436" s="15"/>
    </row>
    <row r="437" spans="1:8" ht="24.95" customHeight="1" x14ac:dyDescent="0.2">
      <c r="A437" s="16"/>
      <c r="B437" s="16"/>
      <c r="C437" s="16"/>
      <c r="D437" s="16"/>
      <c r="E437" s="16"/>
      <c r="F437" s="25" t="str">
        <f t="shared" si="6"/>
        <v/>
      </c>
      <c r="G437" s="16"/>
      <c r="H437" s="15"/>
    </row>
    <row r="438" spans="1:8" ht="24.95" customHeight="1" x14ac:dyDescent="0.2">
      <c r="A438" s="16"/>
      <c r="B438" s="16"/>
      <c r="C438" s="16"/>
      <c r="D438" s="16"/>
      <c r="E438" s="16"/>
      <c r="F438" s="25" t="str">
        <f t="shared" si="6"/>
        <v/>
      </c>
      <c r="G438" s="16"/>
      <c r="H438" s="15"/>
    </row>
    <row r="439" spans="1:8" ht="24.95" customHeight="1" x14ac:dyDescent="0.2">
      <c r="A439" s="16"/>
      <c r="B439" s="16"/>
      <c r="C439" s="16"/>
      <c r="D439" s="16"/>
      <c r="E439" s="16"/>
      <c r="F439" s="25" t="str">
        <f t="shared" si="6"/>
        <v/>
      </c>
      <c r="G439" s="16"/>
      <c r="H439" s="15"/>
    </row>
    <row r="440" spans="1:8" ht="24.95" customHeight="1" x14ac:dyDescent="0.2">
      <c r="A440" s="16"/>
      <c r="B440" s="16"/>
      <c r="C440" s="16"/>
      <c r="D440" s="16"/>
      <c r="E440" s="16"/>
      <c r="F440" s="25" t="str">
        <f t="shared" si="6"/>
        <v/>
      </c>
      <c r="G440" s="16"/>
      <c r="H440" s="15"/>
    </row>
    <row r="441" spans="1:8" ht="24.95" customHeight="1" x14ac:dyDescent="0.2">
      <c r="A441" s="16"/>
      <c r="B441" s="16"/>
      <c r="C441" s="16"/>
      <c r="D441" s="16"/>
      <c r="E441" s="16"/>
      <c r="F441" s="25" t="str">
        <f t="shared" si="6"/>
        <v/>
      </c>
      <c r="G441" s="16"/>
      <c r="H441" s="15"/>
    </row>
    <row r="442" spans="1:8" ht="24.95" customHeight="1" x14ac:dyDescent="0.2">
      <c r="A442" s="16"/>
      <c r="B442" s="16"/>
      <c r="C442" s="16"/>
      <c r="D442" s="16"/>
      <c r="E442" s="16"/>
      <c r="F442" s="25" t="str">
        <f t="shared" si="6"/>
        <v/>
      </c>
      <c r="G442" s="16"/>
      <c r="H442" s="15"/>
    </row>
    <row r="443" spans="1:8" ht="24.95" customHeight="1" x14ac:dyDescent="0.2">
      <c r="A443" s="16"/>
      <c r="B443" s="16"/>
      <c r="C443" s="16"/>
      <c r="D443" s="16"/>
      <c r="E443" s="16"/>
      <c r="F443" s="25" t="str">
        <f t="shared" si="6"/>
        <v/>
      </c>
      <c r="G443" s="16"/>
      <c r="H443" s="15"/>
    </row>
    <row r="444" spans="1:8" ht="24.95" customHeight="1" x14ac:dyDescent="0.2">
      <c r="A444" s="16"/>
      <c r="B444" s="16"/>
      <c r="C444" s="16"/>
      <c r="D444" s="16"/>
      <c r="E444" s="16"/>
      <c r="F444" s="25" t="str">
        <f t="shared" si="6"/>
        <v/>
      </c>
      <c r="G444" s="16"/>
      <c r="H444" s="15"/>
    </row>
    <row r="445" spans="1:8" ht="24.95" customHeight="1" x14ac:dyDescent="0.2">
      <c r="A445" s="16"/>
      <c r="B445" s="16"/>
      <c r="C445" s="16"/>
      <c r="D445" s="16"/>
      <c r="E445" s="16"/>
      <c r="F445" s="25" t="str">
        <f t="shared" si="6"/>
        <v/>
      </c>
      <c r="G445" s="16"/>
      <c r="H445" s="15"/>
    </row>
    <row r="446" spans="1:8" ht="24.95" customHeight="1" x14ac:dyDescent="0.2">
      <c r="A446" s="16"/>
      <c r="B446" s="16"/>
      <c r="C446" s="16"/>
      <c r="D446" s="16"/>
      <c r="E446" s="16"/>
      <c r="F446" s="25" t="str">
        <f t="shared" si="6"/>
        <v/>
      </c>
      <c r="G446" s="16"/>
      <c r="H446" s="15"/>
    </row>
    <row r="447" spans="1:8" ht="24.95" customHeight="1" x14ac:dyDescent="0.2">
      <c r="A447" s="16"/>
      <c r="B447" s="16"/>
      <c r="C447" s="16"/>
      <c r="D447" s="16"/>
      <c r="E447" s="16"/>
      <c r="F447" s="25" t="str">
        <f t="shared" si="6"/>
        <v/>
      </c>
      <c r="G447" s="16"/>
      <c r="H447" s="15"/>
    </row>
    <row r="448" spans="1:8" ht="24.95" customHeight="1" x14ac:dyDescent="0.2">
      <c r="A448" s="16"/>
      <c r="B448" s="16"/>
      <c r="C448" s="16"/>
      <c r="D448" s="16"/>
      <c r="E448" s="16"/>
      <c r="F448" s="25" t="str">
        <f t="shared" si="6"/>
        <v/>
      </c>
      <c r="G448" s="16"/>
      <c r="H448" s="15"/>
    </row>
    <row r="449" spans="1:8" ht="24.95" customHeight="1" x14ac:dyDescent="0.2">
      <c r="A449" s="16"/>
      <c r="B449" s="16"/>
      <c r="C449" s="16"/>
      <c r="D449" s="16"/>
      <c r="E449" s="16"/>
      <c r="F449" s="25" t="str">
        <f t="shared" si="6"/>
        <v/>
      </c>
      <c r="G449" s="16"/>
      <c r="H449" s="15"/>
    </row>
    <row r="450" spans="1:8" ht="24.95" customHeight="1" x14ac:dyDescent="0.2">
      <c r="A450" s="16"/>
      <c r="B450" s="16"/>
      <c r="C450" s="16"/>
      <c r="D450" s="16"/>
      <c r="E450" s="16"/>
      <c r="F450" s="25" t="str">
        <f t="shared" si="6"/>
        <v/>
      </c>
      <c r="G450" s="16"/>
      <c r="H450" s="15"/>
    </row>
    <row r="451" spans="1:8" ht="24.95" customHeight="1" x14ac:dyDescent="0.2">
      <c r="A451" s="16"/>
      <c r="B451" s="16"/>
      <c r="C451" s="16"/>
      <c r="D451" s="16"/>
      <c r="E451" s="16"/>
      <c r="F451" s="25" t="str">
        <f t="shared" si="6"/>
        <v/>
      </c>
      <c r="G451" s="16"/>
      <c r="H451" s="15"/>
    </row>
    <row r="452" spans="1:8" ht="24.95" customHeight="1" x14ac:dyDescent="0.2">
      <c r="A452" s="16"/>
      <c r="B452" s="16"/>
      <c r="C452" s="16"/>
      <c r="D452" s="16"/>
      <c r="E452" s="16"/>
      <c r="F452" s="25" t="str">
        <f t="shared" ref="F452:F502" si="7">IFERROR(IF(AND(D452="Não",E452="Sim"),"REP",
IF(AND(D452="Sim",E452="Não"),"Técnico",
IF(AND(D452="Sim",E452="Sim"),"Ambos",""))),"")</f>
        <v/>
      </c>
      <c r="G452" s="16"/>
      <c r="H452" s="15"/>
    </row>
    <row r="453" spans="1:8" ht="24.95" customHeight="1" x14ac:dyDescent="0.2">
      <c r="A453" s="16"/>
      <c r="B453" s="16"/>
      <c r="C453" s="16"/>
      <c r="D453" s="16"/>
      <c r="E453" s="16"/>
      <c r="F453" s="25" t="str">
        <f t="shared" si="7"/>
        <v/>
      </c>
      <c r="G453" s="16"/>
      <c r="H453" s="15"/>
    </row>
    <row r="454" spans="1:8" ht="24.95" customHeight="1" x14ac:dyDescent="0.2">
      <c r="A454" s="16"/>
      <c r="B454" s="16"/>
      <c r="C454" s="16"/>
      <c r="D454" s="16"/>
      <c r="E454" s="16"/>
      <c r="F454" s="25" t="str">
        <f t="shared" si="7"/>
        <v/>
      </c>
      <c r="G454" s="16"/>
      <c r="H454" s="15"/>
    </row>
    <row r="455" spans="1:8" ht="24.95" customHeight="1" x14ac:dyDescent="0.2">
      <c r="A455" s="16"/>
      <c r="B455" s="16"/>
      <c r="C455" s="16"/>
      <c r="D455" s="16"/>
      <c r="E455" s="16"/>
      <c r="F455" s="25" t="str">
        <f t="shared" si="7"/>
        <v/>
      </c>
      <c r="G455" s="16"/>
      <c r="H455" s="15"/>
    </row>
    <row r="456" spans="1:8" ht="24.95" customHeight="1" x14ac:dyDescent="0.2">
      <c r="A456" s="16"/>
      <c r="B456" s="16"/>
      <c r="C456" s="16"/>
      <c r="D456" s="16"/>
      <c r="E456" s="16"/>
      <c r="F456" s="25" t="str">
        <f t="shared" si="7"/>
        <v/>
      </c>
      <c r="G456" s="16"/>
      <c r="H456" s="15"/>
    </row>
    <row r="457" spans="1:8" ht="24.95" customHeight="1" x14ac:dyDescent="0.2">
      <c r="A457" s="16"/>
      <c r="B457" s="16"/>
      <c r="C457" s="16"/>
      <c r="D457" s="16"/>
      <c r="E457" s="16"/>
      <c r="F457" s="25" t="str">
        <f t="shared" si="7"/>
        <v/>
      </c>
      <c r="G457" s="16"/>
      <c r="H457" s="15"/>
    </row>
    <row r="458" spans="1:8" ht="24.95" customHeight="1" x14ac:dyDescent="0.2">
      <c r="A458" s="16"/>
      <c r="B458" s="16"/>
      <c r="C458" s="16"/>
      <c r="D458" s="16"/>
      <c r="E458" s="16"/>
      <c r="F458" s="25" t="str">
        <f t="shared" si="7"/>
        <v/>
      </c>
      <c r="G458" s="16"/>
      <c r="H458" s="15"/>
    </row>
    <row r="459" spans="1:8" ht="24.95" customHeight="1" x14ac:dyDescent="0.2">
      <c r="A459" s="16"/>
      <c r="B459" s="16"/>
      <c r="C459" s="16"/>
      <c r="D459" s="16"/>
      <c r="E459" s="16"/>
      <c r="F459" s="25" t="str">
        <f t="shared" si="7"/>
        <v/>
      </c>
      <c r="G459" s="16"/>
      <c r="H459" s="15"/>
    </row>
    <row r="460" spans="1:8" ht="24.95" customHeight="1" x14ac:dyDescent="0.2">
      <c r="A460" s="16"/>
      <c r="B460" s="16"/>
      <c r="C460" s="16"/>
      <c r="D460" s="16"/>
      <c r="E460" s="16"/>
      <c r="F460" s="25" t="str">
        <f t="shared" si="7"/>
        <v/>
      </c>
      <c r="G460" s="16"/>
      <c r="H460" s="15"/>
    </row>
    <row r="461" spans="1:8" ht="24.95" customHeight="1" x14ac:dyDescent="0.2">
      <c r="A461" s="16"/>
      <c r="B461" s="16"/>
      <c r="C461" s="16"/>
      <c r="D461" s="16"/>
      <c r="E461" s="16"/>
      <c r="F461" s="25" t="str">
        <f t="shared" si="7"/>
        <v/>
      </c>
      <c r="G461" s="16"/>
      <c r="H461" s="15"/>
    </row>
    <row r="462" spans="1:8" ht="24.95" customHeight="1" x14ac:dyDescent="0.2">
      <c r="A462" s="16"/>
      <c r="B462" s="16"/>
      <c r="C462" s="16"/>
      <c r="D462" s="16"/>
      <c r="E462" s="16"/>
      <c r="F462" s="25" t="str">
        <f t="shared" si="7"/>
        <v/>
      </c>
      <c r="G462" s="16"/>
      <c r="H462" s="15"/>
    </row>
    <row r="463" spans="1:8" ht="24.95" customHeight="1" x14ac:dyDescent="0.2">
      <c r="A463" s="16"/>
      <c r="B463" s="16"/>
      <c r="C463" s="16"/>
      <c r="D463" s="16"/>
      <c r="E463" s="16"/>
      <c r="F463" s="25" t="str">
        <f t="shared" si="7"/>
        <v/>
      </c>
      <c r="G463" s="16"/>
      <c r="H463" s="15"/>
    </row>
    <row r="464" spans="1:8" ht="24.95" customHeight="1" x14ac:dyDescent="0.2">
      <c r="A464" s="16"/>
      <c r="B464" s="16"/>
      <c r="C464" s="16"/>
      <c r="D464" s="16"/>
      <c r="E464" s="16"/>
      <c r="F464" s="25" t="str">
        <f t="shared" si="7"/>
        <v/>
      </c>
      <c r="G464" s="16"/>
      <c r="H464" s="15"/>
    </row>
    <row r="465" spans="1:8" ht="24.95" customHeight="1" x14ac:dyDescent="0.2">
      <c r="A465" s="16"/>
      <c r="B465" s="16"/>
      <c r="C465" s="16"/>
      <c r="D465" s="16"/>
      <c r="E465" s="16"/>
      <c r="F465" s="25" t="str">
        <f t="shared" si="7"/>
        <v/>
      </c>
      <c r="G465" s="16"/>
      <c r="H465" s="15"/>
    </row>
    <row r="466" spans="1:8" ht="24.95" customHeight="1" x14ac:dyDescent="0.2">
      <c r="A466" s="16"/>
      <c r="B466" s="16"/>
      <c r="C466" s="16"/>
      <c r="D466" s="16"/>
      <c r="E466" s="16"/>
      <c r="F466" s="25" t="str">
        <f t="shared" si="7"/>
        <v/>
      </c>
      <c r="G466" s="16"/>
      <c r="H466" s="15"/>
    </row>
    <row r="467" spans="1:8" ht="24.95" customHeight="1" x14ac:dyDescent="0.2">
      <c r="A467" s="16"/>
      <c r="B467" s="16"/>
      <c r="C467" s="16"/>
      <c r="D467" s="16"/>
      <c r="E467" s="16"/>
      <c r="F467" s="25" t="str">
        <f t="shared" si="7"/>
        <v/>
      </c>
      <c r="G467" s="16"/>
      <c r="H467" s="15"/>
    </row>
    <row r="468" spans="1:8" ht="24.95" customHeight="1" x14ac:dyDescent="0.2">
      <c r="A468" s="16"/>
      <c r="B468" s="16"/>
      <c r="C468" s="16"/>
      <c r="D468" s="16"/>
      <c r="E468" s="16"/>
      <c r="F468" s="25" t="str">
        <f t="shared" si="7"/>
        <v/>
      </c>
      <c r="G468" s="16"/>
      <c r="H468" s="15"/>
    </row>
    <row r="469" spans="1:8" ht="24.95" customHeight="1" x14ac:dyDescent="0.2">
      <c r="A469" s="16"/>
      <c r="B469" s="16"/>
      <c r="C469" s="16"/>
      <c r="D469" s="16"/>
      <c r="E469" s="16"/>
      <c r="F469" s="25" t="str">
        <f t="shared" si="7"/>
        <v/>
      </c>
      <c r="G469" s="16"/>
      <c r="H469" s="15"/>
    </row>
    <row r="470" spans="1:8" ht="24.95" customHeight="1" x14ac:dyDescent="0.2">
      <c r="A470" s="16"/>
      <c r="B470" s="16"/>
      <c r="C470" s="16"/>
      <c r="D470" s="16"/>
      <c r="E470" s="16"/>
      <c r="F470" s="25" t="str">
        <f t="shared" si="7"/>
        <v/>
      </c>
      <c r="G470" s="16"/>
      <c r="H470" s="15"/>
    </row>
    <row r="471" spans="1:8" ht="24.95" customHeight="1" x14ac:dyDescent="0.2">
      <c r="A471" s="16"/>
      <c r="B471" s="16"/>
      <c r="C471" s="16"/>
      <c r="D471" s="16"/>
      <c r="E471" s="16"/>
      <c r="F471" s="25" t="str">
        <f t="shared" si="7"/>
        <v/>
      </c>
      <c r="G471" s="16"/>
      <c r="H471" s="15"/>
    </row>
    <row r="472" spans="1:8" ht="24.95" customHeight="1" x14ac:dyDescent="0.2">
      <c r="A472" s="16"/>
      <c r="B472" s="16"/>
      <c r="C472" s="16"/>
      <c r="D472" s="16"/>
      <c r="E472" s="16"/>
      <c r="F472" s="25" t="str">
        <f t="shared" si="7"/>
        <v/>
      </c>
      <c r="G472" s="16"/>
      <c r="H472" s="15"/>
    </row>
    <row r="473" spans="1:8" ht="24.95" customHeight="1" x14ac:dyDescent="0.2">
      <c r="A473" s="16"/>
      <c r="B473" s="16"/>
      <c r="C473" s="16"/>
      <c r="D473" s="16"/>
      <c r="E473" s="16"/>
      <c r="F473" s="25" t="str">
        <f t="shared" si="7"/>
        <v/>
      </c>
      <c r="G473" s="16"/>
      <c r="H473" s="15"/>
    </row>
    <row r="474" spans="1:8" ht="24.95" customHeight="1" x14ac:dyDescent="0.2">
      <c r="A474" s="16"/>
      <c r="B474" s="16"/>
      <c r="C474" s="16"/>
      <c r="D474" s="16"/>
      <c r="E474" s="16"/>
      <c r="F474" s="25" t="str">
        <f t="shared" si="7"/>
        <v/>
      </c>
      <c r="G474" s="16"/>
      <c r="H474" s="15"/>
    </row>
    <row r="475" spans="1:8" ht="24.95" customHeight="1" x14ac:dyDescent="0.2">
      <c r="A475" s="16"/>
      <c r="B475" s="16"/>
      <c r="C475" s="16"/>
      <c r="D475" s="16"/>
      <c r="E475" s="16"/>
      <c r="F475" s="25" t="str">
        <f t="shared" si="7"/>
        <v/>
      </c>
      <c r="G475" s="16"/>
      <c r="H475" s="15"/>
    </row>
    <row r="476" spans="1:8" ht="24.95" customHeight="1" x14ac:dyDescent="0.2">
      <c r="A476" s="16"/>
      <c r="B476" s="16"/>
      <c r="C476" s="16"/>
      <c r="D476" s="16"/>
      <c r="E476" s="16"/>
      <c r="F476" s="25" t="str">
        <f t="shared" si="7"/>
        <v/>
      </c>
      <c r="G476" s="16"/>
      <c r="H476" s="15"/>
    </row>
    <row r="477" spans="1:8" ht="24.95" customHeight="1" x14ac:dyDescent="0.2">
      <c r="A477" s="16"/>
      <c r="B477" s="16"/>
      <c r="C477" s="16"/>
      <c r="D477" s="16"/>
      <c r="E477" s="16"/>
      <c r="F477" s="25" t="str">
        <f t="shared" si="7"/>
        <v/>
      </c>
      <c r="G477" s="16"/>
      <c r="H477" s="15"/>
    </row>
    <row r="478" spans="1:8" ht="24.95" customHeight="1" x14ac:dyDescent="0.2">
      <c r="A478" s="16"/>
      <c r="B478" s="16"/>
      <c r="C478" s="16"/>
      <c r="D478" s="16"/>
      <c r="E478" s="16"/>
      <c r="F478" s="25" t="str">
        <f t="shared" si="7"/>
        <v/>
      </c>
      <c r="G478" s="16"/>
      <c r="H478" s="15"/>
    </row>
    <row r="479" spans="1:8" ht="24.95" customHeight="1" x14ac:dyDescent="0.2">
      <c r="A479" s="16"/>
      <c r="B479" s="16"/>
      <c r="C479" s="16"/>
      <c r="D479" s="16"/>
      <c r="E479" s="16"/>
      <c r="F479" s="25" t="str">
        <f t="shared" si="7"/>
        <v/>
      </c>
      <c r="G479" s="16"/>
      <c r="H479" s="15"/>
    </row>
    <row r="480" spans="1:8" ht="24.95" customHeight="1" x14ac:dyDescent="0.2">
      <c r="A480" s="16"/>
      <c r="B480" s="16"/>
      <c r="C480" s="16"/>
      <c r="D480" s="16"/>
      <c r="E480" s="16"/>
      <c r="F480" s="25" t="str">
        <f t="shared" si="7"/>
        <v/>
      </c>
      <c r="G480" s="16"/>
      <c r="H480" s="15"/>
    </row>
    <row r="481" spans="1:8" ht="24.95" customHeight="1" x14ac:dyDescent="0.2">
      <c r="A481" s="16"/>
      <c r="B481" s="16"/>
      <c r="C481" s="16"/>
      <c r="D481" s="16"/>
      <c r="E481" s="16"/>
      <c r="F481" s="25" t="str">
        <f t="shared" si="7"/>
        <v/>
      </c>
      <c r="G481" s="16"/>
      <c r="H481" s="15"/>
    </row>
    <row r="482" spans="1:8" ht="24.95" customHeight="1" x14ac:dyDescent="0.2">
      <c r="A482" s="16"/>
      <c r="B482" s="16"/>
      <c r="C482" s="16"/>
      <c r="D482" s="16"/>
      <c r="E482" s="16"/>
      <c r="F482" s="25" t="str">
        <f t="shared" si="7"/>
        <v/>
      </c>
      <c r="G482" s="16"/>
      <c r="H482" s="15"/>
    </row>
    <row r="483" spans="1:8" ht="24.95" customHeight="1" x14ac:dyDescent="0.2">
      <c r="A483" s="16"/>
      <c r="B483" s="16"/>
      <c r="C483" s="16"/>
      <c r="D483" s="16"/>
      <c r="E483" s="16"/>
      <c r="F483" s="25" t="str">
        <f t="shared" si="7"/>
        <v/>
      </c>
      <c r="G483" s="16"/>
      <c r="H483" s="15"/>
    </row>
    <row r="484" spans="1:8" ht="24.95" customHeight="1" x14ac:dyDescent="0.2">
      <c r="A484" s="16"/>
      <c r="B484" s="16"/>
      <c r="C484" s="16"/>
      <c r="D484" s="16"/>
      <c r="E484" s="16"/>
      <c r="F484" s="25" t="str">
        <f t="shared" si="7"/>
        <v/>
      </c>
      <c r="G484" s="16"/>
      <c r="H484" s="15"/>
    </row>
    <row r="485" spans="1:8" ht="24.95" customHeight="1" x14ac:dyDescent="0.2">
      <c r="A485" s="16"/>
      <c r="B485" s="16"/>
      <c r="C485" s="16"/>
      <c r="D485" s="16"/>
      <c r="E485" s="16"/>
      <c r="F485" s="25" t="str">
        <f t="shared" si="7"/>
        <v/>
      </c>
      <c r="G485" s="16"/>
      <c r="H485" s="15"/>
    </row>
    <row r="486" spans="1:8" ht="24.95" customHeight="1" x14ac:dyDescent="0.2">
      <c r="A486" s="16"/>
      <c r="B486" s="16"/>
      <c r="C486" s="16"/>
      <c r="D486" s="16"/>
      <c r="E486" s="16"/>
      <c r="F486" s="25" t="str">
        <f t="shared" si="7"/>
        <v/>
      </c>
      <c r="G486" s="16"/>
      <c r="H486" s="15"/>
    </row>
    <row r="487" spans="1:8" ht="24.95" customHeight="1" x14ac:dyDescent="0.2">
      <c r="A487" s="16"/>
      <c r="B487" s="16"/>
      <c r="C487" s="16"/>
      <c r="D487" s="16"/>
      <c r="E487" s="16"/>
      <c r="F487" s="25" t="str">
        <f t="shared" si="7"/>
        <v/>
      </c>
      <c r="G487" s="16"/>
      <c r="H487" s="15"/>
    </row>
    <row r="488" spans="1:8" ht="24.95" customHeight="1" x14ac:dyDescent="0.2">
      <c r="A488" s="16"/>
      <c r="B488" s="16"/>
      <c r="C488" s="16"/>
      <c r="D488" s="16"/>
      <c r="E488" s="16"/>
      <c r="F488" s="25" t="str">
        <f t="shared" si="7"/>
        <v/>
      </c>
      <c r="G488" s="16"/>
      <c r="H488" s="15"/>
    </row>
    <row r="489" spans="1:8" ht="24.95" customHeight="1" x14ac:dyDescent="0.2">
      <c r="A489" s="16"/>
      <c r="B489" s="16"/>
      <c r="C489" s="16"/>
      <c r="D489" s="16"/>
      <c r="E489" s="16"/>
      <c r="F489" s="25" t="str">
        <f t="shared" si="7"/>
        <v/>
      </c>
      <c r="G489" s="16"/>
      <c r="H489" s="15"/>
    </row>
    <row r="490" spans="1:8" ht="24.95" customHeight="1" x14ac:dyDescent="0.2">
      <c r="A490" s="16"/>
      <c r="B490" s="16"/>
      <c r="C490" s="16"/>
      <c r="D490" s="16"/>
      <c r="E490" s="16"/>
      <c r="F490" s="25" t="str">
        <f t="shared" si="7"/>
        <v/>
      </c>
      <c r="G490" s="16"/>
      <c r="H490" s="15"/>
    </row>
    <row r="491" spans="1:8" ht="24.95" customHeight="1" x14ac:dyDescent="0.2">
      <c r="A491" s="16"/>
      <c r="B491" s="16"/>
      <c r="C491" s="16"/>
      <c r="D491" s="16"/>
      <c r="E491" s="16"/>
      <c r="F491" s="25" t="str">
        <f t="shared" si="7"/>
        <v/>
      </c>
      <c r="G491" s="16"/>
      <c r="H491" s="15"/>
    </row>
    <row r="492" spans="1:8" ht="24.95" customHeight="1" x14ac:dyDescent="0.2">
      <c r="A492" s="16"/>
      <c r="B492" s="16"/>
      <c r="C492" s="16"/>
      <c r="D492" s="16"/>
      <c r="E492" s="16"/>
      <c r="F492" s="25" t="str">
        <f t="shared" si="7"/>
        <v/>
      </c>
      <c r="G492" s="16"/>
      <c r="H492" s="15"/>
    </row>
    <row r="493" spans="1:8" ht="24.95" customHeight="1" x14ac:dyDescent="0.2">
      <c r="A493" s="16"/>
      <c r="B493" s="16"/>
      <c r="C493" s="16"/>
      <c r="D493" s="16"/>
      <c r="E493" s="16"/>
      <c r="F493" s="25" t="str">
        <f t="shared" si="7"/>
        <v/>
      </c>
      <c r="G493" s="16"/>
      <c r="H493" s="15"/>
    </row>
    <row r="494" spans="1:8" ht="24.95" customHeight="1" x14ac:dyDescent="0.2">
      <c r="A494" s="16"/>
      <c r="B494" s="16"/>
      <c r="C494" s="16"/>
      <c r="D494" s="16"/>
      <c r="E494" s="16"/>
      <c r="F494" s="25" t="str">
        <f t="shared" si="7"/>
        <v/>
      </c>
      <c r="G494" s="16"/>
      <c r="H494" s="15"/>
    </row>
    <row r="495" spans="1:8" ht="24.95" customHeight="1" x14ac:dyDescent="0.2">
      <c r="A495" s="16"/>
      <c r="B495" s="16"/>
      <c r="C495" s="16"/>
      <c r="D495" s="16"/>
      <c r="E495" s="16"/>
      <c r="F495" s="25" t="str">
        <f t="shared" si="7"/>
        <v/>
      </c>
      <c r="G495" s="16"/>
      <c r="H495" s="15"/>
    </row>
    <row r="496" spans="1:8" ht="24.95" customHeight="1" x14ac:dyDescent="0.2">
      <c r="A496" s="16"/>
      <c r="B496" s="16"/>
      <c r="C496" s="16"/>
      <c r="D496" s="16"/>
      <c r="E496" s="16"/>
      <c r="F496" s="25" t="str">
        <f t="shared" si="7"/>
        <v/>
      </c>
      <c r="G496" s="16"/>
      <c r="H496" s="15"/>
    </row>
    <row r="497" spans="1:8" ht="24.95" customHeight="1" x14ac:dyDescent="0.2">
      <c r="A497" s="16"/>
      <c r="B497" s="16"/>
      <c r="C497" s="16"/>
      <c r="D497" s="16"/>
      <c r="E497" s="16"/>
      <c r="F497" s="25" t="str">
        <f t="shared" si="7"/>
        <v/>
      </c>
      <c r="G497" s="16"/>
      <c r="H497" s="15"/>
    </row>
    <row r="498" spans="1:8" ht="24.95" customHeight="1" x14ac:dyDescent="0.2">
      <c r="A498" s="16"/>
      <c r="B498" s="16"/>
      <c r="C498" s="16"/>
      <c r="D498" s="16"/>
      <c r="E498" s="16"/>
      <c r="F498" s="25" t="str">
        <f t="shared" si="7"/>
        <v/>
      </c>
      <c r="G498" s="16"/>
      <c r="H498" s="15"/>
    </row>
    <row r="499" spans="1:8" ht="24.95" customHeight="1" x14ac:dyDescent="0.2">
      <c r="A499" s="16"/>
      <c r="B499" s="16"/>
      <c r="C499" s="16"/>
      <c r="D499" s="16"/>
      <c r="E499" s="16"/>
      <c r="F499" s="25" t="str">
        <f t="shared" si="7"/>
        <v/>
      </c>
      <c r="G499" s="16"/>
      <c r="H499" s="15"/>
    </row>
    <row r="500" spans="1:8" ht="24.95" customHeight="1" x14ac:dyDescent="0.2">
      <c r="A500" s="16"/>
      <c r="B500" s="16"/>
      <c r="C500" s="16"/>
      <c r="D500" s="16"/>
      <c r="E500" s="16"/>
      <c r="F500" s="25" t="str">
        <f t="shared" si="7"/>
        <v/>
      </c>
      <c r="G500" s="16"/>
      <c r="H500" s="15"/>
    </row>
    <row r="501" spans="1:8" ht="24.95" customHeight="1" x14ac:dyDescent="0.2">
      <c r="A501" s="16"/>
      <c r="B501" s="16"/>
      <c r="C501" s="16"/>
      <c r="D501" s="16"/>
      <c r="E501" s="16"/>
      <c r="F501" s="25" t="str">
        <f t="shared" si="7"/>
        <v/>
      </c>
      <c r="G501" s="16"/>
      <c r="H501" s="15"/>
    </row>
    <row r="502" spans="1:8" ht="24.95" customHeight="1" x14ac:dyDescent="0.2">
      <c r="A502" s="16"/>
      <c r="B502" s="16"/>
      <c r="C502" s="16"/>
      <c r="D502" s="16"/>
      <c r="E502" s="16"/>
      <c r="F502" s="25" t="str">
        <f t="shared" si="7"/>
        <v/>
      </c>
      <c r="G502" s="16"/>
      <c r="H502" s="15"/>
    </row>
    <row r="503" spans="1:8" ht="24.95" customHeight="1" x14ac:dyDescent="0.2"/>
    <row r="504" spans="1:8" ht="24.95" customHeight="1" x14ac:dyDescent="0.2"/>
    <row r="505" spans="1:8" ht="24.95" customHeight="1" x14ac:dyDescent="0.2"/>
    <row r="506" spans="1:8" ht="24.95" customHeight="1" x14ac:dyDescent="0.2"/>
    <row r="507" spans="1:8" ht="24.95" customHeight="1" x14ac:dyDescent="0.2"/>
    <row r="508" spans="1:8" ht="24.95" customHeight="1" x14ac:dyDescent="0.2"/>
    <row r="509" spans="1:8" ht="24.95" customHeight="1" x14ac:dyDescent="0.2"/>
    <row r="510" spans="1:8" ht="24.95" customHeight="1" x14ac:dyDescent="0.2"/>
    <row r="511" spans="1:8" ht="24.95" customHeight="1" x14ac:dyDescent="0.2"/>
    <row r="512" spans="1:8" ht="24.95" customHeight="1" x14ac:dyDescent="0.2"/>
    <row r="513" ht="24.95" customHeight="1" x14ac:dyDescent="0.2"/>
    <row r="514" ht="24.95" customHeight="1" x14ac:dyDescent="0.2"/>
    <row r="515" ht="24.95" customHeight="1" x14ac:dyDescent="0.2"/>
    <row r="516" ht="24.95" customHeight="1" x14ac:dyDescent="0.2"/>
    <row r="517" ht="24.95" customHeight="1" x14ac:dyDescent="0.2"/>
    <row r="518" ht="24.95" customHeight="1" x14ac:dyDescent="0.2"/>
    <row r="519" ht="24.95" customHeight="1" x14ac:dyDescent="0.2"/>
    <row r="520" ht="24.95" customHeight="1" x14ac:dyDescent="0.2"/>
    <row r="521" ht="24.95" customHeight="1" x14ac:dyDescent="0.2"/>
    <row r="522" ht="24.95" customHeight="1" x14ac:dyDescent="0.2"/>
    <row r="523" ht="24.95" customHeight="1" x14ac:dyDescent="0.2"/>
    <row r="524" ht="24.95" customHeight="1" x14ac:dyDescent="0.2"/>
    <row r="525" ht="24.95" customHeight="1" x14ac:dyDescent="0.2"/>
    <row r="526" ht="24.95" customHeight="1" x14ac:dyDescent="0.2"/>
    <row r="527" ht="24.95" customHeight="1" x14ac:dyDescent="0.2"/>
    <row r="528" ht="24.95" customHeight="1" x14ac:dyDescent="0.2"/>
    <row r="529" ht="24.95" customHeight="1" x14ac:dyDescent="0.2"/>
    <row r="530" ht="24.95" customHeight="1" x14ac:dyDescent="0.2"/>
    <row r="531" ht="24.95" customHeight="1" x14ac:dyDescent="0.2"/>
    <row r="532" ht="24.95" customHeight="1" x14ac:dyDescent="0.2"/>
    <row r="533" ht="24.95" customHeight="1" x14ac:dyDescent="0.2"/>
    <row r="534" ht="24.95" customHeight="1" x14ac:dyDescent="0.2"/>
    <row r="535" ht="24.95" customHeight="1" x14ac:dyDescent="0.2"/>
    <row r="536" ht="24.95" customHeight="1" x14ac:dyDescent="0.2"/>
    <row r="537" ht="24.95" customHeight="1" x14ac:dyDescent="0.2"/>
    <row r="538" ht="24.95" customHeight="1" x14ac:dyDescent="0.2"/>
    <row r="539" ht="24.95" customHeight="1" x14ac:dyDescent="0.2"/>
    <row r="540" ht="24.95" customHeight="1" x14ac:dyDescent="0.2"/>
    <row r="541" ht="24.95" customHeight="1" x14ac:dyDescent="0.2"/>
    <row r="542" ht="24.95" customHeight="1" x14ac:dyDescent="0.2"/>
    <row r="543" ht="24.95" customHeight="1" x14ac:dyDescent="0.2"/>
    <row r="544" ht="24.95" customHeight="1" x14ac:dyDescent="0.2"/>
    <row r="545" ht="24.95" customHeight="1" x14ac:dyDescent="0.2"/>
    <row r="546" ht="24.95" customHeight="1" x14ac:dyDescent="0.2"/>
    <row r="547" ht="24.95" customHeight="1" x14ac:dyDescent="0.2"/>
    <row r="548" ht="24.95" customHeight="1" x14ac:dyDescent="0.2"/>
    <row r="549" ht="24.95" customHeight="1" x14ac:dyDescent="0.2"/>
    <row r="550" ht="24.95" customHeight="1" x14ac:dyDescent="0.2"/>
    <row r="551" ht="24.95" customHeight="1" x14ac:dyDescent="0.2"/>
    <row r="552" ht="24.95" customHeight="1" x14ac:dyDescent="0.2"/>
    <row r="553" ht="24.95" customHeight="1" x14ac:dyDescent="0.2"/>
    <row r="554" ht="24.95" customHeight="1" x14ac:dyDescent="0.2"/>
    <row r="555" ht="24.95" customHeight="1" x14ac:dyDescent="0.2"/>
    <row r="556" ht="24.95" customHeight="1" x14ac:dyDescent="0.2"/>
    <row r="557" ht="24.95" customHeight="1" x14ac:dyDescent="0.2"/>
    <row r="558" ht="24.95" customHeight="1" x14ac:dyDescent="0.2"/>
    <row r="559" ht="24.95" customHeight="1" x14ac:dyDescent="0.2"/>
    <row r="560" ht="24.95" customHeight="1" x14ac:dyDescent="0.2"/>
    <row r="561" ht="24.95" customHeight="1" x14ac:dyDescent="0.2"/>
    <row r="562" ht="24.95" customHeight="1" x14ac:dyDescent="0.2"/>
    <row r="563" ht="24.95" customHeight="1" x14ac:dyDescent="0.2"/>
    <row r="564" ht="24.95" customHeight="1" x14ac:dyDescent="0.2"/>
    <row r="565" ht="24.95" customHeight="1" x14ac:dyDescent="0.2"/>
    <row r="566" ht="24.95" customHeight="1" x14ac:dyDescent="0.2"/>
    <row r="567" ht="24.95" customHeight="1" x14ac:dyDescent="0.2"/>
    <row r="568" ht="24.95" customHeight="1" x14ac:dyDescent="0.2"/>
    <row r="569" ht="24.95" customHeight="1" x14ac:dyDescent="0.2"/>
    <row r="570" ht="24.95" customHeight="1" x14ac:dyDescent="0.2"/>
    <row r="571" ht="24.95" customHeight="1" x14ac:dyDescent="0.2"/>
    <row r="572" ht="24.95" customHeight="1" x14ac:dyDescent="0.2"/>
    <row r="573" ht="24.95" customHeight="1" x14ac:dyDescent="0.2"/>
    <row r="574" ht="24.95" customHeight="1" x14ac:dyDescent="0.2"/>
    <row r="575" ht="24.95" customHeight="1" x14ac:dyDescent="0.2"/>
    <row r="576" ht="24.95" customHeight="1" x14ac:dyDescent="0.2"/>
    <row r="577" ht="24.95" customHeight="1" x14ac:dyDescent="0.2"/>
    <row r="578" ht="24.95" customHeight="1" x14ac:dyDescent="0.2"/>
    <row r="579" ht="24.95" customHeight="1" x14ac:dyDescent="0.2"/>
    <row r="580" ht="24.95" customHeight="1" x14ac:dyDescent="0.2"/>
    <row r="581" ht="24.95" customHeight="1" x14ac:dyDescent="0.2"/>
    <row r="582" ht="24.95" customHeight="1" x14ac:dyDescent="0.2"/>
    <row r="583" ht="24.95" customHeight="1" x14ac:dyDescent="0.2"/>
    <row r="584" ht="24.95" customHeight="1" x14ac:dyDescent="0.2"/>
    <row r="585" ht="24.95" customHeight="1" x14ac:dyDescent="0.2"/>
    <row r="586" ht="24.95" customHeight="1" x14ac:dyDescent="0.2"/>
    <row r="587" ht="24.95" customHeight="1" x14ac:dyDescent="0.2"/>
    <row r="588" ht="24.95" customHeight="1" x14ac:dyDescent="0.2"/>
    <row r="589" ht="24.95" customHeight="1" x14ac:dyDescent="0.2"/>
    <row r="590" ht="24.95" customHeight="1" x14ac:dyDescent="0.2"/>
    <row r="591" ht="24.95" customHeight="1" x14ac:dyDescent="0.2"/>
    <row r="592" ht="24.95" customHeight="1" x14ac:dyDescent="0.2"/>
    <row r="593" ht="24.95" customHeight="1" x14ac:dyDescent="0.2"/>
    <row r="594" ht="24.95" customHeight="1" x14ac:dyDescent="0.2"/>
    <row r="595" ht="24.95" customHeight="1" x14ac:dyDescent="0.2"/>
    <row r="596" ht="24.95" customHeight="1" x14ac:dyDescent="0.2"/>
    <row r="597" ht="24.95" customHeight="1" x14ac:dyDescent="0.2"/>
    <row r="598" ht="24.95" customHeight="1" x14ac:dyDescent="0.2"/>
    <row r="599" ht="24.95" customHeight="1" x14ac:dyDescent="0.2"/>
    <row r="600" ht="24.95" customHeight="1" x14ac:dyDescent="0.2"/>
    <row r="601" ht="24.95" customHeight="1" x14ac:dyDescent="0.2"/>
    <row r="602" ht="24.95" customHeight="1" x14ac:dyDescent="0.2"/>
    <row r="603" ht="24.95" customHeight="1" x14ac:dyDescent="0.2"/>
    <row r="604" ht="24.95" customHeight="1" x14ac:dyDescent="0.2"/>
    <row r="605" ht="24.95" customHeight="1" x14ac:dyDescent="0.2"/>
    <row r="606" ht="24.95" customHeight="1" x14ac:dyDescent="0.2"/>
    <row r="607" ht="24.95" customHeight="1" x14ac:dyDescent="0.2"/>
    <row r="608" ht="24.95" customHeight="1" x14ac:dyDescent="0.2"/>
    <row r="609" ht="24.95" customHeight="1" x14ac:dyDescent="0.2"/>
    <row r="610" ht="24.95" customHeight="1" x14ac:dyDescent="0.2"/>
    <row r="611" ht="24.95" customHeight="1" x14ac:dyDescent="0.2"/>
    <row r="612" ht="24.95" customHeight="1" x14ac:dyDescent="0.2"/>
  </sheetData>
  <sheetProtection autoFilter="0"/>
  <autoFilter ref="A2:G502" xr:uid="{00000000-0009-0000-0000-000000000000}">
    <sortState xmlns:xlrd2="http://schemas.microsoft.com/office/spreadsheetml/2017/richdata2" ref="A3:G502">
      <sortCondition ref="A2:A502"/>
    </sortState>
  </autoFilter>
  <mergeCells count="31">
    <mergeCell ref="N39:AA39"/>
    <mergeCell ref="A1:G1"/>
    <mergeCell ref="L15:L17"/>
    <mergeCell ref="K1:L1"/>
    <mergeCell ref="L5:L6"/>
    <mergeCell ref="L7:L8"/>
    <mergeCell ref="L9:L10"/>
    <mergeCell ref="L11:L12"/>
    <mergeCell ref="L13:L14"/>
    <mergeCell ref="K13:K14"/>
    <mergeCell ref="K15:K17"/>
    <mergeCell ref="K5:K6"/>
    <mergeCell ref="K7:K8"/>
    <mergeCell ref="K9:K10"/>
    <mergeCell ref="K11:K12"/>
    <mergeCell ref="M1:N2"/>
    <mergeCell ref="M5:M6"/>
    <mergeCell ref="M7:M8"/>
    <mergeCell ref="M9:M10"/>
    <mergeCell ref="J5:J17"/>
    <mergeCell ref="N5:N6"/>
    <mergeCell ref="N7:N8"/>
    <mergeCell ref="N9:N10"/>
    <mergeCell ref="N11:N12"/>
    <mergeCell ref="N13:N14"/>
    <mergeCell ref="J18:N18"/>
    <mergeCell ref="J19:N19"/>
    <mergeCell ref="M11:M12"/>
    <mergeCell ref="M13:M14"/>
    <mergeCell ref="M15:M17"/>
    <mergeCell ref="N15:N17"/>
  </mergeCells>
  <phoneticPr fontId="7" type="noConversion"/>
  <dataValidations disablePrompts="1" count="2">
    <dataValidation type="list" allowBlank="1" showInputMessage="1" showErrorMessage="1" sqref="C3:C502" xr:uid="{00000000-0002-0000-0000-000000000000}">
      <formula1>"CABOS, DIVERSOS, QUÍMICO, FOGO, PLUGUES, ELETRODOMÉSTICO"</formula1>
    </dataValidation>
    <dataValidation type="list" allowBlank="1" showInputMessage="1" showErrorMessage="1" sqref="D3:E502" xr:uid="{6BC15FD2-593A-4D36-9D39-601767B7FE16}">
      <formula1>"Sim,Não"</formula1>
    </dataValidation>
  </dataValidations>
  <pageMargins left="0.7" right="0.7" top="0.75" bottom="0.75" header="0.3" footer="0.3"/>
  <pageSetup paperSize="9" scale="10" orientation="landscape" r:id="rId1"/>
  <ignoredErrors>
    <ignoredError sqref="N4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7" tint="0.59999389629810485"/>
    <pageSetUpPr fitToPage="1"/>
  </sheetPr>
  <dimension ref="A1:R11"/>
  <sheetViews>
    <sheetView zoomScaleNormal="100" workbookViewId="0">
      <selection activeCell="A25" sqref="A25:XFD25"/>
    </sheetView>
  </sheetViews>
  <sheetFormatPr defaultRowHeight="15" x14ac:dyDescent="0.25"/>
  <cols>
    <col min="1" max="4" width="25.7109375" customWidth="1"/>
    <col min="6" max="6" width="9.85546875" bestFit="1" customWidth="1"/>
    <col min="7" max="18" width="4.7109375" customWidth="1"/>
  </cols>
  <sheetData>
    <row r="1" spans="1:18" ht="45" customHeight="1" x14ac:dyDescent="0.25">
      <c r="A1" s="143" t="s">
        <v>39</v>
      </c>
      <c r="B1" s="144"/>
      <c r="C1" s="144"/>
      <c r="D1" s="144"/>
      <c r="E1" s="145"/>
    </row>
    <row r="2" spans="1:18" ht="45" customHeight="1" x14ac:dyDescent="0.25">
      <c r="A2" s="1" t="s">
        <v>6</v>
      </c>
      <c r="B2" s="1" t="s">
        <v>16</v>
      </c>
      <c r="C2" s="1" t="s">
        <v>17</v>
      </c>
      <c r="D2" s="1" t="s">
        <v>18</v>
      </c>
      <c r="E2" s="1" t="s">
        <v>32</v>
      </c>
    </row>
    <row r="3" spans="1:18" ht="45" customHeight="1" x14ac:dyDescent="0.25">
      <c r="A3" s="3">
        <v>9</v>
      </c>
      <c r="B3" s="3">
        <v>14</v>
      </c>
      <c r="C3" s="3">
        <v>7</v>
      </c>
      <c r="D3" s="3">
        <v>15</v>
      </c>
      <c r="E3" s="146">
        <f>SUM(A3:D3)</f>
        <v>45</v>
      </c>
    </row>
    <row r="4" spans="1:18" ht="45" customHeight="1" x14ac:dyDescent="0.25">
      <c r="A4" s="20">
        <f>SUM(A3/E3)</f>
        <v>0.2</v>
      </c>
      <c r="B4" s="20">
        <f>SUM(B3/E3)</f>
        <v>0.31111111111111112</v>
      </c>
      <c r="C4" s="20">
        <f>SUM(C3/E3)</f>
        <v>0.15555555555555556</v>
      </c>
      <c r="D4" s="20">
        <f>SUM(D3/E3)</f>
        <v>0.33333333333333331</v>
      </c>
      <c r="E4" s="147"/>
    </row>
    <row r="6" spans="1:18" x14ac:dyDescent="0.25">
      <c r="F6" s="148" t="s">
        <v>56</v>
      </c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50"/>
    </row>
    <row r="7" spans="1:18" x14ac:dyDescent="0.25">
      <c r="F7" s="42" t="s">
        <v>41</v>
      </c>
      <c r="G7" s="42" t="s">
        <v>42</v>
      </c>
      <c r="H7" s="42" t="s">
        <v>43</v>
      </c>
      <c r="I7" s="42" t="s">
        <v>44</v>
      </c>
      <c r="J7" s="42" t="s">
        <v>45</v>
      </c>
      <c r="K7" s="42" t="s">
        <v>46</v>
      </c>
      <c r="L7" s="42" t="s">
        <v>47</v>
      </c>
      <c r="M7" s="42" t="s">
        <v>48</v>
      </c>
      <c r="N7" s="42" t="s">
        <v>49</v>
      </c>
      <c r="O7" s="42" t="s">
        <v>50</v>
      </c>
      <c r="P7" s="42" t="s">
        <v>51</v>
      </c>
      <c r="Q7" s="42" t="s">
        <v>52</v>
      </c>
      <c r="R7" s="42" t="s">
        <v>53</v>
      </c>
    </row>
    <row r="8" spans="1:18" x14ac:dyDescent="0.25">
      <c r="F8" s="42" t="s">
        <v>54</v>
      </c>
      <c r="G8" s="43">
        <v>5</v>
      </c>
      <c r="H8" s="43">
        <v>10</v>
      </c>
      <c r="I8" s="43">
        <v>2</v>
      </c>
      <c r="J8" s="43">
        <v>6</v>
      </c>
      <c r="K8" s="43">
        <v>11</v>
      </c>
      <c r="L8" s="43">
        <v>9</v>
      </c>
      <c r="M8" s="43"/>
      <c r="N8" s="43"/>
      <c r="O8" s="43"/>
      <c r="P8" s="43"/>
      <c r="Q8" s="43"/>
      <c r="R8" s="43"/>
    </row>
    <row r="9" spans="1:18" x14ac:dyDescent="0.25">
      <c r="F9" s="42" t="s">
        <v>55</v>
      </c>
      <c r="G9" s="43">
        <v>10</v>
      </c>
      <c r="H9" s="43">
        <v>7</v>
      </c>
      <c r="I9" s="43">
        <v>16</v>
      </c>
      <c r="J9" s="43">
        <v>4</v>
      </c>
      <c r="K9" s="43">
        <v>12</v>
      </c>
      <c r="L9" s="43">
        <v>14</v>
      </c>
      <c r="M9" s="43"/>
      <c r="N9" s="43"/>
      <c r="O9" s="43"/>
      <c r="P9" s="43"/>
      <c r="Q9" s="43"/>
      <c r="R9" s="43"/>
    </row>
    <row r="10" spans="1:18" x14ac:dyDescent="0.25">
      <c r="F10" s="42" t="s">
        <v>57</v>
      </c>
      <c r="G10" s="43">
        <v>22</v>
      </c>
      <c r="H10" s="43">
        <v>6</v>
      </c>
      <c r="I10" s="43">
        <v>2</v>
      </c>
      <c r="J10" s="43">
        <v>3</v>
      </c>
      <c r="K10" s="43">
        <v>2</v>
      </c>
      <c r="L10" s="43">
        <v>7</v>
      </c>
      <c r="M10" s="43"/>
      <c r="N10" s="43"/>
      <c r="O10" s="43"/>
      <c r="P10" s="43"/>
      <c r="Q10" s="43"/>
      <c r="R10" s="43"/>
    </row>
    <row r="11" spans="1:18" x14ac:dyDescent="0.25">
      <c r="F11" s="42" t="s">
        <v>58</v>
      </c>
      <c r="G11" s="43">
        <v>14</v>
      </c>
      <c r="H11" s="43">
        <v>10</v>
      </c>
      <c r="I11" s="43">
        <v>13</v>
      </c>
      <c r="J11" s="43">
        <v>8</v>
      </c>
      <c r="K11" s="43">
        <v>9</v>
      </c>
      <c r="L11" s="43">
        <v>15</v>
      </c>
      <c r="M11" s="43"/>
      <c r="N11" s="43"/>
      <c r="O11" s="43"/>
      <c r="P11" s="43"/>
      <c r="Q11" s="43"/>
      <c r="R11" s="43"/>
    </row>
  </sheetData>
  <mergeCells count="3">
    <mergeCell ref="A1:E1"/>
    <mergeCell ref="E3:E4"/>
    <mergeCell ref="F6:R6"/>
  </mergeCells>
  <phoneticPr fontId="7" type="noConversion"/>
  <pageMargins left="0.511811024" right="0.511811024" top="0.78740157499999996" bottom="0.78740157499999996" header="0.31496062000000002" footer="0.31496062000000002"/>
  <pageSetup paperSize="9" scale="76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4" tint="0.59999389629810485"/>
    <pageSetUpPr fitToPage="1"/>
  </sheetPr>
  <dimension ref="A1:S70"/>
  <sheetViews>
    <sheetView zoomScaleNormal="100" workbookViewId="0">
      <selection activeCell="F2" sqref="F2"/>
    </sheetView>
  </sheetViews>
  <sheetFormatPr defaultRowHeight="15" x14ac:dyDescent="0.25"/>
  <cols>
    <col min="2" max="5" width="25.7109375" customWidth="1"/>
  </cols>
  <sheetData>
    <row r="1" spans="1:19" ht="45" customHeight="1" x14ac:dyDescent="0.25">
      <c r="A1" s="151" t="s">
        <v>15</v>
      </c>
      <c r="B1" s="151"/>
      <c r="C1" s="151"/>
      <c r="D1" s="151"/>
      <c r="E1" s="151"/>
      <c r="F1" s="151"/>
    </row>
    <row r="2" spans="1:19" ht="45" customHeight="1" x14ac:dyDescent="0.25">
      <c r="A2" s="6" t="s">
        <v>29</v>
      </c>
      <c r="B2" s="6" t="s">
        <v>19</v>
      </c>
      <c r="C2" s="6" t="s">
        <v>20</v>
      </c>
      <c r="D2" s="6" t="s">
        <v>21</v>
      </c>
      <c r="E2" s="6" t="s">
        <v>66</v>
      </c>
      <c r="F2" s="6" t="s">
        <v>32</v>
      </c>
    </row>
    <row r="3" spans="1:19" ht="45" customHeight="1" x14ac:dyDescent="0.25">
      <c r="A3" s="6" t="s">
        <v>30</v>
      </c>
      <c r="B3" s="23">
        <v>100</v>
      </c>
      <c r="C3" s="23">
        <v>59</v>
      </c>
      <c r="D3" s="23">
        <v>61</v>
      </c>
      <c r="E3" s="23">
        <v>81</v>
      </c>
      <c r="F3" s="5">
        <f>SUM(B3:E3)</f>
        <v>301</v>
      </c>
    </row>
    <row r="4" spans="1:19" ht="45" customHeight="1" x14ac:dyDescent="0.25">
      <c r="A4" s="6" t="s">
        <v>31</v>
      </c>
      <c r="B4" s="23">
        <v>3</v>
      </c>
      <c r="C4" s="23">
        <v>2</v>
      </c>
      <c r="D4" s="23">
        <v>2</v>
      </c>
      <c r="E4" s="23">
        <v>2</v>
      </c>
      <c r="F4" s="23">
        <f>SUM(B4:E4)</f>
        <v>9</v>
      </c>
    </row>
    <row r="6" spans="1:19" x14ac:dyDescent="0.25">
      <c r="G6" s="148" t="s">
        <v>59</v>
      </c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50"/>
    </row>
    <row r="7" spans="1:19" x14ac:dyDescent="0.25">
      <c r="G7" s="42" t="s">
        <v>3</v>
      </c>
      <c r="H7" s="42" t="s">
        <v>42</v>
      </c>
      <c r="I7" s="42" t="s">
        <v>43</v>
      </c>
      <c r="J7" s="42" t="s">
        <v>44</v>
      </c>
      <c r="K7" s="42" t="s">
        <v>45</v>
      </c>
      <c r="L7" s="42" t="s">
        <v>46</v>
      </c>
      <c r="M7" s="42" t="s">
        <v>47</v>
      </c>
      <c r="N7" s="42" t="s">
        <v>48</v>
      </c>
      <c r="O7" s="42" t="s">
        <v>49</v>
      </c>
      <c r="P7" s="42" t="s">
        <v>50</v>
      </c>
      <c r="Q7" s="42" t="s">
        <v>51</v>
      </c>
      <c r="R7" s="42" t="s">
        <v>52</v>
      </c>
      <c r="S7" s="42" t="s">
        <v>53</v>
      </c>
    </row>
    <row r="8" spans="1:19" x14ac:dyDescent="0.25">
      <c r="G8" s="42" t="s">
        <v>60</v>
      </c>
      <c r="H8" s="43">
        <v>5</v>
      </c>
      <c r="I8" s="43">
        <v>13</v>
      </c>
      <c r="J8" s="43">
        <v>19</v>
      </c>
      <c r="K8" s="43">
        <v>13</v>
      </c>
      <c r="L8" s="43">
        <v>136</v>
      </c>
      <c r="M8" s="43">
        <v>100</v>
      </c>
      <c r="N8" s="43"/>
      <c r="O8" s="43"/>
      <c r="P8" s="43"/>
      <c r="Q8" s="43"/>
      <c r="R8" s="43"/>
      <c r="S8" s="43"/>
    </row>
    <row r="9" spans="1:19" x14ac:dyDescent="0.25">
      <c r="G9" s="42" t="s">
        <v>61</v>
      </c>
      <c r="H9" s="43">
        <v>36</v>
      </c>
      <c r="I9" s="43">
        <v>37</v>
      </c>
      <c r="J9" s="43">
        <v>43</v>
      </c>
      <c r="K9" s="43">
        <v>50</v>
      </c>
      <c r="L9" s="43">
        <v>65</v>
      </c>
      <c r="M9" s="43">
        <v>59</v>
      </c>
      <c r="N9" s="43"/>
      <c r="O9" s="43"/>
      <c r="P9" s="43"/>
      <c r="Q9" s="43"/>
      <c r="R9" s="43"/>
      <c r="S9" s="43"/>
    </row>
    <row r="10" spans="1:19" x14ac:dyDescent="0.25">
      <c r="G10" s="42" t="s">
        <v>62</v>
      </c>
      <c r="H10" s="43">
        <v>11</v>
      </c>
      <c r="I10" s="43">
        <v>29</v>
      </c>
      <c r="J10" s="43">
        <v>46</v>
      </c>
      <c r="K10" s="43">
        <v>28</v>
      </c>
      <c r="L10" s="43">
        <v>127</v>
      </c>
      <c r="M10" s="43">
        <v>61</v>
      </c>
      <c r="N10" s="43"/>
      <c r="O10" s="43"/>
      <c r="P10" s="43"/>
      <c r="Q10" s="43"/>
      <c r="R10" s="43"/>
      <c r="S10" s="43"/>
    </row>
    <row r="11" spans="1:19" x14ac:dyDescent="0.25">
      <c r="G11" s="42" t="s">
        <v>67</v>
      </c>
      <c r="H11" s="43"/>
      <c r="I11" s="43"/>
      <c r="J11" s="43"/>
      <c r="K11" s="43"/>
      <c r="L11" s="43"/>
      <c r="M11" s="43">
        <v>81</v>
      </c>
      <c r="N11" s="43"/>
      <c r="O11" s="43"/>
      <c r="P11" s="43"/>
      <c r="Q11" s="43"/>
      <c r="R11" s="43"/>
      <c r="S11" s="43"/>
    </row>
    <row r="38" spans="1:5" x14ac:dyDescent="0.25">
      <c r="A38" s="6" t="s">
        <v>0</v>
      </c>
      <c r="B38" s="6" t="s">
        <v>19</v>
      </c>
      <c r="C38" s="6" t="s">
        <v>20</v>
      </c>
      <c r="D38" s="6" t="s">
        <v>21</v>
      </c>
      <c r="E38" s="6" t="s">
        <v>68</v>
      </c>
    </row>
    <row r="39" spans="1:5" x14ac:dyDescent="0.25">
      <c r="A39" s="35">
        <v>1</v>
      </c>
      <c r="B39" s="36">
        <v>1</v>
      </c>
      <c r="C39" s="36">
        <v>6</v>
      </c>
      <c r="D39" s="36">
        <v>8</v>
      </c>
      <c r="E39" s="36">
        <v>0</v>
      </c>
    </row>
    <row r="40" spans="1:5" x14ac:dyDescent="0.25">
      <c r="A40" s="7">
        <v>2</v>
      </c>
      <c r="B40" s="8">
        <v>11</v>
      </c>
      <c r="C40" s="8">
        <v>0</v>
      </c>
      <c r="D40" s="8">
        <v>1</v>
      </c>
      <c r="E40" s="8">
        <v>0</v>
      </c>
    </row>
    <row r="41" spans="1:5" x14ac:dyDescent="0.25">
      <c r="A41" s="46">
        <v>3</v>
      </c>
      <c r="B41" s="45"/>
      <c r="C41" s="45"/>
      <c r="D41" s="45"/>
      <c r="E41" s="45"/>
    </row>
    <row r="42" spans="1:5" x14ac:dyDescent="0.25">
      <c r="A42" s="46">
        <v>4</v>
      </c>
      <c r="B42" s="45"/>
      <c r="C42" s="45"/>
      <c r="D42" s="45"/>
      <c r="E42" s="45"/>
    </row>
    <row r="43" spans="1:5" x14ac:dyDescent="0.25">
      <c r="A43" s="7">
        <v>5</v>
      </c>
      <c r="B43" s="8">
        <v>0</v>
      </c>
      <c r="C43" s="8">
        <v>2</v>
      </c>
      <c r="D43" s="8">
        <v>2</v>
      </c>
      <c r="E43" s="8">
        <v>7</v>
      </c>
    </row>
    <row r="44" spans="1:5" x14ac:dyDescent="0.25">
      <c r="A44" s="7">
        <v>6</v>
      </c>
      <c r="B44" s="8">
        <v>4</v>
      </c>
      <c r="C44" s="8">
        <v>0</v>
      </c>
      <c r="D44" s="8">
        <v>2</v>
      </c>
      <c r="E44" s="8">
        <v>4</v>
      </c>
    </row>
    <row r="45" spans="1:5" x14ac:dyDescent="0.25">
      <c r="A45" s="35">
        <v>7</v>
      </c>
      <c r="B45" s="36">
        <v>4</v>
      </c>
      <c r="C45" s="36">
        <v>2</v>
      </c>
      <c r="D45" s="36">
        <v>3</v>
      </c>
      <c r="E45" s="36">
        <v>0</v>
      </c>
    </row>
    <row r="46" spans="1:5" x14ac:dyDescent="0.25">
      <c r="A46" s="35">
        <v>8</v>
      </c>
      <c r="B46" s="36">
        <v>2</v>
      </c>
      <c r="C46" s="36">
        <v>11</v>
      </c>
      <c r="D46" s="36">
        <v>7</v>
      </c>
      <c r="E46" s="36">
        <v>0</v>
      </c>
    </row>
    <row r="47" spans="1:5" x14ac:dyDescent="0.25">
      <c r="A47" s="7">
        <v>9</v>
      </c>
      <c r="B47" s="8">
        <v>0</v>
      </c>
      <c r="C47" s="8">
        <v>0</v>
      </c>
      <c r="D47" s="8">
        <v>0</v>
      </c>
      <c r="E47" s="8">
        <v>0</v>
      </c>
    </row>
    <row r="48" spans="1:5" x14ac:dyDescent="0.25">
      <c r="A48" s="46">
        <v>10</v>
      </c>
      <c r="B48" s="45"/>
      <c r="C48" s="45"/>
      <c r="D48" s="45"/>
      <c r="E48" s="45"/>
    </row>
    <row r="49" spans="1:5" x14ac:dyDescent="0.25">
      <c r="A49" s="46">
        <v>11</v>
      </c>
      <c r="B49" s="45"/>
      <c r="C49" s="45"/>
      <c r="D49" s="45"/>
      <c r="E49" s="45"/>
    </row>
    <row r="50" spans="1:5" x14ac:dyDescent="0.25">
      <c r="A50" s="7">
        <v>12</v>
      </c>
      <c r="B50" s="8">
        <v>2</v>
      </c>
      <c r="C50" s="8">
        <v>0</v>
      </c>
      <c r="D50" s="8">
        <v>2</v>
      </c>
      <c r="E50" s="8">
        <v>6</v>
      </c>
    </row>
    <row r="51" spans="1:5" x14ac:dyDescent="0.25">
      <c r="A51" s="7">
        <v>13</v>
      </c>
      <c r="B51" s="8">
        <v>0</v>
      </c>
      <c r="C51" s="8">
        <v>1</v>
      </c>
      <c r="D51" s="8">
        <v>2</v>
      </c>
      <c r="E51" s="8">
        <v>0</v>
      </c>
    </row>
    <row r="52" spans="1:5" x14ac:dyDescent="0.25">
      <c r="A52" s="35">
        <v>14</v>
      </c>
      <c r="B52" s="36">
        <v>9</v>
      </c>
      <c r="C52" s="36">
        <v>1</v>
      </c>
      <c r="D52" s="36">
        <v>1</v>
      </c>
      <c r="E52" s="36">
        <v>0</v>
      </c>
    </row>
    <row r="53" spans="1:5" x14ac:dyDescent="0.25">
      <c r="A53" s="35">
        <v>15</v>
      </c>
      <c r="B53" s="36">
        <v>13</v>
      </c>
      <c r="C53" s="36">
        <v>0</v>
      </c>
      <c r="D53" s="36">
        <v>4</v>
      </c>
      <c r="E53" s="36">
        <v>1</v>
      </c>
    </row>
    <row r="54" spans="1:5" x14ac:dyDescent="0.25">
      <c r="A54" s="7">
        <v>16</v>
      </c>
      <c r="B54" s="8">
        <v>0</v>
      </c>
      <c r="C54" s="8">
        <v>4</v>
      </c>
      <c r="D54" s="8">
        <v>0</v>
      </c>
      <c r="E54" s="8">
        <v>9</v>
      </c>
    </row>
    <row r="55" spans="1:5" x14ac:dyDescent="0.25">
      <c r="A55" s="46">
        <v>17</v>
      </c>
      <c r="B55" s="45"/>
      <c r="C55" s="45"/>
      <c r="D55" s="45"/>
      <c r="E55" s="45"/>
    </row>
    <row r="56" spans="1:5" x14ac:dyDescent="0.25">
      <c r="A56" s="46">
        <v>18</v>
      </c>
      <c r="B56" s="45"/>
      <c r="C56" s="45"/>
      <c r="D56" s="45"/>
      <c r="E56" s="45"/>
    </row>
    <row r="57" spans="1:5" x14ac:dyDescent="0.25">
      <c r="A57" s="7">
        <v>19</v>
      </c>
      <c r="B57" s="8">
        <v>13</v>
      </c>
      <c r="C57" s="8">
        <v>5</v>
      </c>
      <c r="D57" s="8">
        <v>5</v>
      </c>
      <c r="E57" s="8">
        <v>6</v>
      </c>
    </row>
    <row r="58" spans="1:5" x14ac:dyDescent="0.25">
      <c r="A58" s="7">
        <v>20</v>
      </c>
      <c r="B58" s="8">
        <v>7</v>
      </c>
      <c r="C58" s="8">
        <v>7</v>
      </c>
      <c r="D58" s="8">
        <v>7</v>
      </c>
      <c r="E58" s="8">
        <v>4</v>
      </c>
    </row>
    <row r="59" spans="1:5" s="28" customFormat="1" x14ac:dyDescent="0.25">
      <c r="A59" s="37">
        <v>21</v>
      </c>
      <c r="B59" s="38">
        <v>7</v>
      </c>
      <c r="C59" s="38">
        <v>4</v>
      </c>
      <c r="D59" s="38">
        <v>1</v>
      </c>
      <c r="E59" s="38">
        <v>12</v>
      </c>
    </row>
    <row r="60" spans="1:5" x14ac:dyDescent="0.25">
      <c r="A60" s="35">
        <v>22</v>
      </c>
      <c r="B60" s="38">
        <v>9</v>
      </c>
      <c r="C60" s="38">
        <v>2</v>
      </c>
      <c r="D60" s="38">
        <v>2</v>
      </c>
      <c r="E60" s="38">
        <v>11</v>
      </c>
    </row>
    <row r="61" spans="1:5" x14ac:dyDescent="0.25">
      <c r="A61" s="7">
        <v>23</v>
      </c>
      <c r="B61" s="8">
        <v>8</v>
      </c>
      <c r="C61" s="8">
        <v>9</v>
      </c>
      <c r="D61" s="8">
        <v>6</v>
      </c>
      <c r="E61" s="8">
        <v>9</v>
      </c>
    </row>
    <row r="62" spans="1:5" x14ac:dyDescent="0.25">
      <c r="A62" s="46">
        <v>24</v>
      </c>
      <c r="B62" s="45"/>
      <c r="C62" s="45"/>
      <c r="D62" s="45"/>
      <c r="E62" s="45"/>
    </row>
    <row r="63" spans="1:5" x14ac:dyDescent="0.25">
      <c r="A63" s="46">
        <v>25</v>
      </c>
      <c r="B63" s="45"/>
      <c r="C63" s="45"/>
      <c r="D63" s="45"/>
      <c r="E63" s="45"/>
    </row>
    <row r="64" spans="1:5" x14ac:dyDescent="0.25">
      <c r="A64" s="7">
        <v>26</v>
      </c>
      <c r="B64" s="8">
        <v>1</v>
      </c>
      <c r="C64" s="8">
        <v>0</v>
      </c>
      <c r="D64" s="8">
        <v>3</v>
      </c>
      <c r="E64" s="8">
        <v>0</v>
      </c>
    </row>
    <row r="65" spans="1:5" x14ac:dyDescent="0.25">
      <c r="A65" s="7">
        <v>27</v>
      </c>
      <c r="B65" s="8">
        <v>3</v>
      </c>
      <c r="C65" s="8">
        <v>3</v>
      </c>
      <c r="D65" s="8">
        <v>1</v>
      </c>
      <c r="E65" s="8">
        <v>1</v>
      </c>
    </row>
    <row r="66" spans="1:5" x14ac:dyDescent="0.25">
      <c r="A66" s="35">
        <v>28</v>
      </c>
      <c r="B66" s="36">
        <v>0</v>
      </c>
      <c r="C66" s="36">
        <v>1</v>
      </c>
      <c r="D66" s="36">
        <v>4</v>
      </c>
      <c r="E66" s="36">
        <v>4</v>
      </c>
    </row>
    <row r="67" spans="1:5" x14ac:dyDescent="0.25">
      <c r="A67" s="35">
        <v>29</v>
      </c>
      <c r="B67" s="36">
        <v>4</v>
      </c>
      <c r="C67" s="36">
        <v>0</v>
      </c>
      <c r="D67" s="36">
        <v>0</v>
      </c>
      <c r="E67" s="36">
        <v>0</v>
      </c>
    </row>
    <row r="68" spans="1:5" x14ac:dyDescent="0.25">
      <c r="A68" s="7">
        <v>30</v>
      </c>
      <c r="B68" s="36">
        <v>2</v>
      </c>
      <c r="C68" s="36">
        <v>1</v>
      </c>
      <c r="D68" s="36">
        <v>0</v>
      </c>
      <c r="E68" s="36">
        <v>7</v>
      </c>
    </row>
    <row r="69" spans="1:5" x14ac:dyDescent="0.25">
      <c r="A69" s="7">
        <v>31</v>
      </c>
      <c r="B69" s="36">
        <v>0</v>
      </c>
      <c r="C69" s="36">
        <v>0</v>
      </c>
      <c r="D69" s="36">
        <v>0</v>
      </c>
      <c r="E69" s="36">
        <v>0</v>
      </c>
    </row>
    <row r="70" spans="1:5" x14ac:dyDescent="0.25">
      <c r="B70">
        <f>SUM(B39:B69)</f>
        <v>100</v>
      </c>
      <c r="C70">
        <f>SUM(C39:C69)</f>
        <v>59</v>
      </c>
      <c r="D70">
        <f>SUM(D39:D69)</f>
        <v>61</v>
      </c>
      <c r="E70">
        <f>SUM(E39:E69)</f>
        <v>81</v>
      </c>
    </row>
  </sheetData>
  <mergeCells count="2">
    <mergeCell ref="A1:F1"/>
    <mergeCell ref="G6:S6"/>
  </mergeCells>
  <pageMargins left="0.511811024" right="0.511811024" top="0.78740157499999996" bottom="0.78740157499999996" header="0.31496062000000002" footer="0.31496062000000002"/>
  <pageSetup paperSize="9" scale="4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6" tint="0.59999389629810485"/>
    <pageSetUpPr fitToPage="1"/>
  </sheetPr>
  <dimension ref="A1:U8"/>
  <sheetViews>
    <sheetView zoomScale="80" zoomScaleNormal="80" workbookViewId="0">
      <selection activeCell="J8" sqref="J8:O8"/>
    </sheetView>
  </sheetViews>
  <sheetFormatPr defaultRowHeight="15" x14ac:dyDescent="0.25"/>
  <cols>
    <col min="1" max="7" width="25.7109375" customWidth="1"/>
    <col min="9" max="9" width="20.85546875" bestFit="1" customWidth="1"/>
  </cols>
  <sheetData>
    <row r="1" spans="1:21" ht="45" customHeight="1" x14ac:dyDescent="0.25">
      <c r="A1" s="152" t="s">
        <v>22</v>
      </c>
      <c r="B1" s="153"/>
      <c r="C1" s="153"/>
      <c r="D1" s="153"/>
      <c r="E1" s="153"/>
      <c r="F1" s="153"/>
      <c r="G1" s="153"/>
      <c r="H1" s="154"/>
    </row>
    <row r="2" spans="1:21" ht="45" customHeight="1" x14ac:dyDescent="0.25">
      <c r="A2" s="2" t="s">
        <v>23</v>
      </c>
      <c r="B2" s="2" t="s">
        <v>24</v>
      </c>
      <c r="C2" s="2" t="s">
        <v>25</v>
      </c>
      <c r="D2" s="2" t="s">
        <v>27</v>
      </c>
      <c r="E2" s="2" t="s">
        <v>26</v>
      </c>
      <c r="F2" s="2" t="s">
        <v>28</v>
      </c>
      <c r="G2" s="2" t="s">
        <v>17</v>
      </c>
      <c r="H2" s="2" t="s">
        <v>32</v>
      </c>
    </row>
    <row r="3" spans="1:21" ht="45" customHeight="1" x14ac:dyDescent="0.25">
      <c r="A3" s="4">
        <v>4</v>
      </c>
      <c r="B3" s="4">
        <v>2</v>
      </c>
      <c r="C3" s="4">
        <v>4</v>
      </c>
      <c r="D3" s="4">
        <v>1</v>
      </c>
      <c r="E3" s="4">
        <v>1</v>
      </c>
      <c r="F3" s="4">
        <v>25</v>
      </c>
      <c r="G3" s="4">
        <v>0</v>
      </c>
      <c r="H3" s="155">
        <f>SUM(A3:G3)</f>
        <v>37</v>
      </c>
    </row>
    <row r="4" spans="1:21" ht="45" customHeight="1" x14ac:dyDescent="0.25">
      <c r="A4" s="22">
        <f>SUM(A3/H3)</f>
        <v>0.10810810810810811</v>
      </c>
      <c r="B4" s="22">
        <f>SUM(B3/H3)</f>
        <v>5.4054054054054057E-2</v>
      </c>
      <c r="C4" s="22">
        <f>SUM(C3/H3)</f>
        <v>0.10810810810810811</v>
      </c>
      <c r="D4" s="22">
        <f>SUM(D3/H3)</f>
        <v>2.7027027027027029E-2</v>
      </c>
      <c r="E4" s="22">
        <f>SUM(E3/H3)</f>
        <v>2.7027027027027029E-2</v>
      </c>
      <c r="F4" s="22">
        <f>SUM(F3/H3)</f>
        <v>0.67567567567567566</v>
      </c>
      <c r="G4" s="22">
        <f>SUM(G3/H3)</f>
        <v>0</v>
      </c>
      <c r="H4" s="155"/>
    </row>
    <row r="6" spans="1:21" x14ac:dyDescent="0.25">
      <c r="I6" s="148" t="s">
        <v>63</v>
      </c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50"/>
    </row>
    <row r="7" spans="1:21" x14ac:dyDescent="0.25">
      <c r="I7" s="42" t="s">
        <v>41</v>
      </c>
      <c r="J7" s="42" t="s">
        <v>42</v>
      </c>
      <c r="K7" s="42" t="s">
        <v>43</v>
      </c>
      <c r="L7" s="42" t="s">
        <v>44</v>
      </c>
      <c r="M7" s="42" t="s">
        <v>45</v>
      </c>
      <c r="N7" s="42" t="s">
        <v>46</v>
      </c>
      <c r="O7" s="42" t="s">
        <v>47</v>
      </c>
      <c r="P7" s="42" t="s">
        <v>48</v>
      </c>
      <c r="Q7" s="42" t="s">
        <v>49</v>
      </c>
      <c r="R7" s="42" t="s">
        <v>50</v>
      </c>
      <c r="S7" s="42" t="s">
        <v>51</v>
      </c>
      <c r="T7" s="42" t="s">
        <v>52</v>
      </c>
      <c r="U7" s="42" t="s">
        <v>53</v>
      </c>
    </row>
    <row r="8" spans="1:21" x14ac:dyDescent="0.25">
      <c r="I8" s="42" t="s">
        <v>64</v>
      </c>
      <c r="J8" s="43">
        <v>18</v>
      </c>
      <c r="K8" s="43">
        <v>35</v>
      </c>
      <c r="L8" s="43">
        <v>36</v>
      </c>
      <c r="M8" s="43">
        <v>23</v>
      </c>
      <c r="N8" s="43">
        <v>34</v>
      </c>
      <c r="O8" s="43">
        <v>37</v>
      </c>
      <c r="P8" s="43"/>
      <c r="Q8" s="43"/>
      <c r="R8" s="43"/>
      <c r="S8" s="43"/>
      <c r="T8" s="43"/>
      <c r="U8" s="43"/>
    </row>
  </sheetData>
  <mergeCells count="3">
    <mergeCell ref="A1:H1"/>
    <mergeCell ref="H3:H4"/>
    <mergeCell ref="I6:U6"/>
  </mergeCells>
  <pageMargins left="0.511811024" right="0.511811024" top="0.78740157499999996" bottom="0.78740157499999996" header="0.31496062000000002" footer="0.31496062000000002"/>
  <pageSetup paperSize="9" scale="4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Sheet1</vt:lpstr>
      <vt:lpstr>config</vt:lpstr>
      <vt:lpstr>Atrasos</vt:lpstr>
      <vt:lpstr>Revisões</vt:lpstr>
      <vt:lpstr>Envios</vt:lpstr>
      <vt:lpstr>Erros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</dc:creator>
  <cp:lastModifiedBy>Felipe Santos</cp:lastModifiedBy>
  <cp:lastPrinted>2023-04-05T19:45:37Z</cp:lastPrinted>
  <dcterms:created xsi:type="dcterms:W3CDTF">2022-07-28T12:40:18Z</dcterms:created>
  <dcterms:modified xsi:type="dcterms:W3CDTF">2023-11-12T02:19:12Z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2023-11-11T13:21:34Z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4b057ca4-3f77-4a73-8802-85c2cb44690e</vt:lpwstr>
  </property>
  <property fmtid="{D5CDD505-2E9C-101B-9397-08002B2CF9AE}" pid="7" name="MSIP_Label_defa4170-0d19-0005-0004-bc88714345d2_ActionId">
    <vt:lpwstr>d27dab5f-51a6-4c5a-b125-ed2c849cebf2</vt:lpwstr>
  </property>
  <property fmtid="{D5CDD505-2E9C-101B-9397-08002B2CF9AE}" pid="8" name="MSIP_Label_defa4170-0d19-0005-0004-bc88714345d2_ContentBits">
    <vt:lpwstr>0</vt:lpwstr>
  </property>
</Properties>
</file>