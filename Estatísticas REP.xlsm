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statisticas_iten-main\estatisticas_iten\"/>
    </mc:Choice>
  </mc:AlternateContent>
  <xr:revisionPtr revIDLastSave="0" documentId="13_ncr:1_{8851FAD6-120D-4581-A278-83969D5F73B9}" xr6:coauthVersionLast="45" xr6:coauthVersionMax="47" xr10:uidLastSave="{00000000-0000-0000-0000-000000000000}"/>
  <bookViews>
    <workbookView xWindow="-18525" yWindow="5295" windowWidth="28800" windowHeight="12180" xr2:uid="{00000000-000D-0000-FFFF-FFFF00000000}"/>
  </bookViews>
  <sheets>
    <sheet name="Sheet1" sheetId="8" r:id="rId1"/>
    <sheet name="config" sheetId="9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Sheet1!$A$3:$Q$2240</definedName>
    <definedName name="Setor">Atrasos!#REF!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8" i="3" l="1"/>
  <c r="D38" i="3"/>
  <c r="E38" i="3"/>
  <c r="F38" i="3"/>
  <c r="G38" i="3"/>
  <c r="B38" i="3"/>
  <c r="I8" i="3" a="1"/>
  <c r="I8" i="3" s="1"/>
  <c r="A3" i="2"/>
  <c r="E3" i="3"/>
  <c r="D3" i="3"/>
  <c r="C3" i="3"/>
  <c r="B3" i="3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H3" i="3"/>
  <c r="D70" i="3"/>
  <c r="C70" i="3"/>
  <c r="B70" i="3"/>
  <c r="E70" i="3"/>
  <c r="I3" i="4"/>
  <c r="H4" i="3"/>
  <c r="E3" i="2"/>
  <c r="O16" i="5" l="1"/>
  <c r="O15" i="5"/>
  <c r="O13" i="5"/>
  <c r="O14" i="5"/>
  <c r="O18" i="5"/>
  <c r="O17" i="5"/>
  <c r="O12" i="5"/>
  <c r="O11" i="5"/>
  <c r="O9" i="5"/>
  <c r="O10" i="5"/>
  <c r="O8" i="5"/>
  <c r="O7" i="5"/>
  <c r="B4" i="4"/>
  <c r="E4" i="4"/>
  <c r="O6" i="5"/>
  <c r="O5" i="5"/>
  <c r="C4" i="2"/>
  <c r="B4" i="2"/>
  <c r="D4" i="2"/>
  <c r="A4" i="2"/>
  <c r="H4" i="4"/>
  <c r="C4" i="4"/>
  <c r="A4" i="4"/>
  <c r="G4" i="4"/>
  <c r="F4" i="4"/>
  <c r="D4" i="4"/>
  <c r="L13" i="5" l="1"/>
  <c r="L15" i="5"/>
  <c r="L3" i="5"/>
  <c r="L11" i="5"/>
  <c r="L9" i="5" l="1"/>
  <c r="L7" i="5"/>
  <c r="L5" i="5"/>
  <c r="L17" i="5"/>
  <c r="L4" i="5" l="1"/>
  <c r="N5" i="5" s="1"/>
  <c r="N9" i="5" l="1"/>
  <c r="N7" i="5"/>
  <c r="N11" i="5"/>
  <c r="N13" i="5"/>
  <c r="N15" i="5"/>
  <c r="N17" i="5"/>
  <c r="L2" i="5"/>
  <c r="N3" i="5" s="1"/>
  <c r="N4" i="5" l="1"/>
</calcChain>
</file>

<file path=xl/sharedStrings.xml><?xml version="1.0" encoding="utf-8"?>
<sst xmlns="http://schemas.openxmlformats.org/spreadsheetml/2006/main" count="5195" uniqueCount="916">
  <si>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</si>
  <si>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</si>
  <si>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</si>
  <si>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</si>
  <si>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</si>
  <si>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</si>
  <si>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</si>
  <si>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</si>
  <si>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Laboratórios</t>
  </si>
  <si>
    <t>Controle de envios:</t>
  </si>
  <si>
    <t>TÉCNICOS:</t>
  </si>
  <si>
    <t>COMERCIAL:</t>
  </si>
  <si>
    <t>CLIENTES: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</si>
  <si>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</si>
  <si>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</si>
  <si>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</si>
  <si>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</si>
  <si>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</si>
  <si>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</si>
  <si>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</si>
  <si>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</si>
  <si>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</si>
  <si>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</si>
  <si>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</si>
  <si>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</si>
  <si>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</si>
  <si>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</si>
  <si>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</si>
  <si>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</si>
  <si>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</si>
  <si>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</si>
  <si>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</si>
  <si>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</si>
  <si>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</si>
  <si>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</si>
  <si>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</si>
  <si>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</si>
  <si>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</si>
  <si>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</si>
  <si>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</si>
  <si>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</si>
  <si>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</si>
  <si>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</si>
  <si>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</si>
  <si>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</si>
  <si>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</si>
  <si>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</si>
  <si>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</si>
  <si>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</si>
  <si>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</si>
  <si>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</si>
  <si>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</si>
  <si>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</si>
  <si>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</si>
  <si>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</si>
  <si>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Ordem Serviço</t>
  </si>
  <si>
    <t>Empresa</t>
  </si>
  <si>
    <t>Produto</t>
  </si>
  <si>
    <t>AUTOR</t>
  </si>
  <si>
    <t>LAUDO</t>
  </si>
  <si>
    <t>RECEBEDOR</t>
  </si>
  <si>
    <t>DTIniOS</t>
  </si>
  <si>
    <t>Prev OS</t>
  </si>
  <si>
    <t>Prazo Rel</t>
  </si>
  <si>
    <t>Ens Conc</t>
  </si>
  <si>
    <t>Rel Env</t>
  </si>
  <si>
    <t>LUANA</t>
  </si>
  <si>
    <t>A</t>
  </si>
  <si>
    <t>MARIA ELISA</t>
  </si>
  <si>
    <t>REIRINI</t>
  </si>
  <si>
    <t>JANE</t>
  </si>
  <si>
    <t>MAYARA OHARA</t>
  </si>
  <si>
    <t xml:space="preserve"> 1 UNIDADE</t>
  </si>
  <si>
    <t>2210081-1/112</t>
  </si>
  <si>
    <t>TESIS / --</t>
  </si>
  <si>
    <t xml:space="preserve"> 3 UNIDADES</t>
  </si>
  <si>
    <t>2210081-1/113</t>
  </si>
  <si>
    <t>2210081-1/114</t>
  </si>
  <si>
    <t>2210081-1/115</t>
  </si>
  <si>
    <t>2210081-1/116</t>
  </si>
  <si>
    <t>2210081-1/117</t>
  </si>
  <si>
    <t>2210081-1/118</t>
  </si>
  <si>
    <t>2210081-1/119</t>
  </si>
  <si>
    <t>2210081-1/120</t>
  </si>
  <si>
    <t>2210081-1/121</t>
  </si>
  <si>
    <t>2210081-1/122</t>
  </si>
  <si>
    <t>JOYCE NEVES</t>
  </si>
  <si>
    <t xml:space="preserve"> 2 UNIDADES</t>
  </si>
  <si>
    <t xml:space="preserve"> CONFORME PLANILHA EM ANEXO</t>
  </si>
  <si>
    <t>NARA DA SILVA</t>
  </si>
  <si>
    <t xml:space="preserve"> 30 METROS</t>
  </si>
  <si>
    <t>CLS ENGENH / CLS ENGENH</t>
  </si>
  <si>
    <t>2303178-1/004</t>
  </si>
  <si>
    <t>Tapete Isolante - Classe 2</t>
  </si>
  <si>
    <t>1 UNIDADE</t>
  </si>
  <si>
    <t>2304022-0/001</t>
  </si>
  <si>
    <t>ABNT (SP) / GARTHEN</t>
  </si>
  <si>
    <t>2304022-0/002</t>
  </si>
  <si>
    <t xml:space="preserve"> 200 METROS</t>
  </si>
  <si>
    <t>2304063-2/002</t>
  </si>
  <si>
    <t>FAMESP / FAMESP</t>
  </si>
  <si>
    <t xml:space="preserve"> 4 PARES</t>
  </si>
  <si>
    <t>BVQI (SP) / ARBAME</t>
  </si>
  <si>
    <t xml:space="preserve"> 10 METROS</t>
  </si>
  <si>
    <t>2304141-0/001</t>
  </si>
  <si>
    <t>PCN DO BRA / BBC TÊXTIL</t>
  </si>
  <si>
    <t xml:space="preserve"> 04 UNIDADES</t>
  </si>
  <si>
    <t>2305003-0/001</t>
  </si>
  <si>
    <t>LEAR DO BR / LEAR DO BR</t>
  </si>
  <si>
    <t>2305003-0/003</t>
  </si>
  <si>
    <t>CONFORME PLANILHA EM ANEXO</t>
  </si>
  <si>
    <t>2305048-2/001</t>
  </si>
  <si>
    <t>ASSOCIAÇÃO / ProQuality</t>
  </si>
  <si>
    <t>2305048-2/002</t>
  </si>
  <si>
    <t>ASSOCIAÇÃO / BRASILSAT</t>
  </si>
  <si>
    <t>2305048-2/003</t>
  </si>
  <si>
    <t>ASSOCIAÇÃO / AMPHENOL T</t>
  </si>
  <si>
    <t>2305095-0/001</t>
  </si>
  <si>
    <t>IBELQ / PERMATTI</t>
  </si>
  <si>
    <t>Telha de PVC tipo Colonial</t>
  </si>
  <si>
    <t>Data Impressão</t>
  </si>
  <si>
    <t>Atraso O.S</t>
  </si>
  <si>
    <t>Não</t>
  </si>
  <si>
    <t>Sim</t>
  </si>
  <si>
    <t>Atraso Rep</t>
  </si>
  <si>
    <t>Vitória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</si>
  <si>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</si>
  <si>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</si>
  <si>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</si>
  <si>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</si>
  <si>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</si>
  <si>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</si>
  <si>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</si>
  <si>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</si>
  <si>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</si>
  <si>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QtdAmostra</t>
  </si>
  <si>
    <t>REPFIN</t>
  </si>
  <si>
    <t>ENSAIO</t>
  </si>
  <si>
    <t>Eletroduto Flexível corrugado DN 25 - AMARELO - 1085/6630</t>
  </si>
  <si>
    <t>VITORIA</t>
  </si>
  <si>
    <t>LAB. ELETRO-MECÂNICO</t>
  </si>
  <si>
    <t>Eletroduto Flexível corrugado DN 25 - AMARELO - 1085/6632</t>
  </si>
  <si>
    <t>Eletroduto Flexível corrugado DN 25 - AMARELO - 1085/6640</t>
  </si>
  <si>
    <t>Eletroduto Flexível corrugado DN 25 - LARANJA - 1085/6641</t>
  </si>
  <si>
    <t>Eletroduto Flexível corrugado DN 25 - AMARELO - 1085/6647</t>
  </si>
  <si>
    <t>Eletroduto Flexível corrugado DN 25 - LARANJA - 1085/6648</t>
  </si>
  <si>
    <t>Eletroduto Flexível plano DN 25 - PRETO COM FAIXA LARANJA -1085/6651</t>
  </si>
  <si>
    <t>Eletroduto Flexível corrugado DN 25 - AMARELO - 1085/6673</t>
  </si>
  <si>
    <t>Eletroduto Flexível corrugado DN 25 - LARANJA - 1085/6674</t>
  </si>
  <si>
    <t>Eletroduto Flexível corrugado DN 25 - AMARELO 1085/6679</t>
  </si>
  <si>
    <t>Eletroduto Flexível corrugado DN 25 - LARANJA 1085/6680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</si>
  <si>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</si>
  <si>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</si>
  <si>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</si>
  <si>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</si>
  <si>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MARCEL</t>
  </si>
  <si>
    <t>LAB. FIOS e CABOS</t>
  </si>
  <si>
    <t>2303027-1/001</t>
  </si>
  <si>
    <t>YOFC POLIR / YOFC POLIR</t>
  </si>
  <si>
    <t>Cabo comando CM NV CU Sn HF HEPR SHF2 FR 90° 0,6/1kV 3x1x1,5mm² - Preto - Cód.: 59215446</t>
  </si>
  <si>
    <t>ELIAS</t>
  </si>
  <si>
    <t>LAB. QUÍMICO</t>
  </si>
  <si>
    <t>2303027-1/002</t>
  </si>
  <si>
    <t>Cobertura de Cabo 140 CE NV HEPR/SHF2 FLEX 02 - Cinza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</si>
  <si>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</si>
  <si>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</si>
  <si>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</si>
  <si>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</si>
  <si>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BRUNA</t>
  </si>
  <si>
    <t>2303213-0/001</t>
  </si>
  <si>
    <t>FARCEL  / FARCEL</t>
  </si>
  <si>
    <t>Chave de Aferição - BTS de Sobrepor (20A / 30A)</t>
  </si>
  <si>
    <t xml:space="preserve"> 9 UNIDADES</t>
  </si>
  <si>
    <t>2303213-0/002</t>
  </si>
  <si>
    <t>Chave de Aferição - BTE de embutir (20A / 30A)</t>
  </si>
  <si>
    <t>Hidrolavadora de alta pressão 127V, 60Hz, 1400W, IPX5 - Modelo: GL 1400i-1</t>
  </si>
  <si>
    <t>LAB. ELETRODOMÉSTICO</t>
  </si>
  <si>
    <t>Hidrolavadora de Alta pressão 220V, 60Hz, 1800W, IPX5 - Modelo: GL 1800i-1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</si>
  <si>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</si>
  <si>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>2304102-1/015</t>
  </si>
  <si>
    <t>Cabo flexível de perfil plano 300/500V Cobre/PVC-EB/PVC-ST10 105°C 2x0,50mm² - Preto - Cód.: I343790006</t>
  </si>
  <si>
    <t>2304102-1/021</t>
  </si>
  <si>
    <t>_x000D_Cabo flexível circular 300/500V Cobre/CSP/CSP 105° C5 3x0,75mm²  - Preto - Cód.: I343830009</t>
  </si>
  <si>
    <t>Interruptor de Lençol Térmico, regulador digital BBD - Casal Queen - 220V - 60Hz - 128W - Classe II</t>
  </si>
  <si>
    <t>Terminais crimpados com bitolas &lt;= 6,00 mm² (52 conexões)</t>
  </si>
  <si>
    <t>Terminais crimpados com bitolas &gt; 6,00 mm² (5 conexões)</t>
  </si>
  <si>
    <t>Cabo coaxial série 06 60% 75 Ohms - Branco - Lote: 052023</t>
  </si>
  <si>
    <t>MILENA</t>
  </si>
  <si>
    <t>LAB. FOGO-DIV</t>
  </si>
  <si>
    <t>Cabo coaxial flexivel série RG-6 75 Ohms 60% - Branco - Lote: 958412</t>
  </si>
  <si>
    <t>Cabo destinado a sistemas de Circuito Fechado de TV (CFTV) T660-PVC - Branco - Lote: 112683</t>
  </si>
  <si>
    <t>Page -1 of 1</t>
  </si>
  <si>
    <t>RELATÓRIO COMERCIAL DE ENSAIO ENVIADO REP de 01-06-2023 á 01-07-2023</t>
  </si>
  <si>
    <t>2208040-1/001</t>
  </si>
  <si>
    <t>VOLGA ENGE / VOLGA ENGE</t>
  </si>
  <si>
    <t>Pinças de derivação plug-in 250A</t>
  </si>
  <si>
    <t>CONFORME OBSERVAÇÃO</t>
  </si>
  <si>
    <t>2208089-0/021</t>
  </si>
  <si>
    <t>TESIS / ---</t>
  </si>
  <si>
    <t>ESMALTE SINTÉTICO STANDARD - VERMELHO - 34606 - 40ml</t>
  </si>
  <si>
    <t xml:space="preserve"> 40ml</t>
  </si>
  <si>
    <t>2209086-0/001</t>
  </si>
  <si>
    <t>CENTELSA / CENTELSA</t>
  </si>
  <si>
    <t>Fio de Cobre estanhado SN Cunext - 32mm</t>
  </si>
  <si>
    <t xml:space="preserve"> 5 METROS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</si>
  <si>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</si>
  <si>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</si>
  <si>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</si>
  <si>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</si>
  <si>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</si>
  <si>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 xml:space="preserve"> 300 METROS</t>
  </si>
  <si>
    <t>2209158-0/001</t>
  </si>
  <si>
    <t>WEG (SC) / WEG (SC)</t>
  </si>
  <si>
    <t>Inversor de frequência MW500A04P3T4DB66C2DS + CFW500-SFY2 safety module</t>
  </si>
  <si>
    <t>2209158-0/002</t>
  </si>
  <si>
    <t>Inversor de frequência MW500C16P0T4DB66C2DS + CFW500-SFY2 safety module</t>
  </si>
  <si>
    <t>2210081-1/123</t>
  </si>
  <si>
    <t>Eletroduto Flexível corrugado DN 25 - AMARELO - 1085/6597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</si>
  <si>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</si>
  <si>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</si>
  <si>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</si>
  <si>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</si>
  <si>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</si>
  <si>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</si>
  <si>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</si>
  <si>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</si>
  <si>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</si>
  <si>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</si>
  <si>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</si>
  <si>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</si>
  <si>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</si>
  <si>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</si>
  <si>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</si>
  <si>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</si>
  <si>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</si>
  <si>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</si>
  <si>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</si>
  <si>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</si>
  <si>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</si>
  <si>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</si>
  <si>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</si>
  <si>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</si>
  <si>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</si>
  <si>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</si>
  <si>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</si>
  <si>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</si>
  <si>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</si>
  <si>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</si>
  <si>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INCESA / INCESA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</si>
  <si>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</si>
  <si>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</si>
  <si>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</si>
  <si>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</si>
  <si>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</si>
  <si>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</si>
  <si>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</si>
  <si>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</si>
  <si>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</si>
  <si>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</si>
  <si>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</si>
  <si>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</si>
  <si>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</si>
  <si>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</si>
  <si>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</si>
  <si>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</si>
  <si>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</si>
  <si>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</si>
  <si>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</si>
  <si>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</si>
  <si>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</si>
  <si>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</si>
  <si>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</si>
  <si>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 xml:space="preserve"> 50 METROS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</si>
  <si>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</si>
  <si>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</si>
  <si>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</si>
  <si>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</si>
  <si>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</si>
  <si>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</si>
  <si>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>2301138-1/001</t>
  </si>
  <si>
    <t>STAR BRAZI / STAR BRAZI</t>
  </si>
  <si>
    <t>Cabo para transmissão de dados U/UTP Cat 5E 24AWG x 4P - Uso interno CMX - Azul</t>
  </si>
  <si>
    <t xml:space="preserve"> 100 METROS</t>
  </si>
  <si>
    <t>LAB. TELECOM-METÁLICO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</si>
  <si>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</si>
  <si>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</si>
  <si>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</si>
  <si>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</si>
  <si>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</si>
  <si>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</si>
  <si>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</si>
  <si>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</si>
  <si>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</si>
  <si>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</si>
  <si>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</si>
  <si>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2302017-2/006</t>
  </si>
  <si>
    <t>Liquidificador de alta rotação 2L 220V, 328W, 18000rpm, 50-60Hz, Classe I, IPX1 - Modelo: SPL-022X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</si>
  <si>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</si>
  <si>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</si>
  <si>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</si>
  <si>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</si>
  <si>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</si>
  <si>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</si>
  <si>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</si>
  <si>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</si>
  <si>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</si>
  <si>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 10-95 x 1,5-10mm²</t>
  </si>
  <si>
    <t>Conector Perfurante Pequeno - PEX 10-95 x 1,5-10mm²</t>
  </si>
  <si>
    <t xml:space="preserve"> Ver Obs</t>
  </si>
  <si>
    <t>2302137-1/001</t>
  </si>
  <si>
    <t>GTM / CSA TECNOL</t>
  </si>
  <si>
    <t>Porta corta-fogo P-120</t>
  </si>
  <si>
    <t xml:space="preserve"> 2 PORTAS + 2 BATENTES+ FERRAGENS+ DOCUMENTAÇÃO</t>
  </si>
  <si>
    <t>LAB. CONSTRUÇÃO CIVIL</t>
  </si>
  <si>
    <t>2302154-0/001</t>
  </si>
  <si>
    <t>LAPP GROUP / LAPP GROUP</t>
  </si>
  <si>
    <t>Cabo de instrumentação Unitronic BR BC 105 1x2Px1,00mm² 300V 105°C Cobre C2/PVC-E/PVC ST2 - Preto - Lote: EX6-8148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</si>
  <si>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</si>
  <si>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</si>
  <si>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</si>
  <si>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</si>
  <si>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</si>
  <si>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>30 METROS</t>
  </si>
  <si>
    <t>2303056-2/002</t>
  </si>
  <si>
    <t>COMMSCOPE  / CommScope</t>
  </si>
  <si>
    <t>Cabo para transmissão de dados U/UTP Flexível Cat 6A 28AWG x 4P LSZH - Uso interno - Azul</t>
  </si>
  <si>
    <t>APROXIMADAMENTE 1.000 METROS</t>
  </si>
  <si>
    <t xml:space="preserve"> APROXIMADAMENTE 1.000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</si>
  <si>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</si>
  <si>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</si>
  <si>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</si>
  <si>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</si>
  <si>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</si>
  <si>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</si>
  <si>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</si>
  <si>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</si>
  <si>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</si>
  <si>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</si>
  <si>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</si>
  <si>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</si>
  <si>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</si>
  <si>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</si>
  <si>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</si>
  <si>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</si>
  <si>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</si>
  <si>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</si>
  <si>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</si>
  <si>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</si>
  <si>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</si>
  <si>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</si>
  <si>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</si>
  <si>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</si>
  <si>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</si>
  <si>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</si>
  <si>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</si>
  <si>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</si>
  <si>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</si>
  <si>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</si>
  <si>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</si>
  <si>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</si>
  <si>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</si>
  <si>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</si>
  <si>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</si>
  <si>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KRJ CONECT / KRJ CONECT</t>
  </si>
  <si>
    <t>Conector Perfurante KARP Tipo-1 - Cabo Principal: 35 mm² Al Classe 2 / Cabo Derivação: 70 mm² Al Classe 2</t>
  </si>
  <si>
    <t>02 unidades</t>
  </si>
  <si>
    <t>2303159-1/004</t>
  </si>
  <si>
    <t>Conector Perfurante KARP Tipo-1 - Cabo Principal: 70 mm² Al Classe 2 / Cabo Derivação: 70 mm² Al Classe 2</t>
  </si>
  <si>
    <t>2303175-0/001</t>
  </si>
  <si>
    <t>CLAMPER / CLAMPER</t>
  </si>
  <si>
    <t>DPS Clamper Grid 440V - 10kA - Classe II</t>
  </si>
  <si>
    <t xml:space="preserve"> 6 peças</t>
  </si>
  <si>
    <t>2303178-1/003</t>
  </si>
  <si>
    <t>LUVA ISOLANTE DE BORRACHA 17.000V CLASSE 2 - TIPO II - TAMANHO: 10 ½ - DIREITA: 14097670 E ESQUERDA: 15359805</t>
  </si>
  <si>
    <t>1 PAR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</si>
  <si>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</si>
  <si>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</si>
  <si>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</si>
  <si>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</si>
  <si>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</si>
  <si>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</si>
  <si>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</si>
  <si>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</si>
  <si>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</si>
  <si>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</si>
  <si>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</si>
  <si>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 xml:space="preserve"> 6 UNIDADES</t>
  </si>
  <si>
    <t>2303196-0/003</t>
  </si>
  <si>
    <t>Clamper Front 385V 45kA</t>
  </si>
  <si>
    <t>2303196-0/004</t>
  </si>
  <si>
    <t>2303210-0/003</t>
  </si>
  <si>
    <t>BETA TELEC / BRASILSAT</t>
  </si>
  <si>
    <t>Kit Plástico de antena 60cm - Modelo: SOA 107-060</t>
  </si>
  <si>
    <t xml:space="preserve"> 1 Kit Plástico</t>
  </si>
  <si>
    <t>2303221-0/001</t>
  </si>
  <si>
    <t>CORDEIRO / CORDEIRO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</si>
  <si>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</si>
  <si>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</si>
  <si>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</si>
  <si>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</si>
  <si>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</si>
  <si>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CABELAUTO / CABELAUTO</t>
  </si>
  <si>
    <t>Cabo automotivo RK LMP 25,00mm² - Vermelho - Cód.: 7833080</t>
  </si>
  <si>
    <t xml:space="preserve"> 4 METROS</t>
  </si>
  <si>
    <t>2304014-0/002</t>
  </si>
  <si>
    <t>Cabo automotivo RK LMP 70,00mm² - Vermelho - Cód.: 7833080</t>
  </si>
  <si>
    <t>2304038-2/001</t>
  </si>
  <si>
    <t>QC CERTIFI / LIZZE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</si>
  <si>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</si>
  <si>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</si>
  <si>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</si>
  <si>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</si>
  <si>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</si>
  <si>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</si>
  <si>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</si>
  <si>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</si>
  <si>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</si>
  <si>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</si>
  <si>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</si>
  <si>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</si>
  <si>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</si>
  <si>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</si>
  <si>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</si>
  <si>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</si>
  <si>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</si>
  <si>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</si>
  <si>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FURUKAWA / FURUKAWA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</si>
  <si>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</si>
  <si>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</si>
  <si>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</si>
  <si>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</si>
  <si>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</si>
  <si>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</si>
  <si>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</si>
  <si>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</si>
  <si>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</si>
  <si>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</si>
  <si>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</si>
  <si>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</si>
  <si>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</si>
  <si>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</si>
  <si>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</si>
  <si>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</si>
  <si>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</si>
  <si>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</si>
  <si>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</si>
  <si>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</si>
  <si>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Porta Corta-Fogo P-90</t>
  </si>
  <si>
    <t xml:space="preserve"> 2 PORTAS + 2 BATENTES + FERRAGENS + DOCUMENTAÇÃO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</si>
  <si>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</si>
  <si>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</si>
  <si>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</si>
  <si>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</si>
  <si>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</si>
  <si>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</si>
  <si>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</si>
  <si>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</si>
  <si>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</si>
  <si>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</si>
  <si>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</si>
  <si>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</si>
  <si>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</si>
  <si>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</si>
  <si>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</si>
  <si>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</si>
  <si>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</si>
  <si>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</si>
  <si>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</si>
  <si>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</si>
  <si>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</si>
  <si>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</si>
  <si>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</si>
  <si>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</si>
  <si>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</si>
  <si>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</si>
  <si>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</si>
  <si>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</si>
  <si>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3 UNIDADES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</si>
  <si>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</si>
  <si>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</si>
  <si>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</si>
  <si>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</si>
  <si>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</si>
  <si>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</si>
  <si>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</si>
  <si>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</si>
  <si>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</si>
  <si>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</si>
  <si>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</si>
  <si>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</si>
  <si>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</si>
  <si>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</si>
  <si>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</si>
  <si>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</si>
  <si>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</si>
  <si>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</si>
  <si>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</si>
  <si>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</si>
  <si>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</si>
  <si>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</si>
  <si>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</si>
  <si>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</si>
  <si>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</si>
  <si>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</si>
  <si>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</si>
  <si>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</si>
  <si>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</si>
  <si>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</si>
  <si>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</si>
  <si>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</si>
  <si>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</si>
  <si>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</si>
  <si>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</si>
  <si>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</si>
  <si>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</si>
  <si>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</si>
  <si>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</si>
  <si>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</si>
  <si>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</si>
  <si>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</si>
  <si>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</si>
  <si>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2304147-1/004</t>
  </si>
  <si>
    <t>QC CERTIFI / TERRA FÉRT</t>
  </si>
  <si>
    <t>Secador de cabelo 110-127V, 1900-2000W, 50-60Hz, Classe II, IPX0 - Modelo: HS312S Dragon 3000</t>
  </si>
  <si>
    <t>2304147-1/005</t>
  </si>
  <si>
    <t>Secador de cabelo 220-230V, 1900-2100W, 50-60Hz, Classe II, IPX0 - Modelo: HS312S Dragon 3000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</si>
  <si>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</si>
  <si>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</si>
  <si>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</si>
  <si>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</si>
  <si>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</si>
  <si>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</si>
  <si>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INTELBRAS / INTELBRAS</t>
  </si>
  <si>
    <t>Cabo Óptico Drop Compacto - Modelo: CFOAC-BLI A/B-CM-01-FO-CO-LSZH - Preto</t>
  </si>
  <si>
    <t xml:space="preserve"> 1000 METROS</t>
  </si>
  <si>
    <t>2304179-0/001</t>
  </si>
  <si>
    <t>BVQI (SP) / SCHNEIDER</t>
  </si>
  <si>
    <t>Tomada modular de embutir 2P+T 20A 250V - Linha Miluz - Alumínio - Cód.: S3B70352</t>
  </si>
  <si>
    <t xml:space="preserve"> 15 UNIDADES</t>
  </si>
  <si>
    <t>LAB. PLUGUES e TOMADAS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</si>
  <si>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</si>
  <si>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</si>
  <si>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</si>
  <si>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</si>
  <si>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</si>
  <si>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</si>
  <si>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</si>
  <si>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</si>
  <si>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</si>
  <si>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</si>
  <si>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</si>
  <si>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</si>
  <si>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</si>
  <si>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</si>
  <si>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</si>
  <si>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</si>
  <si>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</si>
  <si>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</si>
  <si>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</si>
  <si>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</si>
  <si>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</si>
  <si>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</si>
  <si>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</si>
  <si>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</si>
  <si>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</si>
  <si>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</si>
  <si>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</si>
  <si>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</si>
  <si>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</si>
  <si>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</si>
  <si>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</si>
  <si>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</si>
  <si>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</si>
  <si>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</si>
  <si>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</si>
  <si>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</si>
  <si>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</si>
  <si>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</si>
  <si>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</si>
  <si>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</si>
  <si>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</si>
  <si>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</si>
  <si>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 20A 250V - Linha Stella - Branco - Ref.: 868061</t>
  </si>
  <si>
    <t>Tomada modular de embutir 2P+T, 10A / 250V~, IP44 - Referência: S8640 - Processo nº BR32176051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</si>
  <si>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</si>
  <si>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</si>
  <si>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</si>
  <si>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</si>
  <si>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</si>
  <si>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</si>
  <si>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</si>
  <si>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</si>
  <si>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</si>
  <si>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UL DO BRAS / SIMON</t>
  </si>
  <si>
    <t>Tomada modular de embutir 2P+T 20A 250V - Linha S26 - Branco - Ref.: 2610427-030</t>
  </si>
  <si>
    <t xml:space="preserve"> 12 UNIDADES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</si>
  <si>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</si>
  <si>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</si>
  <si>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</si>
  <si>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</si>
  <si>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</si>
  <si>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</si>
  <si>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</si>
  <si>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</si>
  <si>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</si>
  <si>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</si>
  <si>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</si>
  <si>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</si>
  <si>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</si>
  <si>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2305003-0/002</t>
  </si>
  <si>
    <t>Splices Soldados por Ultrassom (33 amostras)</t>
  </si>
  <si>
    <t>2305009-1/001</t>
  </si>
  <si>
    <t>MR CERTIFI / ARGENTUM</t>
  </si>
  <si>
    <t>Cabo Argensilflex 1x0,75mm² 450/750V Cobre/ Silicone C5 - Branco</t>
  </si>
  <si>
    <t>100 METROS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</si>
  <si>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</si>
  <si>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</si>
  <si>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</si>
  <si>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desmontável, 2P+T, 15A, 250V, equipado com pinos não maciços e cabo PP de perfil circular na seção 3x1,50 mm²</t>
  </si>
  <si>
    <t>Plugue não desmontável 2P+T 10A 250V, saída 180°, com pinos não maciços - Equipado com cabo flexível de perfil circular 3x1,00mm² 500V - Branco com cabo preto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</si>
  <si>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</si>
  <si>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</si>
  <si>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</si>
  <si>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</si>
  <si>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2305009-1/008</t>
  </si>
  <si>
    <t>Tomada móvel não desmontável 2P+T 10A 250V, saída 180° - Equipado com cabo flexível de perfil circular 3x1,00mm² 500V -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</si>
  <si>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</si>
  <si>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</si>
  <si>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</si>
  <si>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</si>
  <si>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</si>
  <si>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</si>
  <si>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</si>
  <si>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</si>
  <si>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</si>
  <si>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</si>
  <si>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</si>
  <si>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</si>
  <si>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</si>
  <si>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</si>
  <si>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</si>
  <si>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</si>
  <si>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</si>
  <si>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</si>
  <si>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</si>
  <si>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</si>
  <si>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</si>
  <si>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</si>
  <si>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</si>
  <si>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</si>
  <si>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</si>
  <si>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</si>
  <si>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</si>
  <si>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 xml:space="preserve"> 2 PORTAS+ 2 BATENTES+ FERRAGENS + DOCUMENTAÇÃO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</si>
  <si>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</si>
  <si>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</si>
  <si>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</si>
  <si>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</si>
  <si>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</si>
  <si>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</si>
  <si>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</si>
  <si>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</si>
  <si>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</si>
  <si>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</si>
  <si>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</si>
  <si>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</si>
  <si>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</si>
  <si>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</si>
  <si>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</si>
  <si>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</si>
  <si>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</si>
  <si>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</si>
  <si>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ISOLAFORT  / ISOLAFORT</t>
  </si>
  <si>
    <t>Fita Isolante F7 PRIME, Classe A, 750V , 90°C -19mm x 20m, Esp: 0,19mm - Antichama</t>
  </si>
  <si>
    <t>1 rolo de 20 metros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</si>
  <si>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</si>
  <si>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</si>
  <si>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</si>
  <si>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</si>
  <si>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</si>
  <si>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</si>
  <si>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</si>
  <si>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</si>
  <si>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</si>
  <si>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</si>
  <si>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</si>
  <si>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 xml:space="preserve"> 4 UNIDADES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</si>
  <si>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</si>
  <si>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</si>
  <si>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</si>
  <si>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</si>
  <si>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</si>
  <si>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</si>
  <si>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</si>
  <si>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</si>
  <si>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</si>
  <si>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</si>
  <si>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</si>
  <si>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</si>
  <si>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</si>
  <si>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</si>
  <si>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</si>
  <si>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</si>
  <si>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</si>
  <si>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</si>
  <si>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</si>
  <si>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</si>
  <si>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</si>
  <si>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</si>
  <si>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DACARTO / DACARTO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</si>
  <si>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</si>
  <si>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</si>
  <si>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</si>
  <si>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</si>
  <si>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</si>
  <si>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</si>
  <si>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</si>
  <si>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</si>
  <si>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</si>
  <si>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</si>
  <si>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</si>
  <si>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</si>
  <si>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</si>
  <si>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</si>
  <si>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</si>
  <si>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</si>
  <si>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</si>
  <si>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</si>
  <si>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</si>
  <si>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</si>
  <si>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</si>
  <si>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</si>
  <si>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</si>
  <si>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</si>
  <si>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</si>
  <si>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</si>
  <si>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</si>
  <si>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</si>
  <si>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</si>
  <si>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</si>
  <si>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</si>
  <si>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</si>
  <si>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</si>
  <si>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</si>
  <si>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</si>
  <si>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</si>
  <si>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</si>
  <si>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</si>
  <si>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</si>
  <si>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</si>
  <si>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</si>
  <si>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</si>
  <si>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</si>
  <si>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</si>
  <si>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</si>
  <si>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</si>
  <si>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</si>
  <si>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</si>
  <si>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</si>
  <si>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</si>
  <si>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</si>
  <si>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</si>
  <si>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</si>
  <si>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2305097-0/001</t>
  </si>
  <si>
    <t>TESIS / TESIS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</si>
  <si>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</si>
  <si>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</si>
  <si>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</si>
  <si>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</si>
  <si>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</si>
  <si>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</si>
  <si>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</si>
  <si>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</si>
  <si>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</si>
  <si>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 xml:space="preserve"> 03 UNIDADES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</si>
  <si>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</si>
  <si>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</si>
  <si>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</si>
  <si>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</si>
  <si>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</si>
  <si>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</si>
  <si>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</si>
  <si>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</si>
  <si>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</si>
  <si>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</si>
  <si>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</si>
  <si>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</si>
  <si>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</si>
  <si>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NEO ALUMÍN / NEO ALUMÍN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</si>
  <si>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</si>
  <si>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</si>
  <si>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</si>
  <si>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</si>
  <si>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</si>
  <si>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</si>
  <si>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</si>
  <si>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</si>
  <si>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</si>
  <si>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</si>
  <si>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</si>
  <si>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</si>
  <si>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</si>
  <si>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</si>
  <si>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</si>
  <si>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</si>
  <si>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</si>
  <si>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</si>
  <si>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IDP / IDP</t>
  </si>
  <si>
    <t>Corpos de prova de poste fabricados em Fibra de Vidro (PRFV)</t>
  </si>
  <si>
    <t>10 placas de 250x250x1mm</t>
  </si>
  <si>
    <t>2305132-0/001</t>
  </si>
  <si>
    <t>MARGIRIUS  / MARGIRIUS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</si>
  <si>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</si>
  <si>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</si>
  <si>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</si>
  <si>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</si>
  <si>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</si>
  <si>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>TRANSAMERI / ----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</si>
  <si>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</si>
  <si>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</si>
  <si>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</si>
  <si>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</si>
  <si>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</si>
  <si>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</si>
  <si>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</si>
  <si>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</si>
  <si>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</si>
  <si>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</si>
  <si>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</si>
  <si>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</si>
  <si>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</si>
  <si>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</si>
  <si>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</si>
  <si>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</si>
  <si>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</si>
  <si>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</si>
  <si>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</si>
  <si>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</si>
  <si>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</si>
  <si>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</si>
  <si>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</si>
  <si>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</si>
  <si>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</si>
  <si>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</si>
  <si>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</si>
  <si>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</si>
  <si>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</si>
  <si>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</si>
  <si>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</si>
  <si>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</si>
  <si>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</si>
  <si>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</si>
  <si>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</si>
  <si>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</si>
  <si>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</si>
  <si>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</si>
  <si>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</si>
  <si>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</si>
  <si>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</si>
  <si>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</si>
  <si>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</si>
  <si>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</si>
  <si>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</si>
  <si>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</si>
  <si>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</si>
  <si>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</si>
  <si>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</si>
  <si>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</si>
  <si>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</si>
  <si>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</si>
  <si>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</si>
  <si>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</si>
  <si>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</si>
  <si>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</si>
  <si>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</si>
  <si>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</si>
  <si>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</si>
  <si>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</si>
  <si>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</si>
  <si>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</si>
  <si>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</si>
  <si>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</si>
  <si>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</si>
  <si>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PRYSMIAN ( / PRYSMIAN (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</si>
  <si>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</si>
  <si>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</si>
  <si>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</si>
  <si>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</si>
  <si>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</si>
  <si>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</si>
  <si>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CONDUSPAR / CONDUSPAR</t>
  </si>
  <si>
    <t>Cabo CTRL-Flex Toxfree Blindado FC 5x2,5mm² CU/HEPR/SHF1 1000V - Preto - Cód.: 2161201BB - Lote: 0001596184</t>
  </si>
  <si>
    <t xml:space="preserve"> APROXIMADAMENTE 2 METROS</t>
  </si>
  <si>
    <t>2306036-0/004</t>
  </si>
  <si>
    <t>TRANSMÓBIL / TRANSMÓBIL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</si>
  <si>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</si>
  <si>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</si>
  <si>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</si>
  <si>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</si>
  <si>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</si>
  <si>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</si>
  <si>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</si>
  <si>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</si>
  <si>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</si>
  <si>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</si>
  <si>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</si>
  <si>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</si>
  <si>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</si>
  <si>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</si>
  <si>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 xml:space="preserve"> 2 METROS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</si>
  <si>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</si>
  <si>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</si>
  <si>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</si>
  <si>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</si>
  <si>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</si>
  <si>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Construção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</si>
</sst>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3" fillId="0" borderId="0">
      <alignment vertical="top"/>
    </xf>
  </cellStyleXfs>
  <cellXfs count="114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9" fillId="0" borderId="0" xfId="0" applyFont="1"/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2" fillId="4" borderId="9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0" fillId="6" borderId="13" xfId="0" applyFont="1" applyFill="1" applyBorder="1" applyAlignment="1" applyProtection="1">
      <alignment horizontal="center" vertical="center"/>
      <protection hidden="1"/>
    </xf>
    <xf numFmtId="0" fontId="10" fillId="6" borderId="7" xfId="0" applyFont="1" applyFill="1" applyBorder="1" applyAlignment="1" applyProtection="1">
      <alignment horizontal="center" vertical="center"/>
      <protection hidden="1"/>
    </xf>
    <xf numFmtId="9" fontId="10" fillId="6" borderId="14" xfId="1" applyFon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>
      <alignment horizontal="center" vertical="center"/>
    </xf>
    <xf numFmtId="0" fontId="0" fillId="10" borderId="1" xfId="0" quotePrefix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1" xfId="0" quotePrefix="1" applyFont="1" applyFill="1" applyBorder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0" fillId="6" borderId="1" xfId="0" quotePrefix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13" borderId="15" xfId="2" applyFont="1" applyFill="1" applyBorder="1" applyAlignment="1">
      <alignment horizontal="center" vertical="center"/>
    </xf>
    <xf numFmtId="0" fontId="14" fillId="13" borderId="15" xfId="2" applyFont="1" applyFill="1" applyBorder="1" applyAlignment="1">
      <alignment horizontal="left" vertical="center"/>
    </xf>
    <xf numFmtId="14" fontId="14" fillId="13" borderId="15" xfId="2" applyNumberFormat="1" applyFont="1" applyFill="1" applyBorder="1" applyAlignment="1">
      <alignment horizontal="center" vertical="center"/>
    </xf>
    <xf numFmtId="0" fontId="14" fillId="13" borderId="18" xfId="2" applyFont="1" applyFill="1" applyBorder="1" applyAlignment="1">
      <alignment horizontal="center" vertical="center"/>
    </xf>
    <xf numFmtId="0" fontId="15" fillId="13" borderId="16" xfId="2" applyFont="1" applyFill="1" applyBorder="1" applyAlignment="1">
      <alignment horizontal="center" vertical="center"/>
    </xf>
    <xf numFmtId="0" fontId="15" fillId="13" borderId="16" xfId="2" applyFont="1" applyFill="1" applyBorder="1" applyAlignment="1">
      <alignment horizontal="center" vertical="center" readingOrder="1"/>
    </xf>
    <xf numFmtId="14" fontId="15" fillId="13" borderId="16" xfId="2" applyNumberFormat="1" applyFont="1" applyFill="1" applyBorder="1" applyAlignment="1">
      <alignment horizontal="center" vertical="center"/>
    </xf>
    <xf numFmtId="14" fontId="15" fillId="13" borderId="16" xfId="2" applyNumberFormat="1" applyFont="1" applyFill="1" applyBorder="1" applyAlignment="1">
      <alignment horizontal="center" vertical="center" readingOrder="1"/>
    </xf>
    <xf numFmtId="0" fontId="15" fillId="13" borderId="19" xfId="2" applyFont="1" applyFill="1" applyBorder="1" applyAlignment="1">
      <alignment horizontal="center" vertical="center"/>
    </xf>
    <xf numFmtId="164" fontId="14" fillId="13" borderId="15" xfId="2" applyNumberFormat="1" applyFont="1" applyFill="1" applyBorder="1" applyAlignment="1">
      <alignment horizontal="center" vertical="center"/>
    </xf>
    <xf numFmtId="14" fontId="14" fillId="13" borderId="15" xfId="2" applyNumberFormat="1" applyFont="1" applyFill="1" applyBorder="1" applyAlignment="1">
      <alignment horizontal="center" vertical="center" readingOrder="1"/>
    </xf>
    <xf numFmtId="0" fontId="17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/>
    </xf>
    <xf numFmtId="0" fontId="16" fillId="10" borderId="0" xfId="0" applyFont="1" applyFill="1" applyAlignment="1">
      <alignment horizontal="center" vertical="center"/>
    </xf>
    <xf numFmtId="0" fontId="14" fillId="15" borderId="15" xfId="2" applyFont="1" applyFill="1" applyBorder="1" applyAlignment="1">
      <alignment horizontal="center" vertical="center"/>
    </xf>
    <xf numFmtId="0" fontId="14" fillId="15" borderId="15" xfId="2" applyFont="1" applyFill="1" applyBorder="1" applyAlignment="1">
      <alignment horizontal="left" vertical="center"/>
    </xf>
    <xf numFmtId="14" fontId="14" fillId="15" borderId="15" xfId="2" applyNumberFormat="1" applyFont="1" applyFill="1" applyBorder="1" applyAlignment="1">
      <alignment horizontal="center" vertical="center"/>
    </xf>
    <xf numFmtId="164" fontId="14" fillId="15" borderId="15" xfId="2" applyNumberFormat="1" applyFont="1" applyFill="1" applyBorder="1" applyAlignment="1">
      <alignment horizontal="center" vertical="center"/>
    </xf>
    <xf numFmtId="0" fontId="14" fillId="15" borderId="18" xfId="2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0" xfId="2" applyFont="1" applyFill="1" applyBorder="1" applyAlignment="1">
      <alignment horizontal="left" vertical="center"/>
    </xf>
    <xf numFmtId="14" fontId="14" fillId="13" borderId="0" xfId="2" applyNumberFormat="1" applyFont="1" applyFill="1" applyBorder="1" applyAlignment="1">
      <alignment horizontal="left" vertical="center"/>
    </xf>
    <xf numFmtId="0" fontId="14" fillId="13" borderId="0" xfId="2" applyFont="1" applyFill="1" applyBorder="1" applyAlignment="1">
      <alignment horizontal="left" vertical="top"/>
    </xf>
    <xf numFmtId="0" fontId="15" fillId="13" borderId="17" xfId="2" applyFont="1" applyFill="1" applyBorder="1" applyAlignment="1">
      <alignment horizontal="left" vertical="center"/>
    </xf>
    <xf numFmtId="14" fontId="15" fillId="13" borderId="17" xfId="2" applyNumberFormat="1" applyFont="1" applyFill="1" applyBorder="1" applyAlignment="1">
      <alignment horizontal="left" vertical="center"/>
    </xf>
    <xf numFmtId="0" fontId="15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4" fillId="13" borderId="15" xfId="2" applyFont="1" applyFill="1" applyBorder="1">
      <alignment vertical="top"/>
    </xf>
    <xf numFmtId="0" fontId="14" fillId="15" borderId="15" xfId="2" applyFont="1" applyFill="1" applyBorder="1">
      <alignment vertical="top"/>
    </xf>
    <xf numFmtId="0" fontId="14" fillId="15" borderId="15" xfId="2" applyFont="1" applyFill="1" applyBorder="1" applyAlignment="1">
      <alignment horizontal="center" vertical="center" readingOrder="1"/>
    </xf>
    <xf numFmtId="0" fontId="14" fillId="13" borderId="15" xfId="2" applyFont="1" applyFill="1" applyBorder="1" applyAlignment="1">
      <alignment horizontal="center" vertical="center" readingOrder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4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39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33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3"/>
                <c:pt idx="1">
                  <c:v>8</c:v>
                </c:pt>
                <c:pt idx="2">
                  <c:v>8</c:v>
                </c:pt>
                <c:pt idx="3">
                  <c:v>2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3"/>
                <c:pt idx="1">
                  <c:v>33</c:v>
                </c:pt>
                <c:pt idx="2">
                  <c:v>25</c:v>
                </c:pt>
                <c:pt idx="3">
                  <c:v>32</c:v>
                </c:pt>
                <c:pt idx="4">
                  <c:v>54</c:v>
                </c:pt>
                <c:pt idx="5">
                  <c:v>74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Vitória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101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Vitória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71718</xdr:colOff>
      <xdr:row>0</xdr:row>
      <xdr:rowOff>76759</xdr:rowOff>
    </xdr:from>
    <xdr:to>
      <xdr:col>1</xdr:col>
      <xdr:colOff>823968</xdr:colOff>
      <xdr:row>0</xdr:row>
      <xdr:rowOff>364759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71718" y="76759"/>
          <a:ext cx="1800000" cy="28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1039626</xdr:colOff>
      <xdr:row>0</xdr:row>
      <xdr:rowOff>76759</xdr:rowOff>
    </xdr:from>
    <xdr:to>
      <xdr:col>3</xdr:col>
      <xdr:colOff>134526</xdr:colOff>
      <xdr:row>0</xdr:row>
      <xdr:rowOff>364759</xdr:rowOff>
    </xdr:to>
    <xdr:sp macro="[0]!btnAtualizar" textlink="">
      <xdr:nvSpPr>
        <xdr:cNvPr id="4" name="Retângulo 3">
          <a:extLst>
            <a:ext uri="{FF2B5EF4-FFF2-40B4-BE49-F238E27FC236}">
              <a16:creationId xmlns:a16="http://schemas.microsoft.com/office/drawing/2014/main" id="{EEA41B00-7356-4F73-B98B-D92FA1A838C9}"/>
            </a:ext>
          </a:extLst>
        </xdr:cNvPr>
        <xdr:cNvSpPr/>
      </xdr:nvSpPr>
      <xdr:spPr>
        <a:xfrm>
          <a:off x="2087376" y="76759"/>
          <a:ext cx="1800000" cy="28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3</xdr:col>
      <xdr:colOff>350184</xdr:colOff>
      <xdr:row>0</xdr:row>
      <xdr:rowOff>76759</xdr:rowOff>
    </xdr:from>
    <xdr:to>
      <xdr:col>5</xdr:col>
      <xdr:colOff>54684</xdr:colOff>
      <xdr:row>0</xdr:row>
      <xdr:rowOff>364759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4103034" y="76759"/>
          <a:ext cx="1800000" cy="28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8283</xdr:colOff>
      <xdr:row>8</xdr:row>
      <xdr:rowOff>33130</xdr:rowOff>
    </xdr:from>
    <xdr:to>
      <xdr:col>1</xdr:col>
      <xdr:colOff>1543489</xdr:colOff>
      <xdr:row>9</xdr:row>
      <xdr:rowOff>92570</xdr:rowOff>
    </xdr:to>
    <xdr:sp macro="[0]!ImportarDados" textlink="">
      <xdr:nvSpPr>
        <xdr:cNvPr id="2" name="Retângulo 1">
          <a:extLst>
            <a:ext uri="{FF2B5EF4-FFF2-40B4-BE49-F238E27FC236}">
              <a16:creationId xmlns:a16="http://schemas.microsoft.com/office/drawing/2014/main" id="{EF41DBAF-A5F4-4EB7-AFBF-76440C56B225}"/>
            </a:ext>
          </a:extLst>
        </xdr:cNvPr>
        <xdr:cNvSpPr/>
      </xdr:nvSpPr>
      <xdr:spPr>
        <a:xfrm>
          <a:off x="5574196" y="1888434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8283</xdr:colOff>
      <xdr:row>9</xdr:row>
      <xdr:rowOff>169793</xdr:rowOff>
    </xdr:from>
    <xdr:to>
      <xdr:col>1</xdr:col>
      <xdr:colOff>1543489</xdr:colOff>
      <xdr:row>10</xdr:row>
      <xdr:rowOff>229233</xdr:rowOff>
    </xdr:to>
    <xdr:sp macro="[0]!btnAtualizar" textlink="">
      <xdr:nvSpPr>
        <xdr:cNvPr id="3" name="Retângulo 2">
          <a:extLst>
            <a:ext uri="{FF2B5EF4-FFF2-40B4-BE49-F238E27FC236}">
              <a16:creationId xmlns:a16="http://schemas.microsoft.com/office/drawing/2014/main" id="{72F0280A-EB86-49AA-AECA-F060AD6D8F84}"/>
            </a:ext>
          </a:extLst>
        </xdr:cNvPr>
        <xdr:cNvSpPr/>
      </xdr:nvSpPr>
      <xdr:spPr>
        <a:xfrm>
          <a:off x="5574196" y="225701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1</xdr:col>
      <xdr:colOff>8283</xdr:colOff>
      <xdr:row>11</xdr:row>
      <xdr:rowOff>74543</xdr:rowOff>
    </xdr:from>
    <xdr:to>
      <xdr:col>1</xdr:col>
      <xdr:colOff>1543489</xdr:colOff>
      <xdr:row>12</xdr:row>
      <xdr:rowOff>133982</xdr:rowOff>
    </xdr:to>
    <xdr:sp macro="[0]!btnLimpar" textlink="">
      <xdr:nvSpPr>
        <xdr:cNvPr id="4" name="Retângulo 3">
          <a:extLst>
            <a:ext uri="{FF2B5EF4-FFF2-40B4-BE49-F238E27FC236}">
              <a16:creationId xmlns:a16="http://schemas.microsoft.com/office/drawing/2014/main" id="{5FE0B00E-0219-491B-91AF-72B24898FB78}"/>
            </a:ext>
          </a:extLst>
        </xdr:cNvPr>
        <xdr:cNvSpPr/>
      </xdr:nvSpPr>
      <xdr:spPr>
        <a:xfrm>
          <a:off x="5574196" y="262558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209550</xdr:colOff>
      <xdr:row>0</xdr:row>
      <xdr:rowOff>209550</xdr:rowOff>
    </xdr:from>
    <xdr:to>
      <xdr:col>27</xdr:col>
      <xdr:colOff>525556</xdr:colOff>
      <xdr:row>0</xdr:row>
      <xdr:rowOff>500903</xdr:rowOff>
    </xdr:to>
    <xdr:sp macro="[0]!ImportarDados" textlink="">
      <xdr:nvSpPr>
        <xdr:cNvPr id="4" name="Retângulo 3">
          <a:extLst>
            <a:ext uri="{FF2B5EF4-FFF2-40B4-BE49-F238E27FC236}">
              <a16:creationId xmlns:a16="http://schemas.microsoft.com/office/drawing/2014/main" id="{C346E778-604B-44E7-B1B6-39B2AC8F1DDD}"/>
            </a:ext>
          </a:extLst>
        </xdr:cNvPr>
        <xdr:cNvSpPr/>
      </xdr:nvSpPr>
      <xdr:spPr>
        <a:xfrm>
          <a:off x="12601575" y="20955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25</xdr:col>
      <xdr:colOff>209550</xdr:colOff>
      <xdr:row>1</xdr:row>
      <xdr:rowOff>6626</xdr:rowOff>
    </xdr:from>
    <xdr:to>
      <xdr:col>27</xdr:col>
      <xdr:colOff>525556</xdr:colOff>
      <xdr:row>1</xdr:row>
      <xdr:rowOff>297979</xdr:rowOff>
    </xdr:to>
    <xdr:sp macro="[0]!btnAtualizar" textlink="">
      <xdr:nvSpPr>
        <xdr:cNvPr id="5" name="Retângulo 4">
          <a:extLst>
            <a:ext uri="{FF2B5EF4-FFF2-40B4-BE49-F238E27FC236}">
              <a16:creationId xmlns:a16="http://schemas.microsoft.com/office/drawing/2014/main" id="{59B2E94D-1C45-4EB5-878C-3E8B0D18C322}"/>
            </a:ext>
          </a:extLst>
        </xdr:cNvPr>
        <xdr:cNvSpPr/>
      </xdr:nvSpPr>
      <xdr:spPr>
        <a:xfrm>
          <a:off x="12601575" y="57812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25</xdr:col>
      <xdr:colOff>209550</xdr:colOff>
      <xdr:row>2</xdr:row>
      <xdr:rowOff>60877</xdr:rowOff>
    </xdr:from>
    <xdr:to>
      <xdr:col>27</xdr:col>
      <xdr:colOff>525556</xdr:colOff>
      <xdr:row>3</xdr:row>
      <xdr:rowOff>37905</xdr:rowOff>
    </xdr:to>
    <xdr:sp macro="[0]!btnLimpar" textlink="">
      <xdr:nvSpPr>
        <xdr:cNvPr id="6" name="Retângulo 5">
          <a:extLst>
            <a:ext uri="{FF2B5EF4-FFF2-40B4-BE49-F238E27FC236}">
              <a16:creationId xmlns:a16="http://schemas.microsoft.com/office/drawing/2014/main" id="{E0AD00DC-1DC9-4154-80F0-40F5F65E8206}"/>
            </a:ext>
          </a:extLst>
        </xdr:cNvPr>
        <xdr:cNvSpPr/>
      </xdr:nvSpPr>
      <xdr:spPr>
        <a:xfrm>
          <a:off x="12601575" y="946702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491699</xdr:colOff>
      <xdr:row>4</xdr:row>
      <xdr:rowOff>153707</xdr:rowOff>
    </xdr:from>
    <xdr:to>
      <xdr:col>4</xdr:col>
      <xdr:colOff>912059</xdr:colOff>
      <xdr:row>19</xdr:row>
      <xdr:rowOff>39407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8</xdr:col>
      <xdr:colOff>450672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1326696</xdr:colOff>
      <xdr:row>5</xdr:row>
      <xdr:rowOff>3174</xdr:rowOff>
    </xdr:from>
    <xdr:to>
      <xdr:col>5</xdr:col>
      <xdr:colOff>762000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44822</xdr:colOff>
      <xdr:row>29</xdr:row>
      <xdr:rowOff>33618</xdr:rowOff>
    </xdr:from>
    <xdr:to>
      <xdr:col>7</xdr:col>
      <xdr:colOff>582705</xdr:colOff>
      <xdr:row>52</xdr:row>
      <xdr:rowOff>168088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0"/>
  <sheetViews>
    <sheetView showGridLines="0" tabSelected="1" showOutlineSymbols="0" zoomScaleNormal="100" workbookViewId="0">
      <selection activeCell="K15" sqref="K15"/>
    </sheetView>
  </sheetViews>
  <sheetFormatPr defaultColWidth="11.7109375" defaultRowHeight="15" customHeight="1" x14ac:dyDescent="0.25"/>
  <cols>
    <col min="1" max="1" width="15.7109375" style="43" customWidth="1"/>
    <col min="2" max="2" width="15.7109375" style="41" customWidth="1"/>
    <col min="3" max="3" width="24.85546875" style="41" customWidth="1"/>
    <col min="4" max="6" width="15.7109375" style="40" customWidth="1"/>
    <col min="7" max="7" width="16.28515625" style="40" bestFit="1" customWidth="1"/>
    <col min="8" max="8" width="15.7109375" style="40" customWidth="1"/>
    <col min="9" max="9" width="26.42578125" style="40" customWidth="1"/>
    <col min="10" max="14" width="12.7109375" style="42" customWidth="1"/>
    <col min="15" max="15" width="10.7109375" style="40" customWidth="1"/>
    <col min="16" max="17" width="10.7109375" style="42" customWidth="1"/>
    <col min="18" max="18" width="11.7109375" style="42"/>
    <col min="19" max="20" width="11.7109375" style="40"/>
    <col min="21" max="22" width="11.7109375" style="42"/>
    <col min="23" max="27" width="11.7109375" style="40"/>
    <col min="28" max="16384" width="11.7109375" style="74"/>
  </cols>
  <sheetData>
    <row r="1" spans="1:27" s="67" customFormat="1" ht="36" customHeight="1" x14ac:dyDescent="0.25">
      <c r="A1" s="65"/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5"/>
      <c r="P1" s="66"/>
      <c r="Q1" s="66"/>
      <c r="R1" s="66"/>
      <c r="S1" s="65"/>
      <c r="T1" s="65"/>
      <c r="U1" s="66"/>
      <c r="V1" s="66"/>
      <c r="W1" s="65"/>
      <c r="X1" s="65"/>
      <c r="Y1" s="65"/>
      <c r="Z1" s="65"/>
      <c r="AA1" s="65"/>
    </row>
    <row r="2" spans="1:27" s="70" customFormat="1" ht="15" customHeight="1" x14ac:dyDescent="0.25">
      <c r="A2" s="68" t="s">
        <v>192</v>
      </c>
      <c r="B2" s="68"/>
      <c r="C2" s="68"/>
      <c r="D2" s="68"/>
      <c r="E2" s="68"/>
      <c r="F2" s="68"/>
      <c r="G2" s="68"/>
      <c r="H2" s="68"/>
      <c r="I2" s="68"/>
      <c r="J2" s="69"/>
      <c r="K2" s="69"/>
      <c r="L2" s="69"/>
      <c r="M2" s="69"/>
      <c r="N2" s="69"/>
      <c r="O2" s="68"/>
      <c r="P2" s="69"/>
      <c r="Q2" s="69"/>
      <c r="R2" s="69"/>
      <c r="S2" s="68"/>
      <c r="T2" s="68"/>
      <c r="U2" s="69"/>
      <c r="V2" s="69"/>
      <c r="W2" s="68"/>
      <c r="X2" s="68"/>
      <c r="Y2" s="68"/>
      <c r="Z2" s="68"/>
      <c r="AA2" s="68"/>
    </row>
    <row r="3" spans="1:27" s="44" customFormat="1" ht="15" customHeight="1" x14ac:dyDescent="0.25">
      <c r="A3" s="48" t="s">
        <v>55</v>
      </c>
      <c r="B3" s="44" t="s">
        <v>56</v>
      </c>
      <c r="C3" s="45" t="s">
        <v>57</v>
      </c>
      <c r="D3" s="45" t="s">
        <v>135</v>
      </c>
      <c r="E3" s="45" t="s">
        <v>58</v>
      </c>
      <c r="F3" s="45" t="s">
        <v>59</v>
      </c>
      <c r="G3" s="45" t="s">
        <v>60</v>
      </c>
      <c r="H3" s="44" t="s">
        <v>136</v>
      </c>
      <c r="I3" s="45" t="s">
        <v>137</v>
      </c>
      <c r="J3" s="46" t="s">
        <v>61</v>
      </c>
      <c r="K3" s="47" t="s">
        <v>62</v>
      </c>
      <c r="L3" s="46" t="s">
        <v>63</v>
      </c>
      <c r="M3" s="47" t="s">
        <v>64</v>
      </c>
      <c r="N3" s="47" t="s">
        <v>65</v>
      </c>
      <c r="O3" s="45" t="s">
        <v>121</v>
      </c>
      <c r="P3" s="46" t="s">
        <v>124</v>
      </c>
      <c r="Q3" s="47"/>
      <c r="R3" s="47"/>
      <c r="S3" s="45"/>
      <c r="T3" s="45"/>
      <c r="U3" s="47"/>
      <c r="V3" s="47"/>
      <c r="W3" s="45"/>
      <c r="X3" s="45"/>
    </row>
    <row r="5" spans="1:27" s="75" customFormat="1" ht="15" customHeight="1" x14ac:dyDescent="0.25">
      <c r="A5" s="60" t="s">
        <v>193</v>
      </c>
      <c r="B5" s="57" t="s">
        <v>194</v>
      </c>
      <c r="C5" s="57" t="s">
        <v>195</v>
      </c>
      <c r="D5" s="56" t="s">
        <v>196</v>
      </c>
      <c r="E5" s="56" t="s">
        <v>70</v>
      </c>
      <c r="F5" s="56" t="s">
        <v>67</v>
      </c>
      <c r="G5" s="56" t="s">
        <v>68</v>
      </c>
      <c r="H5" s="56" t="s">
        <v>155</v>
      </c>
      <c r="I5" s="56" t="s">
        <v>140</v>
      </c>
      <c r="J5" s="58">
        <v>45028</v>
      </c>
      <c r="K5" s="58">
        <v>45063</v>
      </c>
      <c r="L5" s="58">
        <v>45065</v>
      </c>
      <c r="M5" s="58">
        <v>45076</v>
      </c>
      <c r="N5" s="58">
        <v>45079</v>
      </c>
      <c r="O5" s="56" t="s">
        <v>123</v>
      </c>
      <c r="P5" s="58" t="s">
        <v>123</v>
      </c>
      <c r="Q5" s="58"/>
      <c r="R5" s="58"/>
      <c r="S5" s="56"/>
      <c r="T5" s="56"/>
      <c r="U5" s="58"/>
      <c r="V5" s="58"/>
      <c r="W5" s="56"/>
      <c r="X5" s="56"/>
      <c r="Y5" s="56"/>
      <c r="Z5" s="56"/>
      <c r="AA5" s="56"/>
    </row>
    <row r="6" spans="1:27" ht="15" customHeight="1" x14ac:dyDescent="0.25">
      <c r="A6" s="43" t="s">
        <v>197</v>
      </c>
      <c r="B6" s="41" t="s">
        <v>198</v>
      </c>
      <c r="C6" s="41" t="s">
        <v>199</v>
      </c>
      <c r="D6" s="40" t="s">
        <v>200</v>
      </c>
      <c r="E6" s="40" t="s">
        <v>70</v>
      </c>
      <c r="F6" s="40" t="s">
        <v>67</v>
      </c>
      <c r="G6" s="40" t="s">
        <v>71</v>
      </c>
      <c r="H6" s="40" t="s">
        <v>155</v>
      </c>
      <c r="I6" s="40" t="s">
        <v>161</v>
      </c>
      <c r="J6" s="42">
        <v>45076</v>
      </c>
      <c r="K6" s="42">
        <v>45085</v>
      </c>
      <c r="L6" s="42">
        <v>45090</v>
      </c>
      <c r="M6" s="42">
        <v>45092</v>
      </c>
      <c r="N6" s="42">
        <v>45092</v>
      </c>
      <c r="O6" s="40" t="s">
        <v>123</v>
      </c>
      <c r="P6" s="42" t="s">
        <v>122</v>
      </c>
    </row>
    <row r="7" spans="1:27" s="75" customFormat="1" ht="15" customHeight="1" x14ac:dyDescent="0.25">
      <c r="A7" s="60" t="s">
        <v>201</v>
      </c>
      <c r="B7" s="57" t="s">
        <v>202</v>
      </c>
      <c r="C7" s="57" t="s">
        <v>203</v>
      </c>
      <c r="D7" s="56" t="s">
        <v>204</v>
      </c>
      <c r="E7" s="56" t="s">
        <v>70</v>
      </c>
      <c r="F7" s="56" t="s">
        <v>67</v>
      </c>
      <c r="G7" s="76" t="s">
        <v>68</v>
      </c>
      <c r="H7" s="56" t="s">
        <v>160</v>
      </c>
      <c r="I7" s="56" t="s">
        <v>140</v>
      </c>
      <c r="J7" s="58">
        <v>45058</v>
      </c>
      <c r="K7" s="58">
        <v>45082</v>
      </c>
      <c r="L7" s="58">
        <v>45084</v>
      </c>
      <c r="M7" s="58">
        <v>45096</v>
      </c>
      <c r="N7" s="58">
        <v>45096</v>
      </c>
      <c r="O7" s="56" t="s">
        <v>123</v>
      </c>
      <c r="P7" s="58" t="s">
        <v>123</v>
      </c>
      <c r="Q7" s="58"/>
      <c r="R7" s="58"/>
      <c r="S7" s="59"/>
      <c r="T7" s="59"/>
      <c r="U7" s="58"/>
      <c r="V7" s="58"/>
      <c r="W7" s="59"/>
      <c r="X7" s="59"/>
      <c r="Y7" s="56"/>
      <c r="Z7" s="56"/>
      <c r="AA7" s="56" t="str">
        <f>IFERROR(
IF(AND(X7="Não",Y7="Sim"),"REP",
IF(AND(X7="Sim",Y7="Não"),"Técnico",
IF(AND(X7="Sim",Y7="Sim"),"Ambos",""))),
"")</f>
        <v/>
      </c>
    </row>
    <row r="8" spans="1:27" s="75" customFormat="1" ht="15" customHeight="1" x14ac:dyDescent="0.25">
      <c r="A8" s="60" t="s">
        <v>201</v>
      </c>
      <c r="B8" s="57" t="s">
        <v>202</v>
      </c>
      <c r="C8" s="57" t="s">
        <v>203</v>
      </c>
      <c r="D8" s="56" t="s">
        <v>204</v>
      </c>
      <c r="E8" s="56" t="s">
        <v>70</v>
      </c>
      <c r="F8" s="56" t="s">
        <v>67</v>
      </c>
      <c r="G8" s="56" t="s">
        <v>68</v>
      </c>
      <c r="H8" s="56" t="s">
        <v>160</v>
      </c>
      <c r="I8" s="56" t="s">
        <v>161</v>
      </c>
      <c r="J8" s="58">
        <v>45058</v>
      </c>
      <c r="K8" s="58">
        <v>45082</v>
      </c>
      <c r="L8" s="58">
        <v>45084</v>
      </c>
      <c r="M8" s="58">
        <v>45083</v>
      </c>
      <c r="N8" s="58">
        <v>45096</v>
      </c>
      <c r="O8" s="56" t="s">
        <v>123</v>
      </c>
      <c r="P8" s="58" t="s">
        <v>123</v>
      </c>
      <c r="Q8" s="58"/>
      <c r="R8" s="58"/>
      <c r="S8" s="56"/>
      <c r="T8" s="56"/>
      <c r="U8" s="58"/>
      <c r="V8" s="58"/>
      <c r="W8" s="56"/>
      <c r="X8" s="56"/>
      <c r="Y8" s="56"/>
      <c r="Z8" s="56"/>
      <c r="AA8" s="56" t="str">
        <f t="shared" ref="AA8:AA71" si="0">IFERROR(
IF(AND(X8="Não",Y8="Sim"),"REP",
IF(AND(X8="Sim",Y8="Não"),"Técnico",
IF(AND(X8="Sim",Y8="Sim"),"Ambos",""))),
"")</f>
        <v/>
      </c>
    </row>
    <row r="9" spans="1:27" s="75" customFormat="1" ht="15" customHeight="1" x14ac:dyDescent="0.25">
      <c r="A9" s="60" t="s">
        <v>205</v>
      </c>
      <c r="B9" s="57" t="s">
        <v>202</v>
      </c>
      <c r="C9" s="57" t="s">
        <v>206</v>
      </c>
      <c r="D9" s="56" t="s">
        <v>204</v>
      </c>
      <c r="E9" s="56" t="s">
        <v>70</v>
      </c>
      <c r="F9" s="56" t="s">
        <v>67</v>
      </c>
      <c r="G9" s="76" t="s">
        <v>68</v>
      </c>
      <c r="H9" s="56" t="s">
        <v>160</v>
      </c>
      <c r="I9" s="56" t="s">
        <v>140</v>
      </c>
      <c r="J9" s="58">
        <v>45058</v>
      </c>
      <c r="K9" s="58">
        <v>45082</v>
      </c>
      <c r="L9" s="58">
        <v>45084</v>
      </c>
      <c r="M9" s="58">
        <v>45096</v>
      </c>
      <c r="N9" s="58">
        <v>45096</v>
      </c>
      <c r="O9" s="56" t="s">
        <v>123</v>
      </c>
      <c r="P9" s="58" t="s">
        <v>123</v>
      </c>
      <c r="Q9" s="58"/>
      <c r="R9" s="58"/>
      <c r="S9" s="59"/>
      <c r="T9" s="59"/>
      <c r="U9" s="58"/>
      <c r="V9" s="58"/>
      <c r="W9" s="59"/>
      <c r="X9" s="59"/>
      <c r="Y9" s="56"/>
      <c r="Z9" s="56"/>
      <c r="AA9" s="56" t="str">
        <f t="shared" si="0"/>
        <v/>
      </c>
    </row>
    <row r="10" spans="1:27" s="75" customFormat="1" ht="15" customHeight="1" x14ac:dyDescent="0.25">
      <c r="A10" s="60" t="s">
        <v>205</v>
      </c>
      <c r="B10" s="57" t="s">
        <v>202</v>
      </c>
      <c r="C10" s="57" t="s">
        <v>206</v>
      </c>
      <c r="D10" s="56" t="s">
        <v>204</v>
      </c>
      <c r="E10" s="56" t="s">
        <v>70</v>
      </c>
      <c r="F10" s="56" t="s">
        <v>67</v>
      </c>
      <c r="G10" s="56" t="s">
        <v>68</v>
      </c>
      <c r="H10" s="56" t="s">
        <v>160</v>
      </c>
      <c r="I10" s="56" t="s">
        <v>161</v>
      </c>
      <c r="J10" s="58">
        <v>45058</v>
      </c>
      <c r="K10" s="58">
        <v>45082</v>
      </c>
      <c r="L10" s="58">
        <v>45084</v>
      </c>
      <c r="M10" s="58">
        <v>45083</v>
      </c>
      <c r="N10" s="58">
        <v>45096</v>
      </c>
      <c r="O10" s="56" t="s">
        <v>123</v>
      </c>
      <c r="P10" s="58" t="s">
        <v>123</v>
      </c>
      <c r="Q10" s="58"/>
      <c r="R10" s="58"/>
      <c r="S10" s="56"/>
      <c r="T10" s="56"/>
      <c r="U10" s="58"/>
      <c r="V10" s="58"/>
      <c r="W10" s="56"/>
      <c r="X10" s="56"/>
      <c r="Y10" s="56"/>
      <c r="Z10" s="56"/>
      <c r="AA10" s="56" t="str">
        <f t="shared" si="0"/>
        <v/>
      </c>
    </row>
    <row r="11" spans="1:27" ht="15" customHeight="1" x14ac:dyDescent="0.25">
      <c r="A11" s="43" t="s">
        <v>207</v>
      </c>
      <c r="B11" s="41" t="s">
        <v>208</v>
      </c>
      <c r="C11" s="41" t="s">
        <v>209</v>
      </c>
      <c r="D11" s="40" t="s">
        <v>210</v>
      </c>
      <c r="E11" s="40" t="s">
        <v>69</v>
      </c>
      <c r="F11" s="40" t="s">
        <v>67</v>
      </c>
      <c r="G11" s="77" t="s">
        <v>68</v>
      </c>
      <c r="H11" s="40" t="s">
        <v>155</v>
      </c>
      <c r="I11" s="40" t="s">
        <v>156</v>
      </c>
      <c r="J11" s="42">
        <v>44914</v>
      </c>
      <c r="K11" s="42">
        <v>45132</v>
      </c>
      <c r="L11" s="42">
        <v>45134</v>
      </c>
      <c r="M11" s="42">
        <v>44973</v>
      </c>
      <c r="N11" s="42">
        <v>45104</v>
      </c>
      <c r="O11" s="40" t="s">
        <v>122</v>
      </c>
      <c r="P11" s="42" t="s">
        <v>122</v>
      </c>
      <c r="S11" s="49"/>
      <c r="T11" s="49"/>
      <c r="W11" s="49"/>
      <c r="X11" s="49"/>
      <c r="AA11" s="40" t="str">
        <f t="shared" si="0"/>
        <v/>
      </c>
    </row>
    <row r="12" spans="1:27" s="75" customFormat="1" ht="15" customHeight="1" x14ac:dyDescent="0.25">
      <c r="A12" s="60" t="s">
        <v>211</v>
      </c>
      <c r="B12" s="57" t="s">
        <v>212</v>
      </c>
      <c r="C12" s="57" t="s">
        <v>213</v>
      </c>
      <c r="D12" s="56" t="s">
        <v>72</v>
      </c>
      <c r="E12" s="56" t="s">
        <v>70</v>
      </c>
      <c r="F12" s="56" t="s">
        <v>67</v>
      </c>
      <c r="G12" s="56" t="s">
        <v>68</v>
      </c>
      <c r="H12" s="56" t="s">
        <v>155</v>
      </c>
      <c r="I12" s="56" t="s">
        <v>140</v>
      </c>
      <c r="J12" s="58">
        <v>45089</v>
      </c>
      <c r="K12" s="58">
        <v>45107</v>
      </c>
      <c r="L12" s="58">
        <v>45100</v>
      </c>
      <c r="M12" s="58">
        <v>45097</v>
      </c>
      <c r="N12" s="58">
        <v>45103</v>
      </c>
      <c r="O12" s="56" t="s">
        <v>122</v>
      </c>
      <c r="P12" s="58" t="s">
        <v>123</v>
      </c>
      <c r="Q12" s="58"/>
      <c r="R12" s="58"/>
      <c r="S12" s="56"/>
      <c r="T12" s="56"/>
      <c r="U12" s="58"/>
      <c r="V12" s="58"/>
      <c r="W12" s="56"/>
      <c r="X12" s="56"/>
      <c r="Y12" s="56"/>
      <c r="Z12" s="56"/>
      <c r="AA12" s="56" t="str">
        <f t="shared" si="0"/>
        <v/>
      </c>
    </row>
    <row r="13" spans="1:27" s="75" customFormat="1" ht="15" customHeight="1" x14ac:dyDescent="0.25">
      <c r="A13" s="60" t="s">
        <v>214</v>
      </c>
      <c r="B13" s="57" t="s">
        <v>212</v>
      </c>
      <c r="C13" s="57" t="s">
        <v>215</v>
      </c>
      <c r="D13" s="56" t="s">
        <v>72</v>
      </c>
      <c r="E13" s="56" t="s">
        <v>70</v>
      </c>
      <c r="F13" s="56" t="s">
        <v>67</v>
      </c>
      <c r="G13" s="76" t="s">
        <v>68</v>
      </c>
      <c r="H13" s="56" t="s">
        <v>155</v>
      </c>
      <c r="I13" s="56" t="s">
        <v>140</v>
      </c>
      <c r="J13" s="58">
        <v>45089</v>
      </c>
      <c r="K13" s="58">
        <v>45107</v>
      </c>
      <c r="L13" s="58">
        <v>45100</v>
      </c>
      <c r="M13" s="58">
        <v>45098</v>
      </c>
      <c r="N13" s="58">
        <v>45103</v>
      </c>
      <c r="O13" s="56" t="s">
        <v>122</v>
      </c>
      <c r="P13" s="58" t="s">
        <v>123</v>
      </c>
      <c r="Q13" s="58"/>
      <c r="R13" s="58"/>
      <c r="S13" s="59"/>
      <c r="T13" s="59"/>
      <c r="U13" s="58"/>
      <c r="V13" s="58"/>
      <c r="W13" s="59"/>
      <c r="X13" s="59"/>
      <c r="Y13" s="56"/>
      <c r="Z13" s="56"/>
      <c r="AA13" s="56" t="str">
        <f t="shared" si="0"/>
        <v/>
      </c>
    </row>
    <row r="14" spans="1:27" ht="15" customHeight="1" x14ac:dyDescent="0.25">
      <c r="A14" s="43" t="s">
        <v>73</v>
      </c>
      <c r="B14" s="41" t="s">
        <v>74</v>
      </c>
      <c r="C14" s="41" t="s">
        <v>138</v>
      </c>
      <c r="D14" s="40" t="s">
        <v>75</v>
      </c>
      <c r="E14" s="40" t="s">
        <v>66</v>
      </c>
      <c r="F14" s="40" t="s">
        <v>67</v>
      </c>
      <c r="G14" s="40" t="s">
        <v>71</v>
      </c>
      <c r="H14" s="40" t="s">
        <v>139</v>
      </c>
      <c r="I14" s="40" t="s">
        <v>140</v>
      </c>
      <c r="J14" s="42">
        <v>45075</v>
      </c>
      <c r="K14" s="42">
        <v>45082</v>
      </c>
      <c r="L14" s="42">
        <v>45083</v>
      </c>
      <c r="M14" s="42">
        <v>45078</v>
      </c>
      <c r="N14" s="42">
        <v>45082</v>
      </c>
      <c r="O14" s="40" t="s">
        <v>122</v>
      </c>
      <c r="P14" s="42" t="s">
        <v>122</v>
      </c>
      <c r="AA14" s="40" t="str">
        <f t="shared" si="0"/>
        <v/>
      </c>
    </row>
    <row r="15" spans="1:27" ht="15" customHeight="1" x14ac:dyDescent="0.25">
      <c r="A15" s="43" t="s">
        <v>76</v>
      </c>
      <c r="B15" s="41" t="s">
        <v>74</v>
      </c>
      <c r="C15" s="41" t="s">
        <v>141</v>
      </c>
      <c r="D15" s="40" t="s">
        <v>75</v>
      </c>
      <c r="E15" s="40" t="s">
        <v>66</v>
      </c>
      <c r="F15" s="40" t="s">
        <v>67</v>
      </c>
      <c r="G15" s="77" t="s">
        <v>71</v>
      </c>
      <c r="H15" s="40" t="s">
        <v>139</v>
      </c>
      <c r="I15" s="40" t="s">
        <v>140</v>
      </c>
      <c r="J15" s="42">
        <v>45075</v>
      </c>
      <c r="K15" s="42">
        <v>45082</v>
      </c>
      <c r="L15" s="42">
        <v>45083</v>
      </c>
      <c r="M15" s="42">
        <v>45078</v>
      </c>
      <c r="N15" s="42">
        <v>45082</v>
      </c>
      <c r="O15" s="40" t="s">
        <v>122</v>
      </c>
      <c r="P15" s="42" t="s">
        <v>122</v>
      </c>
      <c r="S15" s="49"/>
      <c r="T15" s="49"/>
      <c r="W15" s="49"/>
      <c r="X15" s="49"/>
      <c r="AA15" s="40" t="str">
        <f t="shared" si="0"/>
        <v/>
      </c>
    </row>
    <row r="16" spans="1:27" ht="15" customHeight="1" x14ac:dyDescent="0.25">
      <c r="A16" s="43" t="s">
        <v>77</v>
      </c>
      <c r="B16" s="41" t="s">
        <v>74</v>
      </c>
      <c r="C16" s="41" t="s">
        <v>142</v>
      </c>
      <c r="D16" s="40" t="s">
        <v>75</v>
      </c>
      <c r="E16" s="40" t="s">
        <v>66</v>
      </c>
      <c r="F16" s="40" t="s">
        <v>67</v>
      </c>
      <c r="G16" s="40" t="s">
        <v>71</v>
      </c>
      <c r="H16" s="40" t="s">
        <v>139</v>
      </c>
      <c r="I16" s="40" t="s">
        <v>140</v>
      </c>
      <c r="J16" s="42">
        <v>45075</v>
      </c>
      <c r="K16" s="42">
        <v>45082</v>
      </c>
      <c r="L16" s="42">
        <v>45083</v>
      </c>
      <c r="M16" s="42">
        <v>45078</v>
      </c>
      <c r="N16" s="42">
        <v>45082</v>
      </c>
      <c r="O16" s="40" t="s">
        <v>122</v>
      </c>
      <c r="P16" s="42" t="s">
        <v>122</v>
      </c>
      <c r="AA16" s="40" t="str">
        <f t="shared" si="0"/>
        <v/>
      </c>
    </row>
    <row r="17" spans="1:27" ht="15" customHeight="1" x14ac:dyDescent="0.25">
      <c r="A17" s="43" t="s">
        <v>78</v>
      </c>
      <c r="B17" s="41" t="s">
        <v>74</v>
      </c>
      <c r="C17" s="41" t="s">
        <v>143</v>
      </c>
      <c r="D17" s="40" t="s">
        <v>75</v>
      </c>
      <c r="E17" s="40" t="s">
        <v>66</v>
      </c>
      <c r="F17" s="40" t="s">
        <v>67</v>
      </c>
      <c r="G17" s="77" t="s">
        <v>71</v>
      </c>
      <c r="H17" s="40" t="s">
        <v>139</v>
      </c>
      <c r="I17" s="40" t="s">
        <v>140</v>
      </c>
      <c r="J17" s="42">
        <v>45075</v>
      </c>
      <c r="K17" s="42">
        <v>45082</v>
      </c>
      <c r="L17" s="42">
        <v>45083</v>
      </c>
      <c r="M17" s="42">
        <v>45078</v>
      </c>
      <c r="N17" s="42">
        <v>45082</v>
      </c>
      <c r="O17" s="40" t="s">
        <v>122</v>
      </c>
      <c r="P17" s="42" t="s">
        <v>122</v>
      </c>
      <c r="S17" s="49"/>
      <c r="T17" s="49"/>
      <c r="W17" s="49"/>
      <c r="X17" s="49"/>
      <c r="AA17" s="40" t="str">
        <f t="shared" si="0"/>
        <v/>
      </c>
    </row>
    <row r="18" spans="1:27" ht="15" customHeight="1" x14ac:dyDescent="0.25">
      <c r="A18" s="43" t="s">
        <v>79</v>
      </c>
      <c r="B18" s="41" t="s">
        <v>74</v>
      </c>
      <c r="C18" s="41" t="s">
        <v>144</v>
      </c>
      <c r="D18" s="40" t="s">
        <v>75</v>
      </c>
      <c r="E18" s="40" t="s">
        <v>66</v>
      </c>
      <c r="F18" s="40" t="s">
        <v>67</v>
      </c>
      <c r="G18" s="40" t="s">
        <v>71</v>
      </c>
      <c r="H18" s="40" t="s">
        <v>139</v>
      </c>
      <c r="I18" s="40" t="s">
        <v>140</v>
      </c>
      <c r="J18" s="42">
        <v>45075</v>
      </c>
      <c r="K18" s="42">
        <v>45082</v>
      </c>
      <c r="L18" s="42">
        <v>45083</v>
      </c>
      <c r="M18" s="42">
        <v>45078</v>
      </c>
      <c r="N18" s="42">
        <v>45082</v>
      </c>
      <c r="O18" s="40" t="s">
        <v>122</v>
      </c>
      <c r="P18" s="42" t="s">
        <v>122</v>
      </c>
      <c r="AA18" s="40" t="str">
        <f t="shared" si="0"/>
        <v/>
      </c>
    </row>
    <row r="19" spans="1:27" ht="15" customHeight="1" x14ac:dyDescent="0.25">
      <c r="A19" s="43" t="s">
        <v>80</v>
      </c>
      <c r="B19" s="41" t="s">
        <v>74</v>
      </c>
      <c r="C19" s="41" t="s">
        <v>145</v>
      </c>
      <c r="D19" s="40" t="s">
        <v>75</v>
      </c>
      <c r="E19" s="40" t="s">
        <v>66</v>
      </c>
      <c r="F19" s="40" t="s">
        <v>67</v>
      </c>
      <c r="G19" s="77" t="s">
        <v>71</v>
      </c>
      <c r="H19" s="40" t="s">
        <v>139</v>
      </c>
      <c r="I19" s="40" t="s">
        <v>140</v>
      </c>
      <c r="J19" s="42">
        <v>45075</v>
      </c>
      <c r="K19" s="42">
        <v>45082</v>
      </c>
      <c r="L19" s="42">
        <v>45083</v>
      </c>
      <c r="M19" s="42">
        <v>45078</v>
      </c>
      <c r="N19" s="42">
        <v>45082</v>
      </c>
      <c r="O19" s="40" t="s">
        <v>122</v>
      </c>
      <c r="P19" s="42" t="s">
        <v>122</v>
      </c>
      <c r="S19" s="49"/>
      <c r="T19" s="49"/>
      <c r="W19" s="49"/>
      <c r="X19" s="49"/>
      <c r="AA19" s="40" t="str">
        <f t="shared" si="0"/>
        <v/>
      </c>
    </row>
    <row r="20" spans="1:27" ht="15" customHeight="1" x14ac:dyDescent="0.25">
      <c r="A20" s="43" t="s">
        <v>81</v>
      </c>
      <c r="B20" s="41" t="s">
        <v>74</v>
      </c>
      <c r="C20" s="41" t="s">
        <v>146</v>
      </c>
      <c r="D20" s="40" t="s">
        <v>75</v>
      </c>
      <c r="E20" s="40" t="s">
        <v>66</v>
      </c>
      <c r="F20" s="40" t="s">
        <v>67</v>
      </c>
      <c r="G20" s="40" t="s">
        <v>71</v>
      </c>
      <c r="H20" s="40" t="s">
        <v>139</v>
      </c>
      <c r="I20" s="40" t="s">
        <v>140</v>
      </c>
      <c r="J20" s="42">
        <v>45075</v>
      </c>
      <c r="K20" s="42">
        <v>45082</v>
      </c>
      <c r="L20" s="42">
        <v>45083</v>
      </c>
      <c r="M20" s="42">
        <v>45078</v>
      </c>
      <c r="N20" s="42">
        <v>45082</v>
      </c>
      <c r="O20" s="40" t="s">
        <v>122</v>
      </c>
      <c r="P20" s="42" t="s">
        <v>122</v>
      </c>
      <c r="AA20" s="40" t="str">
        <f t="shared" si="0"/>
        <v/>
      </c>
    </row>
    <row r="21" spans="1:27" ht="15" customHeight="1" x14ac:dyDescent="0.25">
      <c r="A21" s="43" t="s">
        <v>82</v>
      </c>
      <c r="B21" s="41" t="s">
        <v>74</v>
      </c>
      <c r="C21" s="41" t="s">
        <v>147</v>
      </c>
      <c r="D21" s="40" t="s">
        <v>75</v>
      </c>
      <c r="E21" s="40" t="s">
        <v>66</v>
      </c>
      <c r="F21" s="40" t="s">
        <v>67</v>
      </c>
      <c r="G21" s="77" t="s">
        <v>71</v>
      </c>
      <c r="H21" s="40" t="s">
        <v>139</v>
      </c>
      <c r="I21" s="40" t="s">
        <v>140</v>
      </c>
      <c r="J21" s="42">
        <v>45075</v>
      </c>
      <c r="K21" s="42">
        <v>45082</v>
      </c>
      <c r="L21" s="42">
        <v>45083</v>
      </c>
      <c r="M21" s="42">
        <v>45079</v>
      </c>
      <c r="N21" s="42">
        <v>45083</v>
      </c>
      <c r="O21" s="40" t="s">
        <v>122</v>
      </c>
      <c r="P21" s="42" t="s">
        <v>122</v>
      </c>
      <c r="S21" s="49"/>
      <c r="T21" s="49"/>
      <c r="W21" s="49"/>
      <c r="X21" s="49"/>
      <c r="AA21" s="40" t="str">
        <f t="shared" si="0"/>
        <v/>
      </c>
    </row>
    <row r="22" spans="1:27" ht="15" customHeight="1" x14ac:dyDescent="0.25">
      <c r="A22" s="43" t="s">
        <v>83</v>
      </c>
      <c r="B22" s="41" t="s">
        <v>74</v>
      </c>
      <c r="C22" s="41" t="s">
        <v>148</v>
      </c>
      <c r="D22" s="40" t="s">
        <v>75</v>
      </c>
      <c r="E22" s="40" t="s">
        <v>66</v>
      </c>
      <c r="F22" s="40" t="s">
        <v>67</v>
      </c>
      <c r="G22" s="40" t="s">
        <v>71</v>
      </c>
      <c r="H22" s="40" t="s">
        <v>139</v>
      </c>
      <c r="I22" s="40" t="s">
        <v>140</v>
      </c>
      <c r="J22" s="42">
        <v>45075</v>
      </c>
      <c r="K22" s="42">
        <v>45082</v>
      </c>
      <c r="L22" s="42">
        <v>45083</v>
      </c>
      <c r="M22" s="42">
        <v>45079</v>
      </c>
      <c r="N22" s="42">
        <v>45083</v>
      </c>
      <c r="O22" s="40" t="s">
        <v>122</v>
      </c>
      <c r="P22" s="42" t="s">
        <v>122</v>
      </c>
      <c r="AA22" s="40" t="str">
        <f t="shared" si="0"/>
        <v/>
      </c>
    </row>
    <row r="23" spans="1:27" ht="15" customHeight="1" x14ac:dyDescent="0.25">
      <c r="A23" s="43" t="s">
        <v>84</v>
      </c>
      <c r="B23" s="41" t="s">
        <v>74</v>
      </c>
      <c r="C23" s="41" t="s">
        <v>149</v>
      </c>
      <c r="D23" s="40" t="s">
        <v>75</v>
      </c>
      <c r="E23" s="40" t="s">
        <v>66</v>
      </c>
      <c r="F23" s="40" t="s">
        <v>67</v>
      </c>
      <c r="G23" s="77" t="s">
        <v>71</v>
      </c>
      <c r="H23" s="40" t="s">
        <v>139</v>
      </c>
      <c r="I23" s="40" t="s">
        <v>140</v>
      </c>
      <c r="J23" s="42">
        <v>45075</v>
      </c>
      <c r="K23" s="42">
        <v>45082</v>
      </c>
      <c r="L23" s="42">
        <v>45083</v>
      </c>
      <c r="M23" s="42">
        <v>45079</v>
      </c>
      <c r="N23" s="42">
        <v>45083</v>
      </c>
      <c r="O23" s="40" t="s">
        <v>122</v>
      </c>
      <c r="P23" s="42" t="s">
        <v>122</v>
      </c>
      <c r="S23" s="49"/>
      <c r="T23" s="49"/>
      <c r="W23" s="49"/>
      <c r="X23" s="49"/>
      <c r="AA23" s="40" t="str">
        <f t="shared" si="0"/>
        <v/>
      </c>
    </row>
    <row r="24" spans="1:27" ht="15" customHeight="1" x14ac:dyDescent="0.25">
      <c r="A24" s="43" t="s">
        <v>85</v>
      </c>
      <c r="B24" s="41" t="s">
        <v>74</v>
      </c>
      <c r="C24" s="41" t="s">
        <v>150</v>
      </c>
      <c r="D24" s="40" t="s">
        <v>75</v>
      </c>
      <c r="E24" s="40" t="s">
        <v>66</v>
      </c>
      <c r="F24" s="40" t="s">
        <v>67</v>
      </c>
      <c r="G24" s="40" t="s">
        <v>71</v>
      </c>
      <c r="H24" s="40" t="s">
        <v>139</v>
      </c>
      <c r="I24" s="40" t="s">
        <v>140</v>
      </c>
      <c r="J24" s="42">
        <v>45075</v>
      </c>
      <c r="K24" s="42">
        <v>45082</v>
      </c>
      <c r="L24" s="42">
        <v>45083</v>
      </c>
      <c r="M24" s="42">
        <v>45079</v>
      </c>
      <c r="N24" s="42">
        <v>45083</v>
      </c>
      <c r="O24" s="40" t="s">
        <v>122</v>
      </c>
      <c r="P24" s="42" t="s">
        <v>122</v>
      </c>
      <c r="AA24" s="40" t="str">
        <f t="shared" si="0"/>
        <v/>
      </c>
    </row>
    <row r="25" spans="1:27" ht="15" customHeight="1" x14ac:dyDescent="0.25">
      <c r="A25" s="43" t="s">
        <v>216</v>
      </c>
      <c r="B25" s="41" t="s">
        <v>74</v>
      </c>
      <c r="C25" s="41" t="s">
        <v>217</v>
      </c>
      <c r="D25" s="40" t="s">
        <v>75</v>
      </c>
      <c r="E25" s="40" t="s">
        <v>66</v>
      </c>
      <c r="F25" s="40" t="s">
        <v>67</v>
      </c>
      <c r="G25" s="77" t="s">
        <v>71</v>
      </c>
      <c r="H25" s="40" t="s">
        <v>168</v>
      </c>
      <c r="I25" s="40" t="s">
        <v>140</v>
      </c>
      <c r="J25" s="42">
        <v>45082</v>
      </c>
      <c r="K25" s="42">
        <v>45090</v>
      </c>
      <c r="L25" s="42">
        <v>45091</v>
      </c>
      <c r="M25" s="42">
        <v>45090</v>
      </c>
      <c r="N25" s="42">
        <v>45091</v>
      </c>
      <c r="O25" s="40" t="s">
        <v>122</v>
      </c>
      <c r="P25" s="42" t="s">
        <v>122</v>
      </c>
      <c r="S25" s="49"/>
      <c r="T25" s="49"/>
      <c r="W25" s="49"/>
      <c r="X25" s="49"/>
      <c r="AA25" s="40" t="str">
        <f t="shared" si="0"/>
        <v/>
      </c>
    </row>
    <row r="26" spans="1:27" ht="15" customHeight="1" x14ac:dyDescent="0.25">
      <c r="A26" s="43" t="s">
        <v>218</v>
      </c>
      <c r="B26" s="41" t="s">
        <v>74</v>
      </c>
      <c r="C26" s="41" t="s">
        <v>219</v>
      </c>
      <c r="D26" s="40" t="s">
        <v>75</v>
      </c>
      <c r="E26" s="40" t="s">
        <v>66</v>
      </c>
      <c r="F26" s="40" t="s">
        <v>67</v>
      </c>
      <c r="G26" s="40" t="s">
        <v>71</v>
      </c>
      <c r="H26" s="40" t="s">
        <v>168</v>
      </c>
      <c r="I26" s="40" t="s">
        <v>140</v>
      </c>
      <c r="J26" s="42">
        <v>45082</v>
      </c>
      <c r="K26" s="42">
        <v>45090</v>
      </c>
      <c r="L26" s="42">
        <v>45091</v>
      </c>
      <c r="M26" s="42">
        <v>45090</v>
      </c>
      <c r="N26" s="42">
        <v>45091</v>
      </c>
      <c r="O26" s="40" t="s">
        <v>122</v>
      </c>
      <c r="P26" s="42" t="s">
        <v>122</v>
      </c>
      <c r="AA26" s="40" t="str">
        <f t="shared" si="0"/>
        <v/>
      </c>
    </row>
    <row r="27" spans="1:27" ht="15" customHeight="1" x14ac:dyDescent="0.25">
      <c r="A27" s="43" t="s">
        <v>220</v>
      </c>
      <c r="B27" s="41" t="s">
        <v>74</v>
      </c>
      <c r="C27" s="41" t="s">
        <v>221</v>
      </c>
      <c r="D27" s="40" t="s">
        <v>75</v>
      </c>
      <c r="E27" s="40" t="s">
        <v>66</v>
      </c>
      <c r="F27" s="40" t="s">
        <v>67</v>
      </c>
      <c r="G27" s="77" t="s">
        <v>71</v>
      </c>
      <c r="H27" s="40" t="s">
        <v>168</v>
      </c>
      <c r="I27" s="40" t="s">
        <v>140</v>
      </c>
      <c r="J27" s="42">
        <v>45082</v>
      </c>
      <c r="K27" s="42">
        <v>45090</v>
      </c>
      <c r="L27" s="42">
        <v>45091</v>
      </c>
      <c r="M27" s="42">
        <v>45090</v>
      </c>
      <c r="N27" s="42">
        <v>45091</v>
      </c>
      <c r="O27" s="40" t="s">
        <v>122</v>
      </c>
      <c r="P27" s="42" t="s">
        <v>122</v>
      </c>
      <c r="S27" s="49"/>
      <c r="T27" s="49"/>
      <c r="W27" s="49"/>
      <c r="X27" s="49"/>
      <c r="AA27" s="40" t="str">
        <f t="shared" si="0"/>
        <v/>
      </c>
    </row>
    <row r="28" spans="1:27" ht="15" customHeight="1" x14ac:dyDescent="0.25">
      <c r="A28" s="43" t="s">
        <v>222</v>
      </c>
      <c r="B28" s="41" t="s">
        <v>74</v>
      </c>
      <c r="C28" s="41" t="s">
        <v>223</v>
      </c>
      <c r="D28" s="40" t="s">
        <v>75</v>
      </c>
      <c r="E28" s="40" t="s">
        <v>66</v>
      </c>
      <c r="F28" s="40" t="s">
        <v>67</v>
      </c>
      <c r="G28" s="40" t="s">
        <v>71</v>
      </c>
      <c r="H28" s="40" t="s">
        <v>168</v>
      </c>
      <c r="I28" s="40" t="s">
        <v>140</v>
      </c>
      <c r="J28" s="42">
        <v>45082</v>
      </c>
      <c r="K28" s="42">
        <v>45090</v>
      </c>
      <c r="L28" s="42">
        <v>45091</v>
      </c>
      <c r="M28" s="42">
        <v>45085</v>
      </c>
      <c r="N28" s="42">
        <v>45091</v>
      </c>
      <c r="O28" s="40" t="s">
        <v>122</v>
      </c>
      <c r="P28" s="42" t="s">
        <v>122</v>
      </c>
      <c r="AA28" s="40" t="str">
        <f t="shared" si="0"/>
        <v/>
      </c>
    </row>
    <row r="29" spans="1:27" ht="15" customHeight="1" x14ac:dyDescent="0.25">
      <c r="A29" s="43" t="s">
        <v>224</v>
      </c>
      <c r="B29" s="41" t="s">
        <v>74</v>
      </c>
      <c r="C29" s="41" t="s">
        <v>225</v>
      </c>
      <c r="D29" s="40" t="s">
        <v>75</v>
      </c>
      <c r="E29" s="40" t="s">
        <v>66</v>
      </c>
      <c r="F29" s="40" t="s">
        <v>67</v>
      </c>
      <c r="G29" s="77" t="s">
        <v>71</v>
      </c>
      <c r="H29" s="40" t="s">
        <v>168</v>
      </c>
      <c r="I29" s="40" t="s">
        <v>140</v>
      </c>
      <c r="J29" s="42">
        <v>45082</v>
      </c>
      <c r="K29" s="42">
        <v>45090</v>
      </c>
      <c r="L29" s="42">
        <v>45091</v>
      </c>
      <c r="M29" s="42">
        <v>45085</v>
      </c>
      <c r="N29" s="42">
        <v>45091</v>
      </c>
      <c r="O29" s="40" t="s">
        <v>122</v>
      </c>
      <c r="P29" s="42" t="s">
        <v>122</v>
      </c>
      <c r="S29" s="49"/>
      <c r="T29" s="49"/>
      <c r="W29" s="49"/>
      <c r="X29" s="49"/>
      <c r="AA29" s="40" t="str">
        <f t="shared" si="0"/>
        <v/>
      </c>
    </row>
    <row r="30" spans="1:27" ht="15" customHeight="1" x14ac:dyDescent="0.25">
      <c r="A30" s="43" t="s">
        <v>226</v>
      </c>
      <c r="B30" s="41" t="s">
        <v>74</v>
      </c>
      <c r="C30" s="41" t="s">
        <v>227</v>
      </c>
      <c r="D30" s="40" t="s">
        <v>75</v>
      </c>
      <c r="E30" s="40" t="s">
        <v>66</v>
      </c>
      <c r="F30" s="40" t="s">
        <v>67</v>
      </c>
      <c r="G30" s="40" t="s">
        <v>71</v>
      </c>
      <c r="H30" s="40" t="s">
        <v>168</v>
      </c>
      <c r="I30" s="40" t="s">
        <v>140</v>
      </c>
      <c r="J30" s="42">
        <v>45082</v>
      </c>
      <c r="K30" s="42">
        <v>45090</v>
      </c>
      <c r="L30" s="42">
        <v>45091</v>
      </c>
      <c r="M30" s="42">
        <v>45085</v>
      </c>
      <c r="N30" s="42">
        <v>45091</v>
      </c>
      <c r="O30" s="40" t="s">
        <v>122</v>
      </c>
      <c r="P30" s="42" t="s">
        <v>122</v>
      </c>
      <c r="AA30" s="40" t="str">
        <f t="shared" si="0"/>
        <v/>
      </c>
    </row>
    <row r="31" spans="1:27" ht="15" customHeight="1" x14ac:dyDescent="0.25">
      <c r="A31" s="43" t="s">
        <v>228</v>
      </c>
      <c r="B31" s="41" t="s">
        <v>74</v>
      </c>
      <c r="C31" s="41" t="s">
        <v>229</v>
      </c>
      <c r="D31" s="40" t="s">
        <v>75</v>
      </c>
      <c r="E31" s="40" t="s">
        <v>66</v>
      </c>
      <c r="F31" s="40" t="s">
        <v>67</v>
      </c>
      <c r="G31" s="77" t="s">
        <v>71</v>
      </c>
      <c r="H31" s="40" t="s">
        <v>168</v>
      </c>
      <c r="I31" s="40" t="s">
        <v>140</v>
      </c>
      <c r="J31" s="42">
        <v>45082</v>
      </c>
      <c r="K31" s="42">
        <v>45090</v>
      </c>
      <c r="L31" s="42">
        <v>45091</v>
      </c>
      <c r="M31" s="42">
        <v>45085</v>
      </c>
      <c r="N31" s="42">
        <v>45091</v>
      </c>
      <c r="O31" s="40" t="s">
        <v>122</v>
      </c>
      <c r="P31" s="42" t="s">
        <v>122</v>
      </c>
      <c r="S31" s="49"/>
      <c r="T31" s="49"/>
      <c r="W31" s="49"/>
      <c r="X31" s="49"/>
      <c r="AA31" s="40" t="str">
        <f t="shared" si="0"/>
        <v/>
      </c>
    </row>
    <row r="32" spans="1:27" ht="15" customHeight="1" x14ac:dyDescent="0.25">
      <c r="A32" s="43" t="s">
        <v>230</v>
      </c>
      <c r="B32" s="41" t="s">
        <v>74</v>
      </c>
      <c r="C32" s="41" t="s">
        <v>231</v>
      </c>
      <c r="D32" s="40" t="s">
        <v>75</v>
      </c>
      <c r="E32" s="40" t="s">
        <v>66</v>
      </c>
      <c r="F32" s="40" t="s">
        <v>67</v>
      </c>
      <c r="G32" s="40" t="s">
        <v>71</v>
      </c>
      <c r="H32" s="40" t="s">
        <v>168</v>
      </c>
      <c r="I32" s="40" t="s">
        <v>140</v>
      </c>
      <c r="J32" s="42">
        <v>45082</v>
      </c>
      <c r="K32" s="42">
        <v>45090</v>
      </c>
      <c r="L32" s="42">
        <v>45091</v>
      </c>
      <c r="M32" s="42">
        <v>45085</v>
      </c>
      <c r="N32" s="42">
        <v>45091</v>
      </c>
      <c r="O32" s="40" t="s">
        <v>122</v>
      </c>
      <c r="P32" s="42" t="s">
        <v>122</v>
      </c>
      <c r="AA32" s="40" t="str">
        <f t="shared" si="0"/>
        <v/>
      </c>
    </row>
    <row r="33" spans="1:27" ht="15" customHeight="1" x14ac:dyDescent="0.25">
      <c r="A33" s="43" t="s">
        <v>232</v>
      </c>
      <c r="B33" s="41" t="s">
        <v>74</v>
      </c>
      <c r="C33" s="41" t="s">
        <v>233</v>
      </c>
      <c r="D33" s="40" t="s">
        <v>75</v>
      </c>
      <c r="E33" s="40" t="s">
        <v>66</v>
      </c>
      <c r="F33" s="40" t="s">
        <v>67</v>
      </c>
      <c r="G33" s="77" t="s">
        <v>71</v>
      </c>
      <c r="H33" s="40" t="s">
        <v>168</v>
      </c>
      <c r="I33" s="40" t="s">
        <v>140</v>
      </c>
      <c r="J33" s="42">
        <v>45082</v>
      </c>
      <c r="K33" s="42">
        <v>45090</v>
      </c>
      <c r="L33" s="42">
        <v>45091</v>
      </c>
      <c r="M33" s="42">
        <v>45085</v>
      </c>
      <c r="N33" s="42">
        <v>45091</v>
      </c>
      <c r="O33" s="40" t="s">
        <v>122</v>
      </c>
      <c r="P33" s="42" t="s">
        <v>122</v>
      </c>
      <c r="S33" s="49"/>
      <c r="T33" s="49"/>
      <c r="W33" s="49"/>
      <c r="X33" s="49"/>
      <c r="AA33" s="40" t="str">
        <f t="shared" si="0"/>
        <v/>
      </c>
    </row>
    <row r="34" spans="1:27" ht="15" customHeight="1" x14ac:dyDescent="0.25">
      <c r="A34" s="43" t="s">
        <v>234</v>
      </c>
      <c r="B34" s="41" t="s">
        <v>74</v>
      </c>
      <c r="C34" s="41" t="s">
        <v>235</v>
      </c>
      <c r="D34" s="40" t="s">
        <v>75</v>
      </c>
      <c r="E34" s="40" t="s">
        <v>66</v>
      </c>
      <c r="F34" s="40" t="s">
        <v>67</v>
      </c>
      <c r="G34" s="40" t="s">
        <v>68</v>
      </c>
      <c r="H34" s="40" t="s">
        <v>139</v>
      </c>
      <c r="I34" s="40" t="s">
        <v>161</v>
      </c>
      <c r="J34" s="42">
        <v>45093</v>
      </c>
      <c r="K34" s="42">
        <v>45097</v>
      </c>
      <c r="L34" s="42">
        <v>45099</v>
      </c>
      <c r="M34" s="42">
        <v>45098</v>
      </c>
      <c r="N34" s="42">
        <v>45099</v>
      </c>
      <c r="O34" s="40" t="s">
        <v>123</v>
      </c>
      <c r="P34" s="42" t="s">
        <v>122</v>
      </c>
      <c r="AA34" s="40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43" t="s">
        <v>236</v>
      </c>
      <c r="B35" s="41" t="s">
        <v>74</v>
      </c>
      <c r="C35" s="41" t="s">
        <v>237</v>
      </c>
      <c r="D35" s="40" t="s">
        <v>75</v>
      </c>
      <c r="E35" s="40" t="s">
        <v>66</v>
      </c>
      <c r="F35" s="40" t="s">
        <v>67</v>
      </c>
      <c r="G35" s="77" t="s">
        <v>68</v>
      </c>
      <c r="H35" s="40" t="s">
        <v>139</v>
      </c>
      <c r="I35" s="40" t="s">
        <v>161</v>
      </c>
      <c r="J35" s="42">
        <v>45097</v>
      </c>
      <c r="K35" s="42">
        <v>45100</v>
      </c>
      <c r="L35" s="42">
        <v>45104</v>
      </c>
      <c r="M35" s="42">
        <v>45098</v>
      </c>
      <c r="N35" s="42">
        <v>45099</v>
      </c>
      <c r="O35" s="40" t="s">
        <v>122</v>
      </c>
      <c r="P35" s="42" t="s">
        <v>122</v>
      </c>
      <c r="S35" s="49"/>
      <c r="T35" s="49"/>
      <c r="W35" s="49"/>
      <c r="X35" s="49"/>
      <c r="AA35" s="40" t="str">
        <f t="shared" si="0"/>
        <v/>
      </c>
    </row>
    <row r="36" spans="1:27" ht="15" customHeight="1" x14ac:dyDescent="0.25">
      <c r="A36" s="43" t="s">
        <v>238</v>
      </c>
      <c r="B36" s="41" t="s">
        <v>74</v>
      </c>
      <c r="C36" s="41" t="s">
        <v>239</v>
      </c>
      <c r="D36" s="40" t="s">
        <v>75</v>
      </c>
      <c r="E36" s="40" t="s">
        <v>66</v>
      </c>
      <c r="F36" s="40" t="s">
        <v>67</v>
      </c>
      <c r="G36" s="40" t="s">
        <v>68</v>
      </c>
      <c r="H36" s="40" t="s">
        <v>139</v>
      </c>
      <c r="I36" s="40" t="s">
        <v>161</v>
      </c>
      <c r="J36" s="42">
        <v>45097</v>
      </c>
      <c r="K36" s="42">
        <v>45100</v>
      </c>
      <c r="L36" s="42">
        <v>45104</v>
      </c>
      <c r="M36" s="42">
        <v>45098</v>
      </c>
      <c r="N36" s="42">
        <v>45099</v>
      </c>
      <c r="O36" s="40" t="s">
        <v>122</v>
      </c>
      <c r="P36" s="42" t="s">
        <v>122</v>
      </c>
      <c r="AA36" s="40" t="str">
        <f t="shared" si="0"/>
        <v/>
      </c>
    </row>
    <row r="37" spans="1:27" s="75" customFormat="1" ht="15" customHeight="1" x14ac:dyDescent="0.25">
      <c r="A37" s="60" t="s">
        <v>240</v>
      </c>
      <c r="B37" s="57" t="s">
        <v>241</v>
      </c>
      <c r="C37" s="57" t="s">
        <v>242</v>
      </c>
      <c r="D37" s="56" t="s">
        <v>210</v>
      </c>
      <c r="E37" s="56" t="s">
        <v>69</v>
      </c>
      <c r="F37" s="56" t="s">
        <v>67</v>
      </c>
      <c r="G37" s="76" t="s">
        <v>68</v>
      </c>
      <c r="H37" s="56" t="s">
        <v>160</v>
      </c>
      <c r="I37" s="56" t="s">
        <v>188</v>
      </c>
      <c r="J37" s="58">
        <v>45021</v>
      </c>
      <c r="K37" s="58">
        <v>45079</v>
      </c>
      <c r="L37" s="58">
        <v>45083</v>
      </c>
      <c r="M37" s="58">
        <v>45082</v>
      </c>
      <c r="N37" s="58">
        <v>45093</v>
      </c>
      <c r="O37" s="56" t="s">
        <v>123</v>
      </c>
      <c r="P37" s="58" t="s">
        <v>123</v>
      </c>
      <c r="Q37" s="58"/>
      <c r="R37" s="58"/>
      <c r="S37" s="59"/>
      <c r="T37" s="59"/>
      <c r="U37" s="58"/>
      <c r="V37" s="58"/>
      <c r="W37" s="59"/>
      <c r="X37" s="59"/>
      <c r="Y37" s="56"/>
      <c r="Z37" s="56"/>
      <c r="AA37" s="56" t="str">
        <f t="shared" si="0"/>
        <v/>
      </c>
    </row>
    <row r="38" spans="1:27" s="75" customFormat="1" ht="15" customHeight="1" x14ac:dyDescent="0.25">
      <c r="A38" s="60" t="s">
        <v>240</v>
      </c>
      <c r="B38" s="57" t="s">
        <v>241</v>
      </c>
      <c r="C38" s="57" t="s">
        <v>242</v>
      </c>
      <c r="D38" s="56" t="s">
        <v>210</v>
      </c>
      <c r="E38" s="56" t="s">
        <v>69</v>
      </c>
      <c r="F38" s="56" t="s">
        <v>67</v>
      </c>
      <c r="G38" s="56" t="s">
        <v>68</v>
      </c>
      <c r="H38" s="56" t="s">
        <v>160</v>
      </c>
      <c r="I38" s="56" t="s">
        <v>156</v>
      </c>
      <c r="J38" s="58">
        <v>45021</v>
      </c>
      <c r="K38" s="58">
        <v>45079</v>
      </c>
      <c r="L38" s="58">
        <v>45083</v>
      </c>
      <c r="M38" s="58">
        <v>45089</v>
      </c>
      <c r="N38" s="58">
        <v>45093</v>
      </c>
      <c r="O38" s="56" t="s">
        <v>123</v>
      </c>
      <c r="P38" s="58" t="s">
        <v>123</v>
      </c>
      <c r="Q38" s="58"/>
      <c r="R38" s="58"/>
      <c r="S38" s="56"/>
      <c r="T38" s="56"/>
      <c r="U38" s="58"/>
      <c r="V38" s="58"/>
      <c r="W38" s="56"/>
      <c r="X38" s="56"/>
      <c r="Y38" s="56"/>
      <c r="Z38" s="56"/>
      <c r="AA38" s="56" t="str">
        <f t="shared" si="0"/>
        <v/>
      </c>
    </row>
    <row r="39" spans="1:27" s="75" customFormat="1" ht="15" customHeight="1" x14ac:dyDescent="0.25">
      <c r="A39" s="60" t="s">
        <v>243</v>
      </c>
      <c r="B39" s="57" t="s">
        <v>244</v>
      </c>
      <c r="C39" s="57" t="s">
        <v>245</v>
      </c>
      <c r="D39" s="56" t="s">
        <v>246</v>
      </c>
      <c r="E39" s="56" t="s">
        <v>70</v>
      </c>
      <c r="F39" s="56" t="s">
        <v>67</v>
      </c>
      <c r="G39" s="76" t="s">
        <v>68</v>
      </c>
      <c r="H39" s="56" t="s">
        <v>155</v>
      </c>
      <c r="I39" s="56" t="s">
        <v>161</v>
      </c>
      <c r="J39" s="58">
        <v>45036</v>
      </c>
      <c r="K39" s="58">
        <v>45063</v>
      </c>
      <c r="L39" s="58">
        <v>45065</v>
      </c>
      <c r="M39" s="58">
        <v>45078</v>
      </c>
      <c r="N39" s="58">
        <v>45078</v>
      </c>
      <c r="O39" s="56" t="s">
        <v>123</v>
      </c>
      <c r="P39" s="58" t="s">
        <v>123</v>
      </c>
      <c r="Q39" s="58"/>
      <c r="R39" s="58"/>
      <c r="S39" s="59"/>
      <c r="T39" s="59"/>
      <c r="U39" s="58"/>
      <c r="V39" s="58"/>
      <c r="W39" s="59"/>
      <c r="X39" s="59"/>
      <c r="Y39" s="56"/>
      <c r="Z39" s="56"/>
      <c r="AA39" s="56" t="str">
        <f t="shared" si="0"/>
        <v/>
      </c>
    </row>
    <row r="40" spans="1:27" ht="15" customHeight="1" x14ac:dyDescent="0.25">
      <c r="A40" s="43" t="s">
        <v>247</v>
      </c>
      <c r="B40" s="41" t="s">
        <v>248</v>
      </c>
      <c r="C40" s="41" t="s">
        <v>249</v>
      </c>
      <c r="D40" s="40" t="s">
        <v>196</v>
      </c>
      <c r="E40" s="40" t="s">
        <v>70</v>
      </c>
      <c r="F40" s="40" t="s">
        <v>67</v>
      </c>
      <c r="G40" s="40" t="s">
        <v>70</v>
      </c>
      <c r="H40" s="40" t="s">
        <v>160</v>
      </c>
      <c r="I40" s="40" t="s">
        <v>140</v>
      </c>
      <c r="J40" s="42">
        <v>45002</v>
      </c>
      <c r="K40" s="42">
        <v>45098</v>
      </c>
      <c r="L40" s="42">
        <v>45100</v>
      </c>
      <c r="M40" s="42">
        <v>45089</v>
      </c>
      <c r="N40" s="42">
        <v>45100</v>
      </c>
      <c r="O40" s="40" t="s">
        <v>122</v>
      </c>
      <c r="P40" s="42" t="s">
        <v>122</v>
      </c>
      <c r="AA40" s="40" t="str">
        <f t="shared" si="0"/>
        <v/>
      </c>
    </row>
    <row r="41" spans="1:27" ht="15" customHeight="1" x14ac:dyDescent="0.25">
      <c r="A41" s="43" t="s">
        <v>250</v>
      </c>
      <c r="B41" s="41" t="s">
        <v>251</v>
      </c>
      <c r="C41" s="41" t="s">
        <v>252</v>
      </c>
      <c r="D41" s="40" t="s">
        <v>253</v>
      </c>
      <c r="E41" s="40" t="s">
        <v>70</v>
      </c>
      <c r="F41" s="40" t="s">
        <v>67</v>
      </c>
      <c r="G41" s="77" t="s">
        <v>68</v>
      </c>
      <c r="H41" s="40" t="s">
        <v>160</v>
      </c>
      <c r="I41" s="40" t="s">
        <v>140</v>
      </c>
      <c r="J41" s="42">
        <v>44978</v>
      </c>
      <c r="K41" s="42">
        <v>45096</v>
      </c>
      <c r="L41" s="42">
        <v>45098</v>
      </c>
      <c r="M41" s="42">
        <v>45091</v>
      </c>
      <c r="N41" s="42">
        <v>45096</v>
      </c>
      <c r="O41" s="40" t="s">
        <v>122</v>
      </c>
      <c r="P41" s="42" t="s">
        <v>122</v>
      </c>
      <c r="S41" s="49"/>
      <c r="T41" s="49"/>
      <c r="W41" s="49"/>
      <c r="X41" s="49"/>
      <c r="AA41" s="40" t="str">
        <f t="shared" si="0"/>
        <v/>
      </c>
    </row>
    <row r="42" spans="1:27" s="75" customFormat="1" ht="15" customHeight="1" x14ac:dyDescent="0.25">
      <c r="A42" s="60" t="s">
        <v>254</v>
      </c>
      <c r="B42" s="57" t="s">
        <v>255</v>
      </c>
      <c r="C42" s="57" t="s">
        <v>256</v>
      </c>
      <c r="D42" s="56" t="s">
        <v>257</v>
      </c>
      <c r="E42" s="56" t="s">
        <v>71</v>
      </c>
      <c r="F42" s="56" t="s">
        <v>67</v>
      </c>
      <c r="G42" s="56" t="s">
        <v>86</v>
      </c>
      <c r="H42" s="56" t="s">
        <v>160</v>
      </c>
      <c r="I42" s="56" t="s">
        <v>188</v>
      </c>
      <c r="J42" s="58">
        <v>45075</v>
      </c>
      <c r="K42" s="58">
        <v>45091</v>
      </c>
      <c r="L42" s="58">
        <v>45093</v>
      </c>
      <c r="M42" s="58">
        <v>45097</v>
      </c>
      <c r="N42" s="58">
        <v>45097</v>
      </c>
      <c r="O42" s="56" t="s">
        <v>123</v>
      </c>
      <c r="P42" s="58" t="s">
        <v>123</v>
      </c>
      <c r="Q42" s="58"/>
      <c r="R42" s="58"/>
      <c r="S42" s="56"/>
      <c r="T42" s="56"/>
      <c r="U42" s="58"/>
      <c r="V42" s="58"/>
      <c r="W42" s="56"/>
      <c r="X42" s="56"/>
      <c r="Y42" s="56"/>
      <c r="Z42" s="56"/>
      <c r="AA42" s="56" t="str">
        <f t="shared" si="0"/>
        <v/>
      </c>
    </row>
    <row r="43" spans="1:27" s="75" customFormat="1" ht="15" customHeight="1" x14ac:dyDescent="0.25">
      <c r="A43" s="60" t="s">
        <v>254</v>
      </c>
      <c r="B43" s="57" t="s">
        <v>258</v>
      </c>
      <c r="C43" s="57" t="s">
        <v>256</v>
      </c>
      <c r="D43" s="56" t="s">
        <v>257</v>
      </c>
      <c r="E43" s="56" t="s">
        <v>71</v>
      </c>
      <c r="F43" s="56" t="s">
        <v>67</v>
      </c>
      <c r="G43" s="76" t="s">
        <v>86</v>
      </c>
      <c r="H43" s="56" t="s">
        <v>160</v>
      </c>
      <c r="I43" s="56" t="s">
        <v>161</v>
      </c>
      <c r="J43" s="58">
        <v>45075</v>
      </c>
      <c r="K43" s="58">
        <v>45091</v>
      </c>
      <c r="L43" s="58">
        <v>45093</v>
      </c>
      <c r="M43" s="58">
        <v>45097</v>
      </c>
      <c r="N43" s="58">
        <v>45097</v>
      </c>
      <c r="O43" s="56" t="s">
        <v>123</v>
      </c>
      <c r="P43" s="58" t="s">
        <v>123</v>
      </c>
      <c r="Q43" s="58"/>
      <c r="R43" s="58"/>
      <c r="S43" s="59"/>
      <c r="T43" s="59"/>
      <c r="U43" s="58"/>
      <c r="V43" s="58"/>
      <c r="W43" s="59"/>
      <c r="X43" s="59"/>
      <c r="Y43" s="56"/>
      <c r="Z43" s="56"/>
      <c r="AA43" s="56" t="str">
        <f t="shared" si="0"/>
        <v/>
      </c>
    </row>
    <row r="44" spans="1:27" ht="15" customHeight="1" x14ac:dyDescent="0.25">
      <c r="A44" s="43" t="s">
        <v>259</v>
      </c>
      <c r="B44" s="41" t="s">
        <v>260</v>
      </c>
      <c r="C44" s="41" t="s">
        <v>261</v>
      </c>
      <c r="D44" s="40" t="s">
        <v>262</v>
      </c>
      <c r="E44" s="40" t="s">
        <v>70</v>
      </c>
      <c r="F44" s="40" t="s">
        <v>67</v>
      </c>
      <c r="G44" s="40" t="s">
        <v>68</v>
      </c>
      <c r="H44" s="40" t="s">
        <v>160</v>
      </c>
      <c r="I44" s="40" t="s">
        <v>161</v>
      </c>
      <c r="J44" s="42">
        <v>45090</v>
      </c>
      <c r="K44" s="42">
        <v>45103</v>
      </c>
      <c r="L44" s="42">
        <v>45105</v>
      </c>
      <c r="M44" s="42">
        <v>45100</v>
      </c>
      <c r="N44" s="42">
        <v>45105</v>
      </c>
      <c r="O44" s="40" t="s">
        <v>122</v>
      </c>
      <c r="P44" s="42" t="s">
        <v>122</v>
      </c>
      <c r="AA44" s="40" t="str">
        <f t="shared" si="0"/>
        <v/>
      </c>
    </row>
    <row r="45" spans="1:27" ht="15" customHeight="1" x14ac:dyDescent="0.25">
      <c r="A45" s="43" t="s">
        <v>263</v>
      </c>
      <c r="B45" s="41" t="s">
        <v>264</v>
      </c>
      <c r="C45" s="41" t="s">
        <v>265</v>
      </c>
      <c r="D45" s="40" t="s">
        <v>266</v>
      </c>
      <c r="E45" s="40" t="s">
        <v>66</v>
      </c>
      <c r="F45" s="40" t="s">
        <v>67</v>
      </c>
      <c r="G45" s="77" t="s">
        <v>68</v>
      </c>
      <c r="H45" s="40" t="s">
        <v>168</v>
      </c>
      <c r="I45" s="40" t="s">
        <v>140</v>
      </c>
      <c r="J45" s="42">
        <v>45044</v>
      </c>
      <c r="K45" s="42">
        <v>45077</v>
      </c>
      <c r="L45" s="42">
        <v>45079</v>
      </c>
      <c r="M45" s="42">
        <v>45069</v>
      </c>
      <c r="N45" s="42">
        <v>45078</v>
      </c>
      <c r="O45" s="40" t="s">
        <v>122</v>
      </c>
      <c r="P45" s="42" t="s">
        <v>122</v>
      </c>
      <c r="S45" s="49"/>
      <c r="T45" s="49"/>
      <c r="W45" s="49"/>
      <c r="X45" s="49"/>
      <c r="AA45" s="40" t="str">
        <f t="shared" si="0"/>
        <v/>
      </c>
    </row>
    <row r="46" spans="1:27" s="75" customFormat="1" ht="15" customHeight="1" x14ac:dyDescent="0.25">
      <c r="A46" s="60" t="s">
        <v>267</v>
      </c>
      <c r="B46" s="57" t="s">
        <v>264</v>
      </c>
      <c r="C46" s="57" t="s">
        <v>268</v>
      </c>
      <c r="D46" s="56" t="s">
        <v>269</v>
      </c>
      <c r="E46" s="56" t="s">
        <v>66</v>
      </c>
      <c r="F46" s="56" t="s">
        <v>67</v>
      </c>
      <c r="G46" s="56" t="s">
        <v>68</v>
      </c>
      <c r="H46" s="56" t="s">
        <v>155</v>
      </c>
      <c r="I46" s="56" t="s">
        <v>140</v>
      </c>
      <c r="J46" s="58">
        <v>45044</v>
      </c>
      <c r="K46" s="58">
        <v>45077</v>
      </c>
      <c r="L46" s="58">
        <v>45079</v>
      </c>
      <c r="M46" s="58">
        <v>45082</v>
      </c>
      <c r="N46" s="58">
        <v>45090</v>
      </c>
      <c r="O46" s="56" t="s">
        <v>123</v>
      </c>
      <c r="P46" s="58" t="s">
        <v>123</v>
      </c>
      <c r="Q46" s="58"/>
      <c r="R46" s="58"/>
      <c r="S46" s="56"/>
      <c r="T46" s="56"/>
      <c r="U46" s="58"/>
      <c r="V46" s="58"/>
      <c r="W46" s="56"/>
      <c r="X46" s="56"/>
      <c r="Y46" s="56"/>
      <c r="Z46" s="56"/>
      <c r="AA46" s="56" t="str">
        <f t="shared" si="0"/>
        <v/>
      </c>
    </row>
    <row r="47" spans="1:27" s="75" customFormat="1" ht="15" customHeight="1" x14ac:dyDescent="0.25">
      <c r="A47" s="60" t="s">
        <v>270</v>
      </c>
      <c r="B47" s="57" t="s">
        <v>264</v>
      </c>
      <c r="C47" s="57" t="s">
        <v>271</v>
      </c>
      <c r="D47" s="56" t="s">
        <v>272</v>
      </c>
      <c r="E47" s="56" t="s">
        <v>66</v>
      </c>
      <c r="F47" s="56" t="s">
        <v>67</v>
      </c>
      <c r="G47" s="76" t="s">
        <v>68</v>
      </c>
      <c r="H47" s="56" t="s">
        <v>155</v>
      </c>
      <c r="I47" s="56" t="s">
        <v>161</v>
      </c>
      <c r="J47" s="58">
        <v>45044</v>
      </c>
      <c r="K47" s="58">
        <v>45077</v>
      </c>
      <c r="L47" s="58">
        <v>45079</v>
      </c>
      <c r="M47" s="58">
        <v>45082</v>
      </c>
      <c r="N47" s="58">
        <v>45085</v>
      </c>
      <c r="O47" s="56" t="s">
        <v>123</v>
      </c>
      <c r="P47" s="58" t="s">
        <v>123</v>
      </c>
      <c r="Q47" s="58"/>
      <c r="R47" s="58"/>
      <c r="S47" s="59"/>
      <c r="T47" s="59"/>
      <c r="U47" s="58"/>
      <c r="V47" s="58"/>
      <c r="W47" s="59"/>
      <c r="X47" s="59"/>
      <c r="Y47" s="56"/>
      <c r="Z47" s="56"/>
      <c r="AA47" s="56" t="str">
        <f t="shared" si="0"/>
        <v/>
      </c>
    </row>
    <row r="48" spans="1:27" s="75" customFormat="1" ht="15" customHeight="1" x14ac:dyDescent="0.25">
      <c r="A48" s="60" t="s">
        <v>273</v>
      </c>
      <c r="B48" s="57" t="s">
        <v>264</v>
      </c>
      <c r="C48" s="57" t="s">
        <v>274</v>
      </c>
      <c r="D48" s="56" t="s">
        <v>275</v>
      </c>
      <c r="E48" s="56" t="s">
        <v>66</v>
      </c>
      <c r="F48" s="56" t="s">
        <v>67</v>
      </c>
      <c r="G48" s="56" t="s">
        <v>68</v>
      </c>
      <c r="H48" s="56" t="s">
        <v>155</v>
      </c>
      <c r="I48" s="56" t="s">
        <v>140</v>
      </c>
      <c r="J48" s="58">
        <v>45044</v>
      </c>
      <c r="K48" s="58">
        <v>45077</v>
      </c>
      <c r="L48" s="58">
        <v>45079</v>
      </c>
      <c r="M48" s="58">
        <v>45085</v>
      </c>
      <c r="N48" s="58">
        <v>45085</v>
      </c>
      <c r="O48" s="56" t="s">
        <v>123</v>
      </c>
      <c r="P48" s="58" t="s">
        <v>123</v>
      </c>
      <c r="Q48" s="58"/>
      <c r="R48" s="58"/>
      <c r="S48" s="56"/>
      <c r="T48" s="56"/>
      <c r="U48" s="58"/>
      <c r="V48" s="58"/>
      <c r="W48" s="56"/>
      <c r="X48" s="56"/>
      <c r="Y48" s="56"/>
      <c r="Z48" s="56"/>
      <c r="AA48" s="56" t="str">
        <f t="shared" si="0"/>
        <v/>
      </c>
    </row>
    <row r="49" spans="1:27" ht="15" customHeight="1" x14ac:dyDescent="0.25">
      <c r="A49" s="43" t="s">
        <v>276</v>
      </c>
      <c r="B49" s="41" t="s">
        <v>277</v>
      </c>
      <c r="C49" s="41" t="s">
        <v>278</v>
      </c>
      <c r="D49" s="40" t="s">
        <v>87</v>
      </c>
      <c r="E49" s="40" t="s">
        <v>69</v>
      </c>
      <c r="F49" s="40" t="s">
        <v>67</v>
      </c>
      <c r="G49" s="77" t="s">
        <v>68</v>
      </c>
      <c r="H49" s="40" t="s">
        <v>155</v>
      </c>
      <c r="I49" s="40" t="s">
        <v>140</v>
      </c>
      <c r="J49" s="42">
        <v>44991</v>
      </c>
      <c r="K49" s="42">
        <v>45089</v>
      </c>
      <c r="L49" s="42">
        <v>45091</v>
      </c>
      <c r="M49" s="42">
        <v>45068</v>
      </c>
      <c r="N49" s="42">
        <v>45092</v>
      </c>
      <c r="O49" s="40" t="s">
        <v>122</v>
      </c>
      <c r="P49" s="42" t="s">
        <v>122</v>
      </c>
      <c r="S49" s="49"/>
      <c r="T49" s="49"/>
      <c r="W49" s="49"/>
      <c r="X49" s="49"/>
      <c r="AA49" s="40" t="str">
        <f t="shared" si="0"/>
        <v/>
      </c>
    </row>
    <row r="50" spans="1:27" ht="15" customHeight="1" x14ac:dyDescent="0.25">
      <c r="A50" s="43" t="s">
        <v>276</v>
      </c>
      <c r="B50" s="41" t="s">
        <v>277</v>
      </c>
      <c r="C50" s="41" t="s">
        <v>278</v>
      </c>
      <c r="D50" s="40" t="s">
        <v>87</v>
      </c>
      <c r="E50" s="40" t="s">
        <v>69</v>
      </c>
      <c r="F50" s="40" t="s">
        <v>67</v>
      </c>
      <c r="G50" s="40" t="s">
        <v>68</v>
      </c>
      <c r="H50" s="40" t="s">
        <v>155</v>
      </c>
      <c r="I50" s="40" t="s">
        <v>161</v>
      </c>
      <c r="J50" s="42">
        <v>44991</v>
      </c>
      <c r="K50" s="42">
        <v>45089</v>
      </c>
      <c r="L50" s="42">
        <v>45091</v>
      </c>
      <c r="M50" s="42">
        <v>45090</v>
      </c>
      <c r="N50" s="42">
        <v>45092</v>
      </c>
      <c r="O50" s="40" t="s">
        <v>123</v>
      </c>
      <c r="P50" s="42" t="s">
        <v>122</v>
      </c>
      <c r="AA50" s="40" t="str">
        <f t="shared" si="0"/>
        <v/>
      </c>
    </row>
    <row r="51" spans="1:27" s="75" customFormat="1" ht="15" customHeight="1" x14ac:dyDescent="0.25">
      <c r="A51" s="60" t="s">
        <v>279</v>
      </c>
      <c r="B51" s="57" t="s">
        <v>280</v>
      </c>
      <c r="C51" s="57" t="s">
        <v>281</v>
      </c>
      <c r="D51" s="56" t="s">
        <v>282</v>
      </c>
      <c r="E51" s="56" t="s">
        <v>86</v>
      </c>
      <c r="F51" s="56" t="s">
        <v>67</v>
      </c>
      <c r="G51" s="76" t="s">
        <v>68</v>
      </c>
      <c r="H51" s="56" t="s">
        <v>155</v>
      </c>
      <c r="I51" s="56" t="s">
        <v>188</v>
      </c>
      <c r="J51" s="58">
        <v>45064</v>
      </c>
      <c r="K51" s="58">
        <v>45092</v>
      </c>
      <c r="L51" s="58">
        <v>45096</v>
      </c>
      <c r="M51" s="58">
        <v>45098</v>
      </c>
      <c r="N51" s="58">
        <v>45100</v>
      </c>
      <c r="O51" s="56" t="s">
        <v>123</v>
      </c>
      <c r="P51" s="58" t="s">
        <v>123</v>
      </c>
      <c r="Q51" s="58"/>
      <c r="R51" s="58"/>
      <c r="S51" s="59"/>
      <c r="T51" s="59"/>
      <c r="U51" s="58"/>
      <c r="V51" s="58"/>
      <c r="W51" s="59"/>
      <c r="X51" s="59"/>
      <c r="Y51" s="56"/>
      <c r="Z51" s="56"/>
      <c r="AA51" s="56" t="str">
        <f t="shared" si="0"/>
        <v/>
      </c>
    </row>
    <row r="52" spans="1:27" s="75" customFormat="1" ht="15" customHeight="1" x14ac:dyDescent="0.25">
      <c r="A52" s="60" t="s">
        <v>279</v>
      </c>
      <c r="B52" s="57" t="s">
        <v>280</v>
      </c>
      <c r="C52" s="57" t="s">
        <v>281</v>
      </c>
      <c r="D52" s="56" t="s">
        <v>282</v>
      </c>
      <c r="E52" s="56" t="s">
        <v>86</v>
      </c>
      <c r="F52" s="56" t="s">
        <v>67</v>
      </c>
      <c r="G52" s="56" t="s">
        <v>68</v>
      </c>
      <c r="H52" s="56" t="s">
        <v>155</v>
      </c>
      <c r="I52" s="56" t="s">
        <v>283</v>
      </c>
      <c r="J52" s="58">
        <v>45064</v>
      </c>
      <c r="K52" s="58">
        <v>45092</v>
      </c>
      <c r="L52" s="58">
        <v>45096</v>
      </c>
      <c r="M52" s="58">
        <v>45097</v>
      </c>
      <c r="N52" s="58">
        <v>45100</v>
      </c>
      <c r="O52" s="56" t="s">
        <v>123</v>
      </c>
      <c r="P52" s="58" t="s">
        <v>123</v>
      </c>
      <c r="Q52" s="58"/>
      <c r="R52" s="58"/>
      <c r="S52" s="56"/>
      <c r="T52" s="56"/>
      <c r="U52" s="58"/>
      <c r="V52" s="58"/>
      <c r="W52" s="56"/>
      <c r="X52" s="56"/>
      <c r="Y52" s="56"/>
      <c r="Z52" s="56"/>
      <c r="AA52" s="56" t="str">
        <f t="shared" si="0"/>
        <v/>
      </c>
    </row>
    <row r="53" spans="1:27" s="75" customFormat="1" ht="15" customHeight="1" x14ac:dyDescent="0.25">
      <c r="A53" s="60" t="s">
        <v>284</v>
      </c>
      <c r="B53" s="57" t="s">
        <v>285</v>
      </c>
      <c r="C53" s="57" t="s">
        <v>286</v>
      </c>
      <c r="D53" s="56" t="s">
        <v>287</v>
      </c>
      <c r="E53" s="56" t="s">
        <v>66</v>
      </c>
      <c r="F53" s="56" t="s">
        <v>67</v>
      </c>
      <c r="G53" s="76" t="s">
        <v>70</v>
      </c>
      <c r="H53" s="56" t="s">
        <v>155</v>
      </c>
      <c r="I53" s="56" t="s">
        <v>140</v>
      </c>
      <c r="J53" s="58">
        <v>45061</v>
      </c>
      <c r="K53" s="58">
        <v>45089</v>
      </c>
      <c r="L53" s="58">
        <v>45091</v>
      </c>
      <c r="M53" s="58">
        <v>45094</v>
      </c>
      <c r="N53" s="58">
        <v>45097</v>
      </c>
      <c r="O53" s="56" t="s">
        <v>123</v>
      </c>
      <c r="P53" s="58" t="s">
        <v>123</v>
      </c>
      <c r="Q53" s="58"/>
      <c r="R53" s="58"/>
      <c r="S53" s="59"/>
      <c r="T53" s="59"/>
      <c r="U53" s="58"/>
      <c r="V53" s="58"/>
      <c r="W53" s="59"/>
      <c r="X53" s="59"/>
      <c r="Y53" s="56"/>
      <c r="Z53" s="56"/>
      <c r="AA53" s="56" t="str">
        <f t="shared" si="0"/>
        <v/>
      </c>
    </row>
    <row r="54" spans="1:27" ht="15" customHeight="1" x14ac:dyDescent="0.25">
      <c r="A54" s="43" t="s">
        <v>288</v>
      </c>
      <c r="B54" s="41" t="s">
        <v>289</v>
      </c>
      <c r="C54" s="41" t="s">
        <v>290</v>
      </c>
      <c r="D54" s="40" t="s">
        <v>291</v>
      </c>
      <c r="E54" s="40" t="s">
        <v>86</v>
      </c>
      <c r="F54" s="40" t="s">
        <v>67</v>
      </c>
      <c r="G54" s="40" t="s">
        <v>68</v>
      </c>
      <c r="H54" s="40" t="s">
        <v>139</v>
      </c>
      <c r="I54" s="40" t="s">
        <v>188</v>
      </c>
      <c r="J54" s="42">
        <v>45071</v>
      </c>
      <c r="K54" s="42">
        <v>45096</v>
      </c>
      <c r="L54" s="42">
        <v>45098</v>
      </c>
      <c r="M54" s="42">
        <v>45099</v>
      </c>
      <c r="N54" s="42">
        <v>45100</v>
      </c>
      <c r="O54" s="40" t="s">
        <v>123</v>
      </c>
      <c r="P54" s="42" t="s">
        <v>122</v>
      </c>
      <c r="AA54" s="40" t="str">
        <f t="shared" si="0"/>
        <v/>
      </c>
    </row>
    <row r="55" spans="1:27" ht="15" customHeight="1" x14ac:dyDescent="0.25">
      <c r="A55" s="43" t="s">
        <v>288</v>
      </c>
      <c r="B55" s="41" t="s">
        <v>289</v>
      </c>
      <c r="C55" s="41" t="s">
        <v>290</v>
      </c>
      <c r="D55" s="40" t="s">
        <v>291</v>
      </c>
      <c r="E55" s="40" t="s">
        <v>86</v>
      </c>
      <c r="F55" s="40" t="s">
        <v>67</v>
      </c>
      <c r="G55" s="77" t="s">
        <v>68</v>
      </c>
      <c r="H55" s="40" t="s">
        <v>139</v>
      </c>
      <c r="I55" s="40" t="s">
        <v>161</v>
      </c>
      <c r="J55" s="42">
        <v>45071</v>
      </c>
      <c r="K55" s="42">
        <v>45096</v>
      </c>
      <c r="L55" s="42">
        <v>45098</v>
      </c>
      <c r="M55" s="42">
        <v>45098</v>
      </c>
      <c r="N55" s="42">
        <v>45100</v>
      </c>
      <c r="O55" s="40" t="s">
        <v>123</v>
      </c>
      <c r="P55" s="42" t="s">
        <v>122</v>
      </c>
      <c r="S55" s="49"/>
      <c r="T55" s="49"/>
      <c r="W55" s="49"/>
      <c r="X55" s="49"/>
      <c r="AA55" s="40" t="str">
        <f t="shared" si="0"/>
        <v/>
      </c>
    </row>
    <row r="56" spans="1:27" ht="15" customHeight="1" x14ac:dyDescent="0.25">
      <c r="A56" s="43" t="s">
        <v>292</v>
      </c>
      <c r="B56" s="41" t="s">
        <v>293</v>
      </c>
      <c r="C56" s="41" t="s">
        <v>294</v>
      </c>
      <c r="D56" s="40" t="s">
        <v>72</v>
      </c>
      <c r="E56" s="40" t="s">
        <v>66</v>
      </c>
      <c r="F56" s="40" t="s">
        <v>67</v>
      </c>
      <c r="G56" s="40" t="s">
        <v>68</v>
      </c>
      <c r="H56" s="40" t="s">
        <v>168</v>
      </c>
      <c r="I56" s="40" t="s">
        <v>176</v>
      </c>
      <c r="J56" s="42">
        <v>45063</v>
      </c>
      <c r="K56" s="42">
        <v>45105</v>
      </c>
      <c r="L56" s="42">
        <v>45107</v>
      </c>
      <c r="M56" s="42">
        <v>45099</v>
      </c>
      <c r="N56" s="42">
        <v>45103</v>
      </c>
      <c r="O56" s="40" t="s">
        <v>122</v>
      </c>
      <c r="P56" s="42" t="s">
        <v>122</v>
      </c>
      <c r="AA56" s="40" t="str">
        <f t="shared" si="0"/>
        <v/>
      </c>
    </row>
    <row r="57" spans="1:27" ht="15" customHeight="1" x14ac:dyDescent="0.25">
      <c r="A57" s="43" t="s">
        <v>295</v>
      </c>
      <c r="B57" s="41" t="s">
        <v>293</v>
      </c>
      <c r="C57" s="41" t="s">
        <v>296</v>
      </c>
      <c r="D57" s="40" t="s">
        <v>72</v>
      </c>
      <c r="E57" s="40" t="s">
        <v>66</v>
      </c>
      <c r="F57" s="40" t="s">
        <v>67</v>
      </c>
      <c r="G57" s="77" t="s">
        <v>68</v>
      </c>
      <c r="H57" s="40" t="s">
        <v>168</v>
      </c>
      <c r="I57" s="40" t="s">
        <v>176</v>
      </c>
      <c r="J57" s="42">
        <v>45063</v>
      </c>
      <c r="K57" s="42">
        <v>45105</v>
      </c>
      <c r="L57" s="42">
        <v>45107</v>
      </c>
      <c r="M57" s="42">
        <v>45103</v>
      </c>
      <c r="N57" s="42">
        <v>45104</v>
      </c>
      <c r="O57" s="40" t="s">
        <v>122</v>
      </c>
      <c r="P57" s="42" t="s">
        <v>122</v>
      </c>
      <c r="S57" s="49"/>
      <c r="T57" s="49"/>
      <c r="W57" s="49"/>
      <c r="X57" s="49"/>
      <c r="AA57" s="40" t="str">
        <f t="shared" si="0"/>
        <v/>
      </c>
    </row>
    <row r="58" spans="1:27" s="75" customFormat="1" ht="15" customHeight="1" x14ac:dyDescent="0.25">
      <c r="A58" s="60" t="s">
        <v>151</v>
      </c>
      <c r="B58" s="57" t="s">
        <v>152</v>
      </c>
      <c r="C58" s="57" t="s">
        <v>153</v>
      </c>
      <c r="D58" s="56" t="s">
        <v>154</v>
      </c>
      <c r="E58" s="56" t="s">
        <v>69</v>
      </c>
      <c r="F58" s="56" t="s">
        <v>67</v>
      </c>
      <c r="G58" s="56" t="s">
        <v>68</v>
      </c>
      <c r="H58" s="56" t="s">
        <v>155</v>
      </c>
      <c r="I58" s="56" t="s">
        <v>156</v>
      </c>
      <c r="J58" s="58">
        <v>45016</v>
      </c>
      <c r="K58" s="58">
        <v>45071</v>
      </c>
      <c r="L58" s="58">
        <v>45075</v>
      </c>
      <c r="M58" s="58">
        <v>45079</v>
      </c>
      <c r="N58" s="58">
        <v>45082</v>
      </c>
      <c r="O58" s="56" t="s">
        <v>123</v>
      </c>
      <c r="P58" s="58" t="s">
        <v>123</v>
      </c>
      <c r="Q58" s="58"/>
      <c r="R58" s="58"/>
      <c r="S58" s="56"/>
      <c r="T58" s="56"/>
      <c r="U58" s="58"/>
      <c r="V58" s="58"/>
      <c r="W58" s="56"/>
      <c r="X58" s="56"/>
      <c r="Y58" s="56"/>
      <c r="Z58" s="56"/>
      <c r="AA58" s="56" t="str">
        <f t="shared" si="0"/>
        <v/>
      </c>
    </row>
    <row r="59" spans="1:27" ht="15" customHeight="1" x14ac:dyDescent="0.25">
      <c r="A59" s="43" t="s">
        <v>297</v>
      </c>
      <c r="B59" s="41" t="s">
        <v>298</v>
      </c>
      <c r="C59" s="41" t="s">
        <v>299</v>
      </c>
      <c r="D59" s="40" t="s">
        <v>72</v>
      </c>
      <c r="E59" s="40" t="s">
        <v>86</v>
      </c>
      <c r="F59" s="40" t="s">
        <v>67</v>
      </c>
      <c r="G59" s="77" t="s">
        <v>68</v>
      </c>
      <c r="H59" s="40" t="s">
        <v>168</v>
      </c>
      <c r="I59" s="40" t="s">
        <v>176</v>
      </c>
      <c r="J59" s="42">
        <v>45044</v>
      </c>
      <c r="K59" s="42">
        <v>45092</v>
      </c>
      <c r="L59" s="42">
        <v>45096</v>
      </c>
      <c r="M59" s="42">
        <v>45089</v>
      </c>
      <c r="N59" s="42">
        <v>45092</v>
      </c>
      <c r="O59" s="40" t="s">
        <v>122</v>
      </c>
      <c r="P59" s="42" t="s">
        <v>122</v>
      </c>
      <c r="S59" s="49"/>
      <c r="T59" s="49"/>
      <c r="W59" s="49"/>
      <c r="X59" s="49"/>
      <c r="AA59" s="40" t="str">
        <f t="shared" si="0"/>
        <v/>
      </c>
    </row>
    <row r="60" spans="1:27" ht="15" customHeight="1" x14ac:dyDescent="0.25">
      <c r="A60" s="43" t="s">
        <v>300</v>
      </c>
      <c r="B60" s="41" t="s">
        <v>298</v>
      </c>
      <c r="C60" s="41" t="s">
        <v>301</v>
      </c>
      <c r="D60" s="40" t="s">
        <v>72</v>
      </c>
      <c r="E60" s="40" t="s">
        <v>86</v>
      </c>
      <c r="F60" s="40" t="s">
        <v>67</v>
      </c>
      <c r="G60" s="40" t="s">
        <v>68</v>
      </c>
      <c r="H60" s="40" t="s">
        <v>168</v>
      </c>
      <c r="I60" s="40" t="s">
        <v>176</v>
      </c>
      <c r="J60" s="42">
        <v>45044</v>
      </c>
      <c r="K60" s="42">
        <v>45092</v>
      </c>
      <c r="L60" s="42">
        <v>45096</v>
      </c>
      <c r="M60" s="42">
        <v>45085</v>
      </c>
      <c r="N60" s="42">
        <v>45089</v>
      </c>
      <c r="O60" s="40" t="s">
        <v>122</v>
      </c>
      <c r="P60" s="42" t="s">
        <v>122</v>
      </c>
      <c r="AA60" s="40" t="str">
        <f t="shared" si="0"/>
        <v/>
      </c>
    </row>
    <row r="61" spans="1:27" ht="15" customHeight="1" x14ac:dyDescent="0.25">
      <c r="A61" s="43" t="s">
        <v>302</v>
      </c>
      <c r="B61" s="41" t="s">
        <v>298</v>
      </c>
      <c r="C61" s="41" t="s">
        <v>299</v>
      </c>
      <c r="D61" s="40" t="s">
        <v>72</v>
      </c>
      <c r="E61" s="40" t="s">
        <v>86</v>
      </c>
      <c r="F61" s="40" t="s">
        <v>67</v>
      </c>
      <c r="G61" s="77" t="s">
        <v>68</v>
      </c>
      <c r="H61" s="40" t="s">
        <v>168</v>
      </c>
      <c r="I61" s="40" t="s">
        <v>176</v>
      </c>
      <c r="J61" s="42">
        <v>45044</v>
      </c>
      <c r="K61" s="42">
        <v>45092</v>
      </c>
      <c r="L61" s="42">
        <v>45096</v>
      </c>
      <c r="M61" s="42">
        <v>45089</v>
      </c>
      <c r="N61" s="42">
        <v>45092</v>
      </c>
      <c r="O61" s="40" t="s">
        <v>122</v>
      </c>
      <c r="P61" s="42" t="s">
        <v>122</v>
      </c>
      <c r="S61" s="49"/>
      <c r="T61" s="49"/>
      <c r="W61" s="49"/>
      <c r="X61" s="49"/>
      <c r="AA61" s="40" t="str">
        <f t="shared" si="0"/>
        <v/>
      </c>
    </row>
    <row r="62" spans="1:27" ht="15" customHeight="1" x14ac:dyDescent="0.25">
      <c r="A62" s="43" t="s">
        <v>303</v>
      </c>
      <c r="B62" s="41" t="s">
        <v>298</v>
      </c>
      <c r="C62" s="41" t="s">
        <v>304</v>
      </c>
      <c r="D62" s="40" t="s">
        <v>72</v>
      </c>
      <c r="E62" s="40" t="s">
        <v>86</v>
      </c>
      <c r="F62" s="40" t="s">
        <v>67</v>
      </c>
      <c r="G62" s="40" t="s">
        <v>68</v>
      </c>
      <c r="H62" s="40" t="s">
        <v>168</v>
      </c>
      <c r="I62" s="40" t="s">
        <v>176</v>
      </c>
      <c r="J62" s="42">
        <v>45044</v>
      </c>
      <c r="K62" s="42">
        <v>45092</v>
      </c>
      <c r="L62" s="42">
        <v>45096</v>
      </c>
      <c r="M62" s="42">
        <v>45084</v>
      </c>
      <c r="N62" s="42">
        <v>45085</v>
      </c>
      <c r="O62" s="40" t="s">
        <v>122</v>
      </c>
      <c r="P62" s="42" t="s">
        <v>122</v>
      </c>
      <c r="AA62" s="40" t="str">
        <f t="shared" si="0"/>
        <v/>
      </c>
    </row>
    <row r="63" spans="1:27" s="75" customFormat="1" ht="15" customHeight="1" x14ac:dyDescent="0.25">
      <c r="A63" s="60" t="s">
        <v>305</v>
      </c>
      <c r="B63" s="57" t="s">
        <v>248</v>
      </c>
      <c r="C63" s="57" t="s">
        <v>306</v>
      </c>
      <c r="D63" s="56"/>
      <c r="E63" s="56" t="s">
        <v>70</v>
      </c>
      <c r="F63" s="56" t="s">
        <v>67</v>
      </c>
      <c r="G63" s="76" t="s">
        <v>70</v>
      </c>
      <c r="H63" s="56" t="s">
        <v>160</v>
      </c>
      <c r="I63" s="56" t="s">
        <v>140</v>
      </c>
      <c r="J63" s="58">
        <v>45014</v>
      </c>
      <c r="K63" s="58">
        <v>45077</v>
      </c>
      <c r="L63" s="58">
        <v>45079</v>
      </c>
      <c r="M63" s="58">
        <v>45091</v>
      </c>
      <c r="N63" s="58">
        <v>45097</v>
      </c>
      <c r="O63" s="56" t="s">
        <v>123</v>
      </c>
      <c r="P63" s="58" t="s">
        <v>123</v>
      </c>
      <c r="Q63" s="58"/>
      <c r="R63" s="58"/>
      <c r="S63" s="59"/>
      <c r="T63" s="59"/>
      <c r="U63" s="58"/>
      <c r="V63" s="58"/>
      <c r="W63" s="59"/>
      <c r="X63" s="59"/>
      <c r="Y63" s="56"/>
      <c r="Z63" s="56"/>
      <c r="AA63" s="56" t="str">
        <f t="shared" si="0"/>
        <v/>
      </c>
    </row>
    <row r="64" spans="1:27" s="75" customFormat="1" ht="15" customHeight="1" x14ac:dyDescent="0.25">
      <c r="A64" s="60" t="s">
        <v>305</v>
      </c>
      <c r="B64" s="57" t="s">
        <v>248</v>
      </c>
      <c r="C64" s="57" t="s">
        <v>307</v>
      </c>
      <c r="D64" s="56" t="s">
        <v>308</v>
      </c>
      <c r="E64" s="56" t="s">
        <v>70</v>
      </c>
      <c r="F64" s="56" t="s">
        <v>67</v>
      </c>
      <c r="G64" s="56" t="s">
        <v>70</v>
      </c>
      <c r="H64" s="56" t="s">
        <v>160</v>
      </c>
      <c r="I64" s="56" t="s">
        <v>161</v>
      </c>
      <c r="J64" s="58">
        <v>45014</v>
      </c>
      <c r="K64" s="58">
        <v>45077</v>
      </c>
      <c r="L64" s="58">
        <v>45079</v>
      </c>
      <c r="M64" s="58">
        <v>45097</v>
      </c>
      <c r="N64" s="58">
        <v>45097</v>
      </c>
      <c r="O64" s="56" t="s">
        <v>123</v>
      </c>
      <c r="P64" s="58" t="s">
        <v>123</v>
      </c>
      <c r="Q64" s="58"/>
      <c r="R64" s="58"/>
      <c r="S64" s="56"/>
      <c r="T64" s="56"/>
      <c r="U64" s="58"/>
      <c r="V64" s="58"/>
      <c r="W64" s="56"/>
      <c r="X64" s="56"/>
      <c r="Y64" s="56"/>
      <c r="Z64" s="56"/>
      <c r="AA64" s="56" t="str">
        <f t="shared" si="0"/>
        <v/>
      </c>
    </row>
    <row r="65" spans="1:27" ht="15" customHeight="1" x14ac:dyDescent="0.25">
      <c r="A65" s="43" t="s">
        <v>309</v>
      </c>
      <c r="B65" s="41" t="s">
        <v>310</v>
      </c>
      <c r="C65" s="41" t="s">
        <v>311</v>
      </c>
      <c r="D65" s="40" t="s">
        <v>312</v>
      </c>
      <c r="E65" s="40" t="s">
        <v>66</v>
      </c>
      <c r="F65" s="40" t="s">
        <v>67</v>
      </c>
      <c r="G65" s="77" t="s">
        <v>89</v>
      </c>
      <c r="H65" s="40" t="s">
        <v>155</v>
      </c>
      <c r="I65" s="40" t="s">
        <v>313</v>
      </c>
      <c r="J65" s="42">
        <v>45077</v>
      </c>
      <c r="K65" s="42">
        <v>45086</v>
      </c>
      <c r="L65" s="42">
        <v>45090</v>
      </c>
      <c r="M65" s="42">
        <v>45085</v>
      </c>
      <c r="N65" s="42">
        <v>45091</v>
      </c>
      <c r="O65" s="40" t="s">
        <v>122</v>
      </c>
      <c r="P65" s="42" t="s">
        <v>122</v>
      </c>
      <c r="S65" s="49"/>
      <c r="T65" s="49"/>
      <c r="W65" s="49"/>
      <c r="X65" s="49"/>
      <c r="AA65" s="40" t="str">
        <f t="shared" si="0"/>
        <v/>
      </c>
    </row>
    <row r="66" spans="1:27" s="75" customFormat="1" ht="15" customHeight="1" x14ac:dyDescent="0.25">
      <c r="A66" s="60" t="s">
        <v>314</v>
      </c>
      <c r="B66" s="57" t="s">
        <v>315</v>
      </c>
      <c r="C66" s="57" t="s">
        <v>316</v>
      </c>
      <c r="D66" s="56" t="s">
        <v>98</v>
      </c>
      <c r="E66" s="56" t="s">
        <v>86</v>
      </c>
      <c r="F66" s="56" t="s">
        <v>67</v>
      </c>
      <c r="G66" s="56" t="s">
        <v>68</v>
      </c>
      <c r="H66" s="56" t="s">
        <v>160</v>
      </c>
      <c r="I66" s="56" t="s">
        <v>188</v>
      </c>
      <c r="J66" s="58">
        <v>45042</v>
      </c>
      <c r="K66" s="58">
        <v>45070</v>
      </c>
      <c r="L66" s="58">
        <v>45072</v>
      </c>
      <c r="M66" s="58">
        <v>45082</v>
      </c>
      <c r="N66" s="58">
        <v>45085</v>
      </c>
      <c r="O66" s="56" t="s">
        <v>123</v>
      </c>
      <c r="P66" s="58" t="s">
        <v>123</v>
      </c>
      <c r="Q66" s="58"/>
      <c r="R66" s="58"/>
      <c r="S66" s="56"/>
      <c r="T66" s="56"/>
      <c r="U66" s="58"/>
      <c r="V66" s="58"/>
      <c r="W66" s="56"/>
      <c r="X66" s="56"/>
      <c r="Y66" s="56"/>
      <c r="Z66" s="56"/>
      <c r="AA66" s="56" t="str">
        <f t="shared" si="0"/>
        <v/>
      </c>
    </row>
    <row r="67" spans="1:27" s="75" customFormat="1" ht="15" customHeight="1" x14ac:dyDescent="0.25">
      <c r="A67" s="60" t="s">
        <v>314</v>
      </c>
      <c r="B67" s="57" t="s">
        <v>315</v>
      </c>
      <c r="C67" s="57" t="s">
        <v>316</v>
      </c>
      <c r="D67" s="56" t="s">
        <v>98</v>
      </c>
      <c r="E67" s="56" t="s">
        <v>86</v>
      </c>
      <c r="F67" s="56" t="s">
        <v>67</v>
      </c>
      <c r="G67" s="76" t="s">
        <v>68</v>
      </c>
      <c r="H67" s="56" t="s">
        <v>160</v>
      </c>
      <c r="I67" s="56" t="s">
        <v>156</v>
      </c>
      <c r="J67" s="58">
        <v>45042</v>
      </c>
      <c r="K67" s="58">
        <v>45070</v>
      </c>
      <c r="L67" s="58">
        <v>45072</v>
      </c>
      <c r="M67" s="58">
        <v>45069</v>
      </c>
      <c r="N67" s="58">
        <v>45085</v>
      </c>
      <c r="O67" s="56" t="s">
        <v>122</v>
      </c>
      <c r="P67" s="58" t="s">
        <v>123</v>
      </c>
      <c r="Q67" s="58"/>
      <c r="R67" s="58"/>
      <c r="S67" s="59"/>
      <c r="T67" s="59"/>
      <c r="U67" s="58"/>
      <c r="V67" s="58"/>
      <c r="W67" s="59"/>
      <c r="X67" s="59"/>
      <c r="Y67" s="56"/>
      <c r="Z67" s="56"/>
      <c r="AA67" s="56" t="str">
        <f t="shared" si="0"/>
        <v/>
      </c>
    </row>
    <row r="68" spans="1:27" s="75" customFormat="1" ht="15" customHeight="1" x14ac:dyDescent="0.25">
      <c r="A68" s="60" t="s">
        <v>317</v>
      </c>
      <c r="B68" s="57" t="s">
        <v>315</v>
      </c>
      <c r="C68" s="57" t="s">
        <v>318</v>
      </c>
      <c r="D68" s="56" t="s">
        <v>98</v>
      </c>
      <c r="E68" s="56" t="s">
        <v>86</v>
      </c>
      <c r="F68" s="56" t="s">
        <v>67</v>
      </c>
      <c r="G68" s="76" t="s">
        <v>68</v>
      </c>
      <c r="H68" s="56" t="s">
        <v>160</v>
      </c>
      <c r="I68" s="56" t="s">
        <v>188</v>
      </c>
      <c r="J68" s="58">
        <v>45042</v>
      </c>
      <c r="K68" s="58">
        <v>45070</v>
      </c>
      <c r="L68" s="58">
        <v>45072</v>
      </c>
      <c r="M68" s="58">
        <v>45082</v>
      </c>
      <c r="N68" s="58">
        <v>45098</v>
      </c>
      <c r="O68" s="56" t="s">
        <v>123</v>
      </c>
      <c r="P68" s="58" t="s">
        <v>123</v>
      </c>
      <c r="Q68" s="58"/>
      <c r="R68" s="58"/>
      <c r="S68" s="59"/>
      <c r="T68" s="59"/>
      <c r="U68" s="58"/>
      <c r="V68" s="58"/>
      <c r="W68" s="59"/>
      <c r="X68" s="59"/>
      <c r="Y68" s="56"/>
      <c r="Z68" s="56"/>
      <c r="AA68" s="56" t="str">
        <f t="shared" si="0"/>
        <v/>
      </c>
    </row>
    <row r="69" spans="1:27" s="75" customFormat="1" ht="15" customHeight="1" x14ac:dyDescent="0.25">
      <c r="A69" s="60" t="s">
        <v>317</v>
      </c>
      <c r="B69" s="57" t="s">
        <v>315</v>
      </c>
      <c r="C69" s="57" t="s">
        <v>318</v>
      </c>
      <c r="D69" s="56" t="s">
        <v>98</v>
      </c>
      <c r="E69" s="56" t="s">
        <v>86</v>
      </c>
      <c r="F69" s="56" t="s">
        <v>67</v>
      </c>
      <c r="G69" s="56" t="s">
        <v>68</v>
      </c>
      <c r="H69" s="56" t="s">
        <v>160</v>
      </c>
      <c r="I69" s="56" t="s">
        <v>156</v>
      </c>
      <c r="J69" s="58">
        <v>45042</v>
      </c>
      <c r="K69" s="58">
        <v>45070</v>
      </c>
      <c r="L69" s="58">
        <v>45072</v>
      </c>
      <c r="M69" s="58">
        <v>45069</v>
      </c>
      <c r="N69" s="58">
        <v>45098</v>
      </c>
      <c r="O69" s="56" t="s">
        <v>122</v>
      </c>
      <c r="P69" s="58" t="s">
        <v>123</v>
      </c>
      <c r="Q69" s="58"/>
      <c r="R69" s="58"/>
      <c r="S69" s="56"/>
      <c r="T69" s="56"/>
      <c r="U69" s="58"/>
      <c r="V69" s="58"/>
      <c r="W69" s="56"/>
      <c r="X69" s="56"/>
      <c r="Y69" s="56"/>
      <c r="Z69" s="56"/>
      <c r="AA69" s="56" t="str">
        <f t="shared" si="0"/>
        <v/>
      </c>
    </row>
    <row r="70" spans="1:27" ht="15" customHeight="1" x14ac:dyDescent="0.25">
      <c r="A70" s="43" t="s">
        <v>319</v>
      </c>
      <c r="B70" s="41" t="s">
        <v>320</v>
      </c>
      <c r="C70" s="41" t="s">
        <v>321</v>
      </c>
      <c r="D70" s="40" t="s">
        <v>322</v>
      </c>
      <c r="E70" s="40" t="s">
        <v>69</v>
      </c>
      <c r="F70" s="40" t="s">
        <v>67</v>
      </c>
      <c r="G70" s="77" t="s">
        <v>89</v>
      </c>
      <c r="H70" s="40" t="s">
        <v>160</v>
      </c>
      <c r="I70" s="40" t="s">
        <v>188</v>
      </c>
      <c r="J70" s="42">
        <v>45083</v>
      </c>
      <c r="K70" s="42">
        <v>45104</v>
      </c>
      <c r="L70" s="42">
        <v>45106</v>
      </c>
      <c r="M70" s="42">
        <v>45103</v>
      </c>
      <c r="N70" s="42">
        <v>45104</v>
      </c>
      <c r="O70" s="40" t="s">
        <v>122</v>
      </c>
      <c r="P70" s="42" t="s">
        <v>122</v>
      </c>
      <c r="S70" s="49"/>
      <c r="T70" s="49"/>
      <c r="W70" s="49"/>
      <c r="X70" s="49"/>
      <c r="AA70" s="40" t="str">
        <f t="shared" si="0"/>
        <v/>
      </c>
    </row>
    <row r="71" spans="1:27" ht="15" customHeight="1" x14ac:dyDescent="0.25">
      <c r="A71" s="43" t="s">
        <v>319</v>
      </c>
      <c r="B71" s="41" t="s">
        <v>320</v>
      </c>
      <c r="C71" s="41" t="s">
        <v>321</v>
      </c>
      <c r="D71" s="40" t="s">
        <v>90</v>
      </c>
      <c r="E71" s="40" t="s">
        <v>69</v>
      </c>
      <c r="F71" s="40" t="s">
        <v>67</v>
      </c>
      <c r="G71" s="40" t="s">
        <v>89</v>
      </c>
      <c r="H71" s="40" t="s">
        <v>160</v>
      </c>
      <c r="I71" s="40" t="s">
        <v>156</v>
      </c>
      <c r="J71" s="42">
        <v>45083</v>
      </c>
      <c r="K71" s="42">
        <v>45104</v>
      </c>
      <c r="L71" s="42">
        <v>45106</v>
      </c>
      <c r="M71" s="42">
        <v>45104</v>
      </c>
      <c r="N71" s="42">
        <v>45104</v>
      </c>
      <c r="O71" s="40" t="s">
        <v>122</v>
      </c>
      <c r="P71" s="42" t="s">
        <v>122</v>
      </c>
      <c r="AA71" s="40" t="str">
        <f t="shared" si="0"/>
        <v/>
      </c>
    </row>
    <row r="72" spans="1:27" s="75" customFormat="1" ht="15" customHeight="1" x14ac:dyDescent="0.25">
      <c r="A72" s="60" t="s">
        <v>157</v>
      </c>
      <c r="B72" s="57" t="s">
        <v>158</v>
      </c>
      <c r="C72" s="57" t="s">
        <v>159</v>
      </c>
      <c r="D72" s="56" t="s">
        <v>103</v>
      </c>
      <c r="E72" s="56" t="s">
        <v>69</v>
      </c>
      <c r="F72" s="56" t="s">
        <v>67</v>
      </c>
      <c r="G72" s="76" t="s">
        <v>68</v>
      </c>
      <c r="H72" s="56" t="s">
        <v>160</v>
      </c>
      <c r="I72" s="56" t="s">
        <v>161</v>
      </c>
      <c r="J72" s="58">
        <v>45006</v>
      </c>
      <c r="K72" s="58">
        <v>45069</v>
      </c>
      <c r="L72" s="58">
        <v>45071</v>
      </c>
      <c r="M72" s="58">
        <v>45077</v>
      </c>
      <c r="N72" s="58">
        <v>45082</v>
      </c>
      <c r="O72" s="56" t="s">
        <v>123</v>
      </c>
      <c r="P72" s="58" t="s">
        <v>123</v>
      </c>
      <c r="Q72" s="58"/>
      <c r="R72" s="58"/>
      <c r="S72" s="59"/>
      <c r="T72" s="59"/>
      <c r="U72" s="58"/>
      <c r="V72" s="58"/>
      <c r="W72" s="59"/>
      <c r="X72" s="59"/>
      <c r="Y72" s="56"/>
      <c r="Z72" s="56"/>
      <c r="AA72" s="56" t="str">
        <f t="shared" ref="AA72:AA135" si="1">IFERROR(
IF(AND(X72="Não",Y72="Sim"),"REP",
IF(AND(X72="Sim",Y72="Não"),"Técnico",
IF(AND(X72="Sim",Y72="Sim"),"Ambos",""))),
"")</f>
        <v/>
      </c>
    </row>
    <row r="73" spans="1:27" s="75" customFormat="1" ht="15" customHeight="1" x14ac:dyDescent="0.25">
      <c r="A73" s="60" t="s">
        <v>162</v>
      </c>
      <c r="B73" s="57" t="s">
        <v>158</v>
      </c>
      <c r="C73" s="57" t="s">
        <v>163</v>
      </c>
      <c r="D73" s="56" t="s">
        <v>103</v>
      </c>
      <c r="E73" s="56" t="s">
        <v>69</v>
      </c>
      <c r="F73" s="56" t="s">
        <v>67</v>
      </c>
      <c r="G73" s="56" t="s">
        <v>68</v>
      </c>
      <c r="H73" s="56" t="s">
        <v>160</v>
      </c>
      <c r="I73" s="56" t="s">
        <v>161</v>
      </c>
      <c r="J73" s="58">
        <v>45006</v>
      </c>
      <c r="K73" s="58">
        <v>45069</v>
      </c>
      <c r="L73" s="58">
        <v>45071</v>
      </c>
      <c r="M73" s="58">
        <v>45077</v>
      </c>
      <c r="N73" s="58">
        <v>45082</v>
      </c>
      <c r="O73" s="56" t="s">
        <v>123</v>
      </c>
      <c r="P73" s="58" t="s">
        <v>123</v>
      </c>
      <c r="Q73" s="58"/>
      <c r="R73" s="58"/>
      <c r="S73" s="56"/>
      <c r="T73" s="56"/>
      <c r="U73" s="58"/>
      <c r="V73" s="58"/>
      <c r="W73" s="56"/>
      <c r="X73" s="56"/>
      <c r="Y73" s="56"/>
      <c r="Z73" s="56"/>
      <c r="AA73" s="56" t="str">
        <f t="shared" si="1"/>
        <v/>
      </c>
    </row>
    <row r="74" spans="1:27" s="75" customFormat="1" ht="15" customHeight="1" x14ac:dyDescent="0.25">
      <c r="A74" s="60" t="s">
        <v>323</v>
      </c>
      <c r="B74" s="57" t="s">
        <v>324</v>
      </c>
      <c r="C74" s="57" t="s">
        <v>325</v>
      </c>
      <c r="D74" s="56" t="s">
        <v>326</v>
      </c>
      <c r="E74" s="56" t="s">
        <v>69</v>
      </c>
      <c r="F74" s="56" t="s">
        <v>67</v>
      </c>
      <c r="G74" s="76" t="s">
        <v>68</v>
      </c>
      <c r="H74" s="56" t="s">
        <v>168</v>
      </c>
      <c r="I74" s="56" t="s">
        <v>283</v>
      </c>
      <c r="J74" s="58">
        <v>45058</v>
      </c>
      <c r="K74" s="58">
        <v>45089</v>
      </c>
      <c r="L74" s="58">
        <v>45091</v>
      </c>
      <c r="M74" s="58">
        <v>45106</v>
      </c>
      <c r="N74" s="58">
        <v>45107</v>
      </c>
      <c r="O74" s="56" t="s">
        <v>123</v>
      </c>
      <c r="P74" s="58" t="s">
        <v>123</v>
      </c>
      <c r="Q74" s="58"/>
      <c r="R74" s="58"/>
      <c r="S74" s="59"/>
      <c r="T74" s="59"/>
      <c r="U74" s="58"/>
      <c r="V74" s="58"/>
      <c r="W74" s="59"/>
      <c r="X74" s="59"/>
      <c r="Y74" s="56"/>
      <c r="Z74" s="56"/>
      <c r="AA74" s="56" t="str">
        <f t="shared" si="1"/>
        <v/>
      </c>
    </row>
    <row r="75" spans="1:27" s="75" customFormat="1" ht="15" customHeight="1" x14ac:dyDescent="0.25">
      <c r="A75" s="60" t="s">
        <v>323</v>
      </c>
      <c r="B75" s="57" t="s">
        <v>324</v>
      </c>
      <c r="C75" s="57" t="s">
        <v>325</v>
      </c>
      <c r="D75" s="56" t="s">
        <v>327</v>
      </c>
      <c r="E75" s="56" t="s">
        <v>69</v>
      </c>
      <c r="F75" s="56" t="s">
        <v>67</v>
      </c>
      <c r="G75" s="56" t="s">
        <v>68</v>
      </c>
      <c r="H75" s="56" t="s">
        <v>168</v>
      </c>
      <c r="I75" s="56" t="s">
        <v>188</v>
      </c>
      <c r="J75" s="58">
        <v>45058</v>
      </c>
      <c r="K75" s="58">
        <v>45089</v>
      </c>
      <c r="L75" s="58">
        <v>45091</v>
      </c>
      <c r="M75" s="58">
        <v>45091</v>
      </c>
      <c r="N75" s="58">
        <v>45107</v>
      </c>
      <c r="O75" s="56" t="s">
        <v>123</v>
      </c>
      <c r="P75" s="58" t="s">
        <v>123</v>
      </c>
      <c r="Q75" s="58"/>
      <c r="R75" s="58"/>
      <c r="S75" s="56"/>
      <c r="T75" s="56"/>
      <c r="U75" s="58"/>
      <c r="V75" s="58"/>
      <c r="W75" s="56"/>
      <c r="X75" s="56"/>
      <c r="Y75" s="56"/>
      <c r="Z75" s="56"/>
      <c r="AA75" s="56" t="str">
        <f t="shared" si="1"/>
        <v/>
      </c>
    </row>
    <row r="76" spans="1:27" s="75" customFormat="1" ht="15" customHeight="1" x14ac:dyDescent="0.25">
      <c r="A76" s="60" t="s">
        <v>164</v>
      </c>
      <c r="B76" s="57" t="s">
        <v>165</v>
      </c>
      <c r="C76" s="57" t="s">
        <v>166</v>
      </c>
      <c r="D76" s="56" t="s">
        <v>167</v>
      </c>
      <c r="E76" s="56" t="s">
        <v>69</v>
      </c>
      <c r="F76" s="56" t="s">
        <v>67</v>
      </c>
      <c r="G76" s="76" t="s">
        <v>68</v>
      </c>
      <c r="H76" s="56" t="s">
        <v>160</v>
      </c>
      <c r="I76" s="56" t="s">
        <v>156</v>
      </c>
      <c r="J76" s="58">
        <v>45057</v>
      </c>
      <c r="K76" s="58">
        <v>45071</v>
      </c>
      <c r="L76" s="58">
        <v>45075</v>
      </c>
      <c r="M76" s="58">
        <v>45082</v>
      </c>
      <c r="N76" s="58">
        <v>45084</v>
      </c>
      <c r="O76" s="56" t="s">
        <v>123</v>
      </c>
      <c r="P76" s="58" t="s">
        <v>123</v>
      </c>
      <c r="Q76" s="58"/>
      <c r="R76" s="58"/>
      <c r="S76" s="59"/>
      <c r="T76" s="59"/>
      <c r="U76" s="58"/>
      <c r="V76" s="58"/>
      <c r="W76" s="59"/>
      <c r="X76" s="59"/>
      <c r="Y76" s="56"/>
      <c r="Z76" s="56"/>
      <c r="AA76" s="56" t="str">
        <f t="shared" si="1"/>
        <v/>
      </c>
    </row>
    <row r="77" spans="1:27" s="75" customFormat="1" ht="15" customHeight="1" x14ac:dyDescent="0.25">
      <c r="A77" s="60" t="s">
        <v>328</v>
      </c>
      <c r="B77" s="57" t="s">
        <v>165</v>
      </c>
      <c r="C77" s="57" t="s">
        <v>329</v>
      </c>
      <c r="D77" s="56" t="s">
        <v>167</v>
      </c>
      <c r="E77" s="56" t="s">
        <v>69</v>
      </c>
      <c r="F77" s="56" t="s">
        <v>67</v>
      </c>
      <c r="G77" s="56" t="s">
        <v>68</v>
      </c>
      <c r="H77" s="56" t="s">
        <v>160</v>
      </c>
      <c r="I77" s="56" t="s">
        <v>156</v>
      </c>
      <c r="J77" s="58">
        <v>45057</v>
      </c>
      <c r="K77" s="58">
        <v>45071</v>
      </c>
      <c r="L77" s="58">
        <v>45075</v>
      </c>
      <c r="M77" s="58">
        <v>45082</v>
      </c>
      <c r="N77" s="58">
        <v>45085</v>
      </c>
      <c r="O77" s="56" t="s">
        <v>123</v>
      </c>
      <c r="P77" s="58" t="s">
        <v>123</v>
      </c>
      <c r="Q77" s="58"/>
      <c r="R77" s="58"/>
      <c r="S77" s="56"/>
      <c r="T77" s="56"/>
      <c r="U77" s="58"/>
      <c r="V77" s="58"/>
      <c r="W77" s="56"/>
      <c r="X77" s="56"/>
      <c r="Y77" s="56"/>
      <c r="Z77" s="56"/>
      <c r="AA77" s="56" t="str">
        <f t="shared" si="1"/>
        <v/>
      </c>
    </row>
    <row r="78" spans="1:27" s="75" customFormat="1" ht="15" customHeight="1" x14ac:dyDescent="0.25">
      <c r="A78" s="60" t="s">
        <v>330</v>
      </c>
      <c r="B78" s="57" t="s">
        <v>165</v>
      </c>
      <c r="C78" s="57" t="s">
        <v>331</v>
      </c>
      <c r="D78" s="56" t="s">
        <v>167</v>
      </c>
      <c r="E78" s="56" t="s">
        <v>69</v>
      </c>
      <c r="F78" s="56" t="s">
        <v>67</v>
      </c>
      <c r="G78" s="76" t="s">
        <v>68</v>
      </c>
      <c r="H78" s="56" t="s">
        <v>160</v>
      </c>
      <c r="I78" s="56" t="s">
        <v>156</v>
      </c>
      <c r="J78" s="58">
        <v>45057</v>
      </c>
      <c r="K78" s="58">
        <v>45071</v>
      </c>
      <c r="L78" s="58">
        <v>45075</v>
      </c>
      <c r="M78" s="58">
        <v>45082</v>
      </c>
      <c r="N78" s="58">
        <v>45085</v>
      </c>
      <c r="O78" s="56" t="s">
        <v>123</v>
      </c>
      <c r="P78" s="58" t="s">
        <v>123</v>
      </c>
      <c r="Q78" s="58"/>
      <c r="R78" s="58"/>
      <c r="S78" s="59"/>
      <c r="T78" s="59"/>
      <c r="U78" s="58"/>
      <c r="V78" s="58"/>
      <c r="W78" s="59"/>
      <c r="X78" s="59"/>
      <c r="Y78" s="56"/>
      <c r="Z78" s="56"/>
      <c r="AA78" s="56" t="str">
        <f t="shared" si="1"/>
        <v/>
      </c>
    </row>
    <row r="79" spans="1:27" s="75" customFormat="1" ht="15" customHeight="1" x14ac:dyDescent="0.25">
      <c r="A79" s="60" t="s">
        <v>332</v>
      </c>
      <c r="B79" s="57" t="s">
        <v>165</v>
      </c>
      <c r="C79" s="57" t="s">
        <v>333</v>
      </c>
      <c r="D79" s="56" t="s">
        <v>167</v>
      </c>
      <c r="E79" s="56" t="s">
        <v>69</v>
      </c>
      <c r="F79" s="56" t="s">
        <v>67</v>
      </c>
      <c r="G79" s="56" t="s">
        <v>68</v>
      </c>
      <c r="H79" s="56" t="s">
        <v>160</v>
      </c>
      <c r="I79" s="56" t="s">
        <v>156</v>
      </c>
      <c r="J79" s="58">
        <v>45057</v>
      </c>
      <c r="K79" s="58">
        <v>45071</v>
      </c>
      <c r="L79" s="58">
        <v>45075</v>
      </c>
      <c r="M79" s="58">
        <v>45082</v>
      </c>
      <c r="N79" s="58">
        <v>45085</v>
      </c>
      <c r="O79" s="56" t="s">
        <v>123</v>
      </c>
      <c r="P79" s="58" t="s">
        <v>123</v>
      </c>
      <c r="Q79" s="58"/>
      <c r="R79" s="58"/>
      <c r="S79" s="56"/>
      <c r="T79" s="56"/>
      <c r="U79" s="58"/>
      <c r="V79" s="58"/>
      <c r="W79" s="56"/>
      <c r="X79" s="56"/>
      <c r="Y79" s="56"/>
      <c r="Z79" s="56"/>
      <c r="AA79" s="56" t="str">
        <f t="shared" si="1"/>
        <v/>
      </c>
    </row>
    <row r="80" spans="1:27" s="75" customFormat="1" ht="15" customHeight="1" x14ac:dyDescent="0.25">
      <c r="A80" s="60" t="s">
        <v>334</v>
      </c>
      <c r="B80" s="57" t="s">
        <v>165</v>
      </c>
      <c r="C80" s="57" t="s">
        <v>335</v>
      </c>
      <c r="D80" s="56" t="s">
        <v>167</v>
      </c>
      <c r="E80" s="56" t="s">
        <v>69</v>
      </c>
      <c r="F80" s="56" t="s">
        <v>67</v>
      </c>
      <c r="G80" s="76" t="s">
        <v>68</v>
      </c>
      <c r="H80" s="56" t="s">
        <v>160</v>
      </c>
      <c r="I80" s="56" t="s">
        <v>156</v>
      </c>
      <c r="J80" s="58">
        <v>45057</v>
      </c>
      <c r="K80" s="58">
        <v>45071</v>
      </c>
      <c r="L80" s="58">
        <v>45075</v>
      </c>
      <c r="M80" s="58">
        <v>45082</v>
      </c>
      <c r="N80" s="58">
        <v>45085</v>
      </c>
      <c r="O80" s="56" t="s">
        <v>123</v>
      </c>
      <c r="P80" s="58" t="s">
        <v>123</v>
      </c>
      <c r="Q80" s="58"/>
      <c r="R80" s="58"/>
      <c r="S80" s="59"/>
      <c r="T80" s="59"/>
      <c r="U80" s="58"/>
      <c r="V80" s="58"/>
      <c r="W80" s="59"/>
      <c r="X80" s="59"/>
      <c r="Y80" s="56"/>
      <c r="Z80" s="56"/>
      <c r="AA80" s="56" t="str">
        <f t="shared" si="1"/>
        <v/>
      </c>
    </row>
    <row r="81" spans="1:27" s="75" customFormat="1" ht="15" customHeight="1" x14ac:dyDescent="0.25">
      <c r="A81" s="60" t="s">
        <v>336</v>
      </c>
      <c r="B81" s="57" t="s">
        <v>165</v>
      </c>
      <c r="C81" s="57" t="s">
        <v>337</v>
      </c>
      <c r="D81" s="56" t="s">
        <v>167</v>
      </c>
      <c r="E81" s="56" t="s">
        <v>69</v>
      </c>
      <c r="F81" s="56" t="s">
        <v>67</v>
      </c>
      <c r="G81" s="56" t="s">
        <v>68</v>
      </c>
      <c r="H81" s="56" t="s">
        <v>160</v>
      </c>
      <c r="I81" s="56" t="s">
        <v>156</v>
      </c>
      <c r="J81" s="58">
        <v>45057</v>
      </c>
      <c r="K81" s="58">
        <v>45071</v>
      </c>
      <c r="L81" s="58">
        <v>45075</v>
      </c>
      <c r="M81" s="58">
        <v>45082</v>
      </c>
      <c r="N81" s="58">
        <v>45085</v>
      </c>
      <c r="O81" s="56" t="s">
        <v>123</v>
      </c>
      <c r="P81" s="58" t="s">
        <v>123</v>
      </c>
      <c r="Q81" s="58"/>
      <c r="R81" s="58"/>
      <c r="S81" s="56"/>
      <c r="T81" s="56"/>
      <c r="U81" s="58"/>
      <c r="V81" s="58"/>
      <c r="W81" s="56"/>
      <c r="X81" s="56"/>
      <c r="Y81" s="56"/>
      <c r="Z81" s="56"/>
      <c r="AA81" s="56" t="str">
        <f t="shared" si="1"/>
        <v/>
      </c>
    </row>
    <row r="82" spans="1:27" s="75" customFormat="1" ht="15" customHeight="1" x14ac:dyDescent="0.25">
      <c r="A82" s="60" t="s">
        <v>338</v>
      </c>
      <c r="B82" s="57" t="s">
        <v>339</v>
      </c>
      <c r="C82" s="57" t="s">
        <v>340</v>
      </c>
      <c r="D82" s="56" t="s">
        <v>167</v>
      </c>
      <c r="E82" s="56" t="s">
        <v>69</v>
      </c>
      <c r="F82" s="56" t="s">
        <v>67</v>
      </c>
      <c r="G82" s="76" t="s">
        <v>68</v>
      </c>
      <c r="H82" s="56" t="s">
        <v>160</v>
      </c>
      <c r="I82" s="56" t="s">
        <v>156</v>
      </c>
      <c r="J82" s="58">
        <v>45057</v>
      </c>
      <c r="K82" s="58">
        <v>45071</v>
      </c>
      <c r="L82" s="58">
        <v>45075</v>
      </c>
      <c r="M82" s="58">
        <v>45082</v>
      </c>
      <c r="N82" s="58">
        <v>45085</v>
      </c>
      <c r="O82" s="56" t="s">
        <v>123</v>
      </c>
      <c r="P82" s="58" t="s">
        <v>123</v>
      </c>
      <c r="Q82" s="58"/>
      <c r="R82" s="58"/>
      <c r="S82" s="59"/>
      <c r="T82" s="59"/>
      <c r="U82" s="58"/>
      <c r="V82" s="58"/>
      <c r="W82" s="59"/>
      <c r="X82" s="59"/>
      <c r="Y82" s="56"/>
      <c r="Z82" s="56"/>
      <c r="AA82" s="56" t="str">
        <f t="shared" si="1"/>
        <v/>
      </c>
    </row>
    <row r="83" spans="1:27" s="75" customFormat="1" ht="15" customHeight="1" x14ac:dyDescent="0.25">
      <c r="A83" s="60" t="s">
        <v>341</v>
      </c>
      <c r="B83" s="57" t="s">
        <v>339</v>
      </c>
      <c r="C83" s="57" t="s">
        <v>342</v>
      </c>
      <c r="D83" s="56" t="s">
        <v>167</v>
      </c>
      <c r="E83" s="56" t="s">
        <v>69</v>
      </c>
      <c r="F83" s="56" t="s">
        <v>67</v>
      </c>
      <c r="G83" s="56" t="s">
        <v>68</v>
      </c>
      <c r="H83" s="56" t="s">
        <v>160</v>
      </c>
      <c r="I83" s="56" t="s">
        <v>156</v>
      </c>
      <c r="J83" s="58">
        <v>45057</v>
      </c>
      <c r="K83" s="58">
        <v>45071</v>
      </c>
      <c r="L83" s="58">
        <v>45075</v>
      </c>
      <c r="M83" s="58">
        <v>45082</v>
      </c>
      <c r="N83" s="58">
        <v>45085</v>
      </c>
      <c r="O83" s="56" t="s">
        <v>123</v>
      </c>
      <c r="P83" s="58" t="s">
        <v>123</v>
      </c>
      <c r="Q83" s="58"/>
      <c r="R83" s="58"/>
      <c r="S83" s="56"/>
      <c r="T83" s="56"/>
      <c r="U83" s="58"/>
      <c r="V83" s="58"/>
      <c r="W83" s="56"/>
      <c r="X83" s="56"/>
      <c r="Y83" s="56"/>
      <c r="Z83" s="56"/>
      <c r="AA83" s="56" t="str">
        <f t="shared" si="1"/>
        <v/>
      </c>
    </row>
    <row r="84" spans="1:27" s="75" customFormat="1" ht="15" customHeight="1" x14ac:dyDescent="0.25">
      <c r="A84" s="60" t="s">
        <v>343</v>
      </c>
      <c r="B84" s="57" t="s">
        <v>339</v>
      </c>
      <c r="C84" s="57" t="s">
        <v>344</v>
      </c>
      <c r="D84" s="56" t="s">
        <v>167</v>
      </c>
      <c r="E84" s="56" t="s">
        <v>69</v>
      </c>
      <c r="F84" s="56" t="s">
        <v>67</v>
      </c>
      <c r="G84" s="76" t="s">
        <v>68</v>
      </c>
      <c r="H84" s="56" t="s">
        <v>160</v>
      </c>
      <c r="I84" s="56" t="s">
        <v>156</v>
      </c>
      <c r="J84" s="58">
        <v>45057</v>
      </c>
      <c r="K84" s="58">
        <v>45071</v>
      </c>
      <c r="L84" s="58">
        <v>45075</v>
      </c>
      <c r="M84" s="58">
        <v>45082</v>
      </c>
      <c r="N84" s="58">
        <v>45085</v>
      </c>
      <c r="O84" s="56" t="s">
        <v>123</v>
      </c>
      <c r="P84" s="58" t="s">
        <v>123</v>
      </c>
      <c r="Q84" s="58"/>
      <c r="R84" s="58"/>
      <c r="S84" s="59"/>
      <c r="T84" s="59"/>
      <c r="U84" s="58"/>
      <c r="V84" s="58"/>
      <c r="W84" s="59"/>
      <c r="X84" s="59"/>
      <c r="Y84" s="56"/>
      <c r="Z84" s="56"/>
      <c r="AA84" s="56" t="str">
        <f t="shared" si="1"/>
        <v/>
      </c>
    </row>
    <row r="85" spans="1:27" s="75" customFormat="1" ht="15" customHeight="1" x14ac:dyDescent="0.25">
      <c r="A85" s="60" t="s">
        <v>345</v>
      </c>
      <c r="B85" s="57" t="s">
        <v>339</v>
      </c>
      <c r="C85" s="57" t="s">
        <v>346</v>
      </c>
      <c r="D85" s="56" t="s">
        <v>167</v>
      </c>
      <c r="E85" s="56" t="s">
        <v>69</v>
      </c>
      <c r="F85" s="56" t="s">
        <v>67</v>
      </c>
      <c r="G85" s="56" t="s">
        <v>68</v>
      </c>
      <c r="H85" s="56" t="s">
        <v>168</v>
      </c>
      <c r="I85" s="56" t="s">
        <v>156</v>
      </c>
      <c r="J85" s="58">
        <v>45057</v>
      </c>
      <c r="K85" s="58">
        <v>45071</v>
      </c>
      <c r="L85" s="58">
        <v>45075</v>
      </c>
      <c r="M85" s="58">
        <v>45093</v>
      </c>
      <c r="N85" s="58">
        <v>45097</v>
      </c>
      <c r="O85" s="56" t="s">
        <v>123</v>
      </c>
      <c r="P85" s="58" t="s">
        <v>123</v>
      </c>
      <c r="Q85" s="58"/>
      <c r="R85" s="58"/>
      <c r="S85" s="56"/>
      <c r="T85" s="56"/>
      <c r="U85" s="58"/>
      <c r="V85" s="58"/>
      <c r="W85" s="56"/>
      <c r="X85" s="56"/>
      <c r="Y85" s="56"/>
      <c r="Z85" s="56"/>
      <c r="AA85" s="56" t="str">
        <f t="shared" si="1"/>
        <v/>
      </c>
    </row>
    <row r="86" spans="1:27" s="75" customFormat="1" ht="15" customHeight="1" x14ac:dyDescent="0.25">
      <c r="A86" s="60" t="s">
        <v>347</v>
      </c>
      <c r="B86" s="57" t="s">
        <v>339</v>
      </c>
      <c r="C86" s="57" t="s">
        <v>348</v>
      </c>
      <c r="D86" s="56" t="s">
        <v>167</v>
      </c>
      <c r="E86" s="56" t="s">
        <v>69</v>
      </c>
      <c r="F86" s="56" t="s">
        <v>67</v>
      </c>
      <c r="G86" s="76" t="s">
        <v>68</v>
      </c>
      <c r="H86" s="56" t="s">
        <v>160</v>
      </c>
      <c r="I86" s="56" t="s">
        <v>156</v>
      </c>
      <c r="J86" s="58">
        <v>45057</v>
      </c>
      <c r="K86" s="58">
        <v>45071</v>
      </c>
      <c r="L86" s="58">
        <v>45075</v>
      </c>
      <c r="M86" s="58">
        <v>45082</v>
      </c>
      <c r="N86" s="58">
        <v>45085</v>
      </c>
      <c r="O86" s="56" t="s">
        <v>123</v>
      </c>
      <c r="P86" s="58" t="s">
        <v>123</v>
      </c>
      <c r="Q86" s="58"/>
      <c r="R86" s="58"/>
      <c r="S86" s="59"/>
      <c r="T86" s="59"/>
      <c r="U86" s="58"/>
      <c r="V86" s="58"/>
      <c r="W86" s="59"/>
      <c r="X86" s="59"/>
      <c r="Y86" s="56"/>
      <c r="Z86" s="56"/>
      <c r="AA86" s="56" t="str">
        <f t="shared" si="1"/>
        <v/>
      </c>
    </row>
    <row r="87" spans="1:27" s="75" customFormat="1" ht="15" customHeight="1" x14ac:dyDescent="0.25">
      <c r="A87" s="60" t="s">
        <v>349</v>
      </c>
      <c r="B87" s="57" t="s">
        <v>339</v>
      </c>
      <c r="C87" s="57" t="s">
        <v>350</v>
      </c>
      <c r="D87" s="56" t="s">
        <v>167</v>
      </c>
      <c r="E87" s="56" t="s">
        <v>69</v>
      </c>
      <c r="F87" s="56" t="s">
        <v>67</v>
      </c>
      <c r="G87" s="56" t="s">
        <v>68</v>
      </c>
      <c r="H87" s="56" t="s">
        <v>160</v>
      </c>
      <c r="I87" s="56" t="s">
        <v>156</v>
      </c>
      <c r="J87" s="58">
        <v>45057</v>
      </c>
      <c r="K87" s="58">
        <v>45071</v>
      </c>
      <c r="L87" s="58">
        <v>45075</v>
      </c>
      <c r="M87" s="58">
        <v>45085</v>
      </c>
      <c r="N87" s="58">
        <v>45085</v>
      </c>
      <c r="O87" s="56" t="s">
        <v>123</v>
      </c>
      <c r="P87" s="58" t="s">
        <v>123</v>
      </c>
      <c r="Q87" s="58"/>
      <c r="R87" s="58"/>
      <c r="S87" s="56"/>
      <c r="T87" s="56"/>
      <c r="U87" s="58"/>
      <c r="V87" s="58"/>
      <c r="W87" s="56"/>
      <c r="X87" s="56"/>
      <c r="Y87" s="56"/>
      <c r="Z87" s="56"/>
      <c r="AA87" s="56" t="str">
        <f t="shared" si="1"/>
        <v/>
      </c>
    </row>
    <row r="88" spans="1:27" ht="15" customHeight="1" x14ac:dyDescent="0.25">
      <c r="A88" s="43" t="s">
        <v>351</v>
      </c>
      <c r="B88" s="41" t="s">
        <v>352</v>
      </c>
      <c r="C88" s="41" t="s">
        <v>353</v>
      </c>
      <c r="D88" s="40" t="s">
        <v>282</v>
      </c>
      <c r="E88" s="40" t="s">
        <v>86</v>
      </c>
      <c r="F88" s="40" t="s">
        <v>67</v>
      </c>
      <c r="G88" s="77" t="s">
        <v>68</v>
      </c>
      <c r="H88" s="40" t="s">
        <v>160</v>
      </c>
      <c r="I88" s="40" t="s">
        <v>140</v>
      </c>
      <c r="J88" s="42">
        <v>45063</v>
      </c>
      <c r="K88" s="42">
        <v>45103</v>
      </c>
      <c r="L88" s="42">
        <v>45105</v>
      </c>
      <c r="M88" s="42">
        <v>45100</v>
      </c>
      <c r="N88" s="42">
        <v>45104</v>
      </c>
      <c r="O88" s="40" t="s">
        <v>122</v>
      </c>
      <c r="P88" s="42" t="s">
        <v>122</v>
      </c>
      <c r="S88" s="49"/>
      <c r="T88" s="49"/>
      <c r="W88" s="49"/>
      <c r="X88" s="49"/>
      <c r="AA88" s="40" t="str">
        <f t="shared" si="1"/>
        <v/>
      </c>
    </row>
    <row r="89" spans="1:27" ht="15" customHeight="1" x14ac:dyDescent="0.25">
      <c r="A89" s="43" t="s">
        <v>354</v>
      </c>
      <c r="B89" s="41" t="s">
        <v>355</v>
      </c>
      <c r="C89" s="41" t="s">
        <v>356</v>
      </c>
      <c r="D89" s="40" t="s">
        <v>357</v>
      </c>
      <c r="E89" s="40" t="s">
        <v>86</v>
      </c>
      <c r="F89" s="40" t="s">
        <v>67</v>
      </c>
      <c r="G89" s="40" t="s">
        <v>68</v>
      </c>
      <c r="H89" s="40" t="s">
        <v>155</v>
      </c>
      <c r="I89" s="40" t="s">
        <v>188</v>
      </c>
      <c r="J89" s="42">
        <v>45057</v>
      </c>
      <c r="K89" s="42">
        <v>45082</v>
      </c>
      <c r="L89" s="42">
        <v>45084</v>
      </c>
      <c r="M89" s="42">
        <v>45079</v>
      </c>
      <c r="N89" s="42">
        <v>45085</v>
      </c>
      <c r="O89" s="40" t="s">
        <v>122</v>
      </c>
      <c r="P89" s="42" t="s">
        <v>122</v>
      </c>
      <c r="AA89" s="40" t="str">
        <f t="shared" si="1"/>
        <v/>
      </c>
    </row>
    <row r="90" spans="1:27" ht="15" customHeight="1" x14ac:dyDescent="0.25">
      <c r="A90" s="43" t="s">
        <v>354</v>
      </c>
      <c r="B90" s="41" t="s">
        <v>355</v>
      </c>
      <c r="C90" s="41" t="s">
        <v>356</v>
      </c>
      <c r="D90" s="40" t="s">
        <v>357</v>
      </c>
      <c r="E90" s="40" t="s">
        <v>86</v>
      </c>
      <c r="F90" s="40" t="s">
        <v>67</v>
      </c>
      <c r="G90" s="77" t="s">
        <v>68</v>
      </c>
      <c r="H90" s="40" t="s">
        <v>155</v>
      </c>
      <c r="I90" s="40" t="s">
        <v>161</v>
      </c>
      <c r="J90" s="42">
        <v>45057</v>
      </c>
      <c r="K90" s="42">
        <v>45082</v>
      </c>
      <c r="L90" s="42">
        <v>45084</v>
      </c>
      <c r="M90" s="42">
        <v>45084</v>
      </c>
      <c r="N90" s="42">
        <v>45085</v>
      </c>
      <c r="O90" s="40" t="s">
        <v>123</v>
      </c>
      <c r="P90" s="42" t="s">
        <v>122</v>
      </c>
      <c r="S90" s="49"/>
      <c r="T90" s="49"/>
      <c r="W90" s="49"/>
      <c r="X90" s="49"/>
      <c r="AA90" s="40" t="str">
        <f t="shared" si="1"/>
        <v/>
      </c>
    </row>
    <row r="91" spans="1:27" s="75" customFormat="1" ht="15" customHeight="1" x14ac:dyDescent="0.25">
      <c r="A91" s="60" t="s">
        <v>358</v>
      </c>
      <c r="B91" s="57" t="s">
        <v>359</v>
      </c>
      <c r="C91" s="57" t="s">
        <v>360</v>
      </c>
      <c r="D91" s="56" t="s">
        <v>72</v>
      </c>
      <c r="E91" s="56" t="s">
        <v>71</v>
      </c>
      <c r="F91" s="56" t="s">
        <v>67</v>
      </c>
      <c r="G91" s="56" t="s">
        <v>68</v>
      </c>
      <c r="H91" s="56" t="s">
        <v>168</v>
      </c>
      <c r="I91" s="56" t="s">
        <v>176</v>
      </c>
      <c r="J91" s="58">
        <v>45021</v>
      </c>
      <c r="K91" s="58">
        <v>45077</v>
      </c>
      <c r="L91" s="58">
        <v>45079</v>
      </c>
      <c r="M91" s="58">
        <v>45077</v>
      </c>
      <c r="N91" s="58">
        <v>45096</v>
      </c>
      <c r="O91" s="56" t="s">
        <v>122</v>
      </c>
      <c r="P91" s="58" t="s">
        <v>123</v>
      </c>
      <c r="Q91" s="58"/>
      <c r="R91" s="58"/>
      <c r="S91" s="56"/>
      <c r="T91" s="56"/>
      <c r="U91" s="58"/>
      <c r="V91" s="58"/>
      <c r="W91" s="56"/>
      <c r="X91" s="56"/>
      <c r="Y91" s="56"/>
      <c r="Z91" s="56"/>
      <c r="AA91" s="56" t="str">
        <f t="shared" si="1"/>
        <v/>
      </c>
    </row>
    <row r="92" spans="1:27" s="75" customFormat="1" ht="15" customHeight="1" x14ac:dyDescent="0.25">
      <c r="A92" s="60" t="s">
        <v>361</v>
      </c>
      <c r="B92" s="57" t="s">
        <v>359</v>
      </c>
      <c r="C92" s="57" t="s">
        <v>360</v>
      </c>
      <c r="D92" s="56" t="s">
        <v>72</v>
      </c>
      <c r="E92" s="56" t="s">
        <v>71</v>
      </c>
      <c r="F92" s="56" t="s">
        <v>67</v>
      </c>
      <c r="G92" s="76" t="s">
        <v>68</v>
      </c>
      <c r="H92" s="56" t="s">
        <v>168</v>
      </c>
      <c r="I92" s="56" t="s">
        <v>176</v>
      </c>
      <c r="J92" s="58">
        <v>45021</v>
      </c>
      <c r="K92" s="58">
        <v>45077</v>
      </c>
      <c r="L92" s="58">
        <v>45079</v>
      </c>
      <c r="M92" s="58">
        <v>45077</v>
      </c>
      <c r="N92" s="58">
        <v>45096</v>
      </c>
      <c r="O92" s="56" t="s">
        <v>122</v>
      </c>
      <c r="P92" s="58" t="s">
        <v>123</v>
      </c>
      <c r="Q92" s="58"/>
      <c r="R92" s="58"/>
      <c r="S92" s="59"/>
      <c r="T92" s="59"/>
      <c r="U92" s="58"/>
      <c r="V92" s="58"/>
      <c r="W92" s="59"/>
      <c r="X92" s="59"/>
      <c r="Y92" s="56"/>
      <c r="Z92" s="56"/>
      <c r="AA92" s="56" t="str">
        <f t="shared" si="1"/>
        <v/>
      </c>
    </row>
    <row r="93" spans="1:27" ht="15" customHeight="1" x14ac:dyDescent="0.25">
      <c r="A93" s="43" t="s">
        <v>362</v>
      </c>
      <c r="B93" s="41" t="s">
        <v>363</v>
      </c>
      <c r="C93" s="41" t="s">
        <v>364</v>
      </c>
      <c r="D93" s="40" t="s">
        <v>365</v>
      </c>
      <c r="E93" s="40" t="s">
        <v>70</v>
      </c>
      <c r="F93" s="40" t="s">
        <v>67</v>
      </c>
      <c r="G93" s="40" t="s">
        <v>68</v>
      </c>
      <c r="H93" s="40" t="s">
        <v>160</v>
      </c>
      <c r="I93" s="40" t="s">
        <v>140</v>
      </c>
      <c r="J93" s="42">
        <v>45075</v>
      </c>
      <c r="K93" s="42">
        <v>45112</v>
      </c>
      <c r="L93" s="42">
        <v>45114</v>
      </c>
      <c r="M93" s="42">
        <v>45084</v>
      </c>
      <c r="N93" s="42">
        <v>45100</v>
      </c>
      <c r="O93" s="40" t="s">
        <v>122</v>
      </c>
      <c r="P93" s="42" t="s">
        <v>122</v>
      </c>
      <c r="AA93" s="40" t="str">
        <f t="shared" si="1"/>
        <v/>
      </c>
    </row>
    <row r="94" spans="1:27" ht="15" customHeight="1" x14ac:dyDescent="0.25">
      <c r="A94" s="43" t="s">
        <v>366</v>
      </c>
      <c r="B94" s="41" t="s">
        <v>363</v>
      </c>
      <c r="C94" s="41" t="s">
        <v>367</v>
      </c>
      <c r="D94" s="40" t="s">
        <v>365</v>
      </c>
      <c r="E94" s="40" t="s">
        <v>70</v>
      </c>
      <c r="F94" s="40" t="s">
        <v>67</v>
      </c>
      <c r="G94" s="77" t="s">
        <v>68</v>
      </c>
      <c r="H94" s="40" t="s">
        <v>160</v>
      </c>
      <c r="I94" s="40" t="s">
        <v>140</v>
      </c>
      <c r="J94" s="42">
        <v>45075</v>
      </c>
      <c r="K94" s="42">
        <v>45112</v>
      </c>
      <c r="L94" s="42">
        <v>45114</v>
      </c>
      <c r="M94" s="42">
        <v>45084</v>
      </c>
      <c r="N94" s="42">
        <v>45100</v>
      </c>
      <c r="O94" s="40" t="s">
        <v>122</v>
      </c>
      <c r="P94" s="42" t="s">
        <v>122</v>
      </c>
      <c r="S94" s="49"/>
      <c r="T94" s="49"/>
      <c r="W94" s="49"/>
      <c r="X94" s="49"/>
      <c r="AA94" s="40" t="str">
        <f t="shared" si="1"/>
        <v/>
      </c>
    </row>
    <row r="95" spans="1:27" s="75" customFormat="1" ht="15" customHeight="1" x14ac:dyDescent="0.25">
      <c r="A95" s="60" t="s">
        <v>368</v>
      </c>
      <c r="B95" s="57" t="s">
        <v>369</v>
      </c>
      <c r="C95" s="57" t="s">
        <v>370</v>
      </c>
      <c r="D95" s="56" t="s">
        <v>371</v>
      </c>
      <c r="E95" s="56" t="s">
        <v>70</v>
      </c>
      <c r="F95" s="56" t="s">
        <v>67</v>
      </c>
      <c r="G95" s="56" t="s">
        <v>86</v>
      </c>
      <c r="H95" s="56" t="s">
        <v>155</v>
      </c>
      <c r="I95" s="56" t="s">
        <v>140</v>
      </c>
      <c r="J95" s="58">
        <v>45077</v>
      </c>
      <c r="K95" s="58">
        <v>45090</v>
      </c>
      <c r="L95" s="58">
        <v>45092</v>
      </c>
      <c r="M95" s="58">
        <v>45098</v>
      </c>
      <c r="N95" s="58">
        <v>45100</v>
      </c>
      <c r="O95" s="56" t="s">
        <v>123</v>
      </c>
      <c r="P95" s="58" t="s">
        <v>123</v>
      </c>
      <c r="Q95" s="58"/>
      <c r="R95" s="58"/>
      <c r="S95" s="56"/>
      <c r="T95" s="56"/>
      <c r="U95" s="58"/>
      <c r="V95" s="58"/>
      <c r="W95" s="56"/>
      <c r="X95" s="56"/>
      <c r="Y95" s="56"/>
      <c r="Z95" s="56"/>
      <c r="AA95" s="56" t="str">
        <f t="shared" si="1"/>
        <v/>
      </c>
    </row>
    <row r="96" spans="1:27" ht="15" customHeight="1" x14ac:dyDescent="0.25">
      <c r="A96" s="43" t="s">
        <v>372</v>
      </c>
      <c r="B96" s="41" t="s">
        <v>91</v>
      </c>
      <c r="C96" s="41" t="s">
        <v>373</v>
      </c>
      <c r="D96" s="40" t="s">
        <v>374</v>
      </c>
      <c r="E96" s="40" t="s">
        <v>89</v>
      </c>
      <c r="F96" s="40" t="s">
        <v>67</v>
      </c>
      <c r="G96" s="77" t="s">
        <v>89</v>
      </c>
      <c r="H96" s="40" t="s">
        <v>155</v>
      </c>
      <c r="I96" s="40" t="s">
        <v>140</v>
      </c>
      <c r="J96" s="42">
        <v>45065</v>
      </c>
      <c r="K96" s="42">
        <v>45089</v>
      </c>
      <c r="L96" s="42">
        <v>45091</v>
      </c>
      <c r="M96" s="42">
        <v>45084</v>
      </c>
      <c r="N96" s="42">
        <v>45092</v>
      </c>
      <c r="O96" s="40" t="s">
        <v>122</v>
      </c>
      <c r="P96" s="42" t="s">
        <v>122</v>
      </c>
      <c r="S96" s="49"/>
      <c r="T96" s="49"/>
      <c r="W96" s="49"/>
      <c r="X96" s="49"/>
      <c r="AA96" s="40" t="str">
        <f t="shared" si="1"/>
        <v/>
      </c>
    </row>
    <row r="97" spans="1:27" ht="15" customHeight="1" x14ac:dyDescent="0.25">
      <c r="A97" s="43" t="s">
        <v>92</v>
      </c>
      <c r="B97" s="41" t="s">
        <v>91</v>
      </c>
      <c r="C97" s="41" t="s">
        <v>93</v>
      </c>
      <c r="D97" s="40" t="s">
        <v>94</v>
      </c>
      <c r="E97" s="40" t="s">
        <v>89</v>
      </c>
      <c r="F97" s="40" t="s">
        <v>67</v>
      </c>
      <c r="G97" s="40" t="s">
        <v>89</v>
      </c>
      <c r="H97" s="40" t="s">
        <v>168</v>
      </c>
      <c r="I97" s="40" t="s">
        <v>140</v>
      </c>
      <c r="J97" s="42">
        <v>45096</v>
      </c>
      <c r="K97" s="42">
        <v>45089</v>
      </c>
      <c r="L97" s="42">
        <v>45091</v>
      </c>
      <c r="M97" s="42">
        <v>45068</v>
      </c>
      <c r="N97" s="42">
        <v>45084</v>
      </c>
      <c r="O97" s="40" t="s">
        <v>122</v>
      </c>
      <c r="P97" s="42" t="s">
        <v>122</v>
      </c>
      <c r="AA97" s="40" t="str">
        <f t="shared" si="1"/>
        <v/>
      </c>
    </row>
    <row r="98" spans="1:27" ht="15" customHeight="1" x14ac:dyDescent="0.25">
      <c r="A98" s="43" t="s">
        <v>375</v>
      </c>
      <c r="B98" s="41" t="s">
        <v>376</v>
      </c>
      <c r="C98" s="41" t="s">
        <v>377</v>
      </c>
      <c r="D98" s="40" t="s">
        <v>72</v>
      </c>
      <c r="E98" s="40" t="s">
        <v>86</v>
      </c>
      <c r="F98" s="40" t="s">
        <v>67</v>
      </c>
      <c r="G98" s="77" t="s">
        <v>68</v>
      </c>
      <c r="H98" s="40" t="s">
        <v>168</v>
      </c>
      <c r="I98" s="40" t="s">
        <v>176</v>
      </c>
      <c r="J98" s="42">
        <v>45058</v>
      </c>
      <c r="K98" s="42">
        <v>45083</v>
      </c>
      <c r="L98" s="42">
        <v>45085</v>
      </c>
      <c r="M98" s="42">
        <v>45078</v>
      </c>
      <c r="N98" s="42">
        <v>45079</v>
      </c>
      <c r="O98" s="40" t="s">
        <v>122</v>
      </c>
      <c r="P98" s="42" t="s">
        <v>122</v>
      </c>
      <c r="S98" s="49"/>
      <c r="T98" s="49"/>
      <c r="W98" s="49"/>
      <c r="X98" s="49"/>
      <c r="AA98" s="40" t="str">
        <f t="shared" si="1"/>
        <v/>
      </c>
    </row>
    <row r="99" spans="1:27" s="75" customFormat="1" ht="15" customHeight="1" x14ac:dyDescent="0.25">
      <c r="A99" s="60" t="s">
        <v>378</v>
      </c>
      <c r="B99" s="57" t="s">
        <v>363</v>
      </c>
      <c r="C99" s="57" t="s">
        <v>379</v>
      </c>
      <c r="D99" s="56" t="s">
        <v>196</v>
      </c>
      <c r="E99" s="56" t="s">
        <v>70</v>
      </c>
      <c r="F99" s="56" t="s">
        <v>67</v>
      </c>
      <c r="G99" s="56" t="s">
        <v>68</v>
      </c>
      <c r="H99" s="56" t="s">
        <v>155</v>
      </c>
      <c r="I99" s="56" t="s">
        <v>140</v>
      </c>
      <c r="J99" s="58">
        <v>45075</v>
      </c>
      <c r="K99" s="58">
        <v>45089</v>
      </c>
      <c r="L99" s="58">
        <v>45091</v>
      </c>
      <c r="M99" s="58">
        <v>45093</v>
      </c>
      <c r="N99" s="58">
        <v>45096</v>
      </c>
      <c r="O99" s="56" t="s">
        <v>123</v>
      </c>
      <c r="P99" s="58" t="s">
        <v>123</v>
      </c>
      <c r="Q99" s="58"/>
      <c r="R99" s="58"/>
      <c r="S99" s="56"/>
      <c r="T99" s="56"/>
      <c r="U99" s="58"/>
      <c r="V99" s="58"/>
      <c r="W99" s="56"/>
      <c r="X99" s="56"/>
      <c r="Y99" s="56"/>
      <c r="Z99" s="56"/>
      <c r="AA99" s="56" t="str">
        <f t="shared" si="1"/>
        <v/>
      </c>
    </row>
    <row r="100" spans="1:27" s="75" customFormat="1" ht="15" customHeight="1" x14ac:dyDescent="0.25">
      <c r="A100" s="60" t="s">
        <v>380</v>
      </c>
      <c r="B100" s="57" t="s">
        <v>381</v>
      </c>
      <c r="C100" s="57" t="s">
        <v>382</v>
      </c>
      <c r="D100" s="56" t="s">
        <v>383</v>
      </c>
      <c r="E100" s="56" t="s">
        <v>70</v>
      </c>
      <c r="F100" s="56" t="s">
        <v>67</v>
      </c>
      <c r="G100" s="76" t="s">
        <v>68</v>
      </c>
      <c r="H100" s="56" t="s">
        <v>155</v>
      </c>
      <c r="I100" s="56" t="s">
        <v>140</v>
      </c>
      <c r="J100" s="58">
        <v>45044</v>
      </c>
      <c r="K100" s="58">
        <v>45082</v>
      </c>
      <c r="L100" s="58">
        <v>45084</v>
      </c>
      <c r="M100" s="58">
        <v>45104</v>
      </c>
      <c r="N100" s="58">
        <v>45105</v>
      </c>
      <c r="O100" s="56" t="s">
        <v>123</v>
      </c>
      <c r="P100" s="58" t="s">
        <v>123</v>
      </c>
      <c r="Q100" s="58"/>
      <c r="R100" s="58"/>
      <c r="S100" s="59"/>
      <c r="T100" s="59"/>
      <c r="U100" s="58"/>
      <c r="V100" s="58"/>
      <c r="W100" s="59"/>
      <c r="X100" s="59"/>
      <c r="Y100" s="56"/>
      <c r="Z100" s="56"/>
      <c r="AA100" s="56" t="str">
        <f t="shared" si="1"/>
        <v/>
      </c>
    </row>
    <row r="101" spans="1:27" s="75" customFormat="1" ht="15" customHeight="1" x14ac:dyDescent="0.25">
      <c r="A101" s="60" t="s">
        <v>384</v>
      </c>
      <c r="B101" s="57" t="s">
        <v>381</v>
      </c>
      <c r="C101" s="57" t="s">
        <v>385</v>
      </c>
      <c r="D101" s="56" t="s">
        <v>386</v>
      </c>
      <c r="E101" s="56" t="s">
        <v>70</v>
      </c>
      <c r="F101" s="56" t="s">
        <v>67</v>
      </c>
      <c r="G101" s="56" t="s">
        <v>68</v>
      </c>
      <c r="H101" s="56" t="s">
        <v>155</v>
      </c>
      <c r="I101" s="56" t="s">
        <v>140</v>
      </c>
      <c r="J101" s="58">
        <v>45044</v>
      </c>
      <c r="K101" s="58">
        <v>45082</v>
      </c>
      <c r="L101" s="58">
        <v>45084</v>
      </c>
      <c r="M101" s="58">
        <v>45092</v>
      </c>
      <c r="N101" s="58">
        <v>45096</v>
      </c>
      <c r="O101" s="56" t="s">
        <v>123</v>
      </c>
      <c r="P101" s="58" t="s">
        <v>123</v>
      </c>
      <c r="Q101" s="58"/>
      <c r="R101" s="58"/>
      <c r="S101" s="56"/>
      <c r="T101" s="56"/>
      <c r="U101" s="58"/>
      <c r="V101" s="58"/>
      <c r="W101" s="56"/>
      <c r="X101" s="56"/>
      <c r="Y101" s="56"/>
      <c r="Z101" s="56"/>
      <c r="AA101" s="56" t="str">
        <f t="shared" si="1"/>
        <v/>
      </c>
    </row>
    <row r="102" spans="1:27" s="75" customFormat="1" ht="15" customHeight="1" x14ac:dyDescent="0.25">
      <c r="A102" s="60" t="s">
        <v>387</v>
      </c>
      <c r="B102" s="57" t="s">
        <v>381</v>
      </c>
      <c r="C102" s="57" t="s">
        <v>388</v>
      </c>
      <c r="D102" s="56" t="s">
        <v>386</v>
      </c>
      <c r="E102" s="56" t="s">
        <v>70</v>
      </c>
      <c r="F102" s="56" t="s">
        <v>67</v>
      </c>
      <c r="G102" s="76" t="s">
        <v>68</v>
      </c>
      <c r="H102" s="56" t="s">
        <v>155</v>
      </c>
      <c r="I102" s="56" t="s">
        <v>140</v>
      </c>
      <c r="J102" s="58">
        <v>45044</v>
      </c>
      <c r="K102" s="58">
        <v>45082</v>
      </c>
      <c r="L102" s="58">
        <v>45084</v>
      </c>
      <c r="M102" s="58">
        <v>45091</v>
      </c>
      <c r="N102" s="58">
        <v>45096</v>
      </c>
      <c r="O102" s="56" t="s">
        <v>123</v>
      </c>
      <c r="P102" s="58" t="s">
        <v>123</v>
      </c>
      <c r="Q102" s="58"/>
      <c r="R102" s="58"/>
      <c r="S102" s="59"/>
      <c r="T102" s="59"/>
      <c r="U102" s="58"/>
      <c r="V102" s="58"/>
      <c r="W102" s="59"/>
      <c r="X102" s="59"/>
      <c r="Y102" s="56"/>
      <c r="Z102" s="56"/>
      <c r="AA102" s="56" t="str">
        <f t="shared" si="1"/>
        <v/>
      </c>
    </row>
    <row r="103" spans="1:27" s="75" customFormat="1" ht="15" customHeight="1" x14ac:dyDescent="0.25">
      <c r="A103" s="60" t="s">
        <v>389</v>
      </c>
      <c r="B103" s="57" t="s">
        <v>381</v>
      </c>
      <c r="C103" s="57" t="s">
        <v>385</v>
      </c>
      <c r="D103" s="56" t="s">
        <v>386</v>
      </c>
      <c r="E103" s="56" t="s">
        <v>70</v>
      </c>
      <c r="F103" s="56" t="s">
        <v>67</v>
      </c>
      <c r="G103" s="56" t="s">
        <v>68</v>
      </c>
      <c r="H103" s="56" t="s">
        <v>155</v>
      </c>
      <c r="I103" s="56" t="s">
        <v>140</v>
      </c>
      <c r="J103" s="58">
        <v>45044</v>
      </c>
      <c r="K103" s="58">
        <v>45082</v>
      </c>
      <c r="L103" s="58">
        <v>45084</v>
      </c>
      <c r="M103" s="58">
        <v>45091</v>
      </c>
      <c r="N103" s="58">
        <v>45096</v>
      </c>
      <c r="O103" s="56" t="s">
        <v>123</v>
      </c>
      <c r="P103" s="58" t="s">
        <v>123</v>
      </c>
      <c r="Q103" s="58"/>
      <c r="R103" s="58"/>
      <c r="S103" s="56"/>
      <c r="T103" s="56"/>
      <c r="U103" s="58"/>
      <c r="V103" s="58"/>
      <c r="W103" s="56"/>
      <c r="X103" s="56"/>
      <c r="Y103" s="56"/>
      <c r="Z103" s="56"/>
      <c r="AA103" s="56" t="str">
        <f t="shared" si="1"/>
        <v/>
      </c>
    </row>
    <row r="104" spans="1:27" ht="15" customHeight="1" x14ac:dyDescent="0.25">
      <c r="A104" s="43" t="s">
        <v>390</v>
      </c>
      <c r="B104" s="41" t="s">
        <v>391</v>
      </c>
      <c r="C104" s="41" t="s">
        <v>392</v>
      </c>
      <c r="D104" s="40" t="s">
        <v>393</v>
      </c>
      <c r="E104" s="40" t="s">
        <v>86</v>
      </c>
      <c r="F104" s="40" t="s">
        <v>67</v>
      </c>
      <c r="G104" s="77" t="s">
        <v>86</v>
      </c>
      <c r="H104" s="40" t="s">
        <v>155</v>
      </c>
      <c r="I104" s="40" t="s">
        <v>161</v>
      </c>
      <c r="J104" s="42">
        <v>45015</v>
      </c>
      <c r="K104" s="42">
        <v>45096</v>
      </c>
      <c r="L104" s="42">
        <v>45098</v>
      </c>
      <c r="M104" s="42">
        <v>45092</v>
      </c>
      <c r="N104" s="42">
        <v>45098</v>
      </c>
      <c r="O104" s="40" t="s">
        <v>122</v>
      </c>
      <c r="P104" s="42" t="s">
        <v>122</v>
      </c>
      <c r="S104" s="49"/>
      <c r="T104" s="49"/>
      <c r="W104" s="49"/>
      <c r="X104" s="49"/>
      <c r="AA104" s="40" t="str">
        <f t="shared" si="1"/>
        <v/>
      </c>
    </row>
    <row r="105" spans="1:27" s="75" customFormat="1" ht="15" customHeight="1" x14ac:dyDescent="0.25">
      <c r="A105" s="60" t="s">
        <v>169</v>
      </c>
      <c r="B105" s="57" t="s">
        <v>170</v>
      </c>
      <c r="C105" s="57" t="s">
        <v>171</v>
      </c>
      <c r="D105" s="56" t="s">
        <v>172</v>
      </c>
      <c r="E105" s="56" t="s">
        <v>70</v>
      </c>
      <c r="F105" s="56" t="s">
        <v>67</v>
      </c>
      <c r="G105" s="56" t="s">
        <v>68</v>
      </c>
      <c r="H105" s="56" t="s">
        <v>155</v>
      </c>
      <c r="I105" s="56" t="s">
        <v>140</v>
      </c>
      <c r="J105" s="58">
        <v>45044</v>
      </c>
      <c r="K105" s="58">
        <v>45072</v>
      </c>
      <c r="L105" s="58">
        <v>45076</v>
      </c>
      <c r="M105" s="58">
        <v>45077</v>
      </c>
      <c r="N105" s="58">
        <v>45083</v>
      </c>
      <c r="O105" s="56" t="s">
        <v>123</v>
      </c>
      <c r="P105" s="58" t="s">
        <v>123</v>
      </c>
      <c r="Q105" s="58"/>
      <c r="R105" s="58"/>
      <c r="S105" s="56"/>
      <c r="T105" s="56"/>
      <c r="U105" s="58"/>
      <c r="V105" s="58"/>
      <c r="W105" s="56"/>
      <c r="X105" s="56"/>
      <c r="Y105" s="56"/>
      <c r="Z105" s="56"/>
      <c r="AA105" s="56" t="str">
        <f t="shared" si="1"/>
        <v/>
      </c>
    </row>
    <row r="106" spans="1:27" s="75" customFormat="1" ht="15" customHeight="1" x14ac:dyDescent="0.25">
      <c r="A106" s="60" t="s">
        <v>169</v>
      </c>
      <c r="B106" s="57" t="s">
        <v>170</v>
      </c>
      <c r="C106" s="57" t="s">
        <v>171</v>
      </c>
      <c r="D106" s="56" t="s">
        <v>172</v>
      </c>
      <c r="E106" s="56" t="s">
        <v>70</v>
      </c>
      <c r="F106" s="56" t="s">
        <v>67</v>
      </c>
      <c r="G106" s="76" t="s">
        <v>68</v>
      </c>
      <c r="H106" s="56" t="s">
        <v>155</v>
      </c>
      <c r="I106" s="56" t="s">
        <v>161</v>
      </c>
      <c r="J106" s="58">
        <v>45044</v>
      </c>
      <c r="K106" s="58">
        <v>45072</v>
      </c>
      <c r="L106" s="58">
        <v>45076</v>
      </c>
      <c r="M106" s="58">
        <v>45083</v>
      </c>
      <c r="N106" s="58">
        <v>45083</v>
      </c>
      <c r="O106" s="56" t="s">
        <v>123</v>
      </c>
      <c r="P106" s="58" t="s">
        <v>123</v>
      </c>
      <c r="Q106" s="58"/>
      <c r="R106" s="58"/>
      <c r="S106" s="59"/>
      <c r="T106" s="59"/>
      <c r="U106" s="58"/>
      <c r="V106" s="58"/>
      <c r="W106" s="59"/>
      <c r="X106" s="59"/>
      <c r="Y106" s="56"/>
      <c r="Z106" s="56"/>
      <c r="AA106" s="56" t="str">
        <f t="shared" si="1"/>
        <v/>
      </c>
    </row>
    <row r="107" spans="1:27" s="75" customFormat="1" ht="15" customHeight="1" x14ac:dyDescent="0.25">
      <c r="A107" s="60" t="s">
        <v>173</v>
      </c>
      <c r="B107" s="57" t="s">
        <v>170</v>
      </c>
      <c r="C107" s="57" t="s">
        <v>174</v>
      </c>
      <c r="D107" s="56" t="s">
        <v>172</v>
      </c>
      <c r="E107" s="56" t="s">
        <v>70</v>
      </c>
      <c r="F107" s="56" t="s">
        <v>67</v>
      </c>
      <c r="G107" s="56" t="s">
        <v>68</v>
      </c>
      <c r="H107" s="56" t="s">
        <v>155</v>
      </c>
      <c r="I107" s="56" t="s">
        <v>161</v>
      </c>
      <c r="J107" s="58">
        <v>45044</v>
      </c>
      <c r="K107" s="58">
        <v>45072</v>
      </c>
      <c r="L107" s="58">
        <v>45076</v>
      </c>
      <c r="M107" s="58">
        <v>45083</v>
      </c>
      <c r="N107" s="58">
        <v>45083</v>
      </c>
      <c r="O107" s="56" t="s">
        <v>123</v>
      </c>
      <c r="P107" s="58" t="s">
        <v>123</v>
      </c>
      <c r="Q107" s="58"/>
      <c r="R107" s="58"/>
      <c r="S107" s="56"/>
      <c r="T107" s="56"/>
      <c r="U107" s="58"/>
      <c r="V107" s="58"/>
      <c r="W107" s="56"/>
      <c r="X107" s="56"/>
      <c r="Y107" s="56"/>
      <c r="Z107" s="56"/>
      <c r="AA107" s="56" t="str">
        <f t="shared" si="1"/>
        <v/>
      </c>
    </row>
    <row r="108" spans="1:27" s="75" customFormat="1" ht="15" customHeight="1" x14ac:dyDescent="0.25">
      <c r="A108" s="60" t="s">
        <v>173</v>
      </c>
      <c r="B108" s="57" t="s">
        <v>170</v>
      </c>
      <c r="C108" s="57" t="s">
        <v>174</v>
      </c>
      <c r="D108" s="56" t="s">
        <v>172</v>
      </c>
      <c r="E108" s="56" t="s">
        <v>70</v>
      </c>
      <c r="F108" s="56" t="s">
        <v>67</v>
      </c>
      <c r="G108" s="76" t="s">
        <v>68</v>
      </c>
      <c r="H108" s="56" t="s">
        <v>155</v>
      </c>
      <c r="I108" s="56" t="s">
        <v>140</v>
      </c>
      <c r="J108" s="58">
        <v>45044</v>
      </c>
      <c r="K108" s="58">
        <v>45072</v>
      </c>
      <c r="L108" s="58">
        <v>45076</v>
      </c>
      <c r="M108" s="58">
        <v>45077</v>
      </c>
      <c r="N108" s="58">
        <v>45083</v>
      </c>
      <c r="O108" s="56" t="s">
        <v>123</v>
      </c>
      <c r="P108" s="58" t="s">
        <v>123</v>
      </c>
      <c r="Q108" s="58"/>
      <c r="R108" s="58"/>
      <c r="S108" s="59"/>
      <c r="T108" s="59"/>
      <c r="U108" s="58"/>
      <c r="V108" s="58"/>
      <c r="W108" s="59"/>
      <c r="X108" s="59"/>
      <c r="Y108" s="56"/>
      <c r="Z108" s="56"/>
      <c r="AA108" s="56" t="str">
        <f t="shared" si="1"/>
        <v/>
      </c>
    </row>
    <row r="109" spans="1:27" ht="15" customHeight="1" x14ac:dyDescent="0.25">
      <c r="A109" s="43" t="s">
        <v>394</v>
      </c>
      <c r="B109" s="41" t="s">
        <v>395</v>
      </c>
      <c r="C109" s="41" t="s">
        <v>396</v>
      </c>
      <c r="D109" s="40" t="s">
        <v>282</v>
      </c>
      <c r="E109" s="40" t="s">
        <v>86</v>
      </c>
      <c r="F109" s="40" t="s">
        <v>67</v>
      </c>
      <c r="G109" s="40" t="s">
        <v>89</v>
      </c>
      <c r="H109" s="40" t="s">
        <v>160</v>
      </c>
      <c r="I109" s="40" t="s">
        <v>156</v>
      </c>
      <c r="J109" s="42">
        <v>45068</v>
      </c>
      <c r="K109" s="42">
        <v>45089</v>
      </c>
      <c r="L109" s="42">
        <v>45091</v>
      </c>
      <c r="M109" s="42">
        <v>45084</v>
      </c>
      <c r="N109" s="42">
        <v>45090</v>
      </c>
      <c r="O109" s="40" t="s">
        <v>122</v>
      </c>
      <c r="P109" s="42" t="s">
        <v>122</v>
      </c>
      <c r="AA109" s="40" t="str">
        <f t="shared" si="1"/>
        <v/>
      </c>
    </row>
    <row r="110" spans="1:27" ht="15" customHeight="1" x14ac:dyDescent="0.25">
      <c r="A110" s="43" t="s">
        <v>397</v>
      </c>
      <c r="B110" s="41" t="s">
        <v>398</v>
      </c>
      <c r="C110" s="41" t="s">
        <v>399</v>
      </c>
      <c r="D110" s="40" t="s">
        <v>72</v>
      </c>
      <c r="E110" s="40" t="s">
        <v>86</v>
      </c>
      <c r="F110" s="40" t="s">
        <v>67</v>
      </c>
      <c r="G110" s="77" t="s">
        <v>68</v>
      </c>
      <c r="H110" s="40" t="s">
        <v>168</v>
      </c>
      <c r="I110" s="40" t="s">
        <v>176</v>
      </c>
      <c r="J110" s="42">
        <v>45091</v>
      </c>
      <c r="K110" s="42">
        <v>45105</v>
      </c>
      <c r="L110" s="42">
        <v>45107</v>
      </c>
      <c r="M110" s="42">
        <v>45100</v>
      </c>
      <c r="N110" s="42">
        <v>45100</v>
      </c>
      <c r="O110" s="40" t="s">
        <v>122</v>
      </c>
      <c r="P110" s="42" t="s">
        <v>122</v>
      </c>
      <c r="S110" s="49"/>
      <c r="T110" s="49"/>
      <c r="W110" s="49"/>
      <c r="X110" s="49"/>
      <c r="AA110" s="40" t="str">
        <f t="shared" si="1"/>
        <v/>
      </c>
    </row>
    <row r="111" spans="1:27" s="75" customFormat="1" ht="15" customHeight="1" x14ac:dyDescent="0.25">
      <c r="A111" s="60" t="s">
        <v>400</v>
      </c>
      <c r="B111" s="57" t="s">
        <v>401</v>
      </c>
      <c r="C111" s="57" t="s">
        <v>402</v>
      </c>
      <c r="D111" s="56" t="s">
        <v>403</v>
      </c>
      <c r="E111" s="56" t="s">
        <v>86</v>
      </c>
      <c r="F111" s="56" t="s">
        <v>67</v>
      </c>
      <c r="G111" s="56" t="s">
        <v>68</v>
      </c>
      <c r="H111" s="56" t="s">
        <v>160</v>
      </c>
      <c r="I111" s="56" t="s">
        <v>161</v>
      </c>
      <c r="J111" s="58">
        <v>45068</v>
      </c>
      <c r="K111" s="58">
        <v>45089</v>
      </c>
      <c r="L111" s="58">
        <v>45091</v>
      </c>
      <c r="M111" s="58">
        <v>45091</v>
      </c>
      <c r="N111" s="58">
        <v>45096</v>
      </c>
      <c r="O111" s="56" t="s">
        <v>123</v>
      </c>
      <c r="P111" s="58" t="s">
        <v>123</v>
      </c>
      <c r="Q111" s="58"/>
      <c r="R111" s="58"/>
      <c r="S111" s="56"/>
      <c r="T111" s="56"/>
      <c r="U111" s="58"/>
      <c r="V111" s="58"/>
      <c r="W111" s="56"/>
      <c r="X111" s="56"/>
      <c r="Y111" s="56"/>
      <c r="Z111" s="56"/>
      <c r="AA111" s="56" t="str">
        <f t="shared" si="1"/>
        <v/>
      </c>
    </row>
    <row r="112" spans="1:27" s="75" customFormat="1" ht="15" customHeight="1" x14ac:dyDescent="0.25">
      <c r="A112" s="60" t="s">
        <v>404</v>
      </c>
      <c r="B112" s="57" t="s">
        <v>401</v>
      </c>
      <c r="C112" s="57" t="s">
        <v>405</v>
      </c>
      <c r="D112" s="56" t="s">
        <v>403</v>
      </c>
      <c r="E112" s="56" t="s">
        <v>86</v>
      </c>
      <c r="F112" s="56" t="s">
        <v>67</v>
      </c>
      <c r="G112" s="76" t="s">
        <v>68</v>
      </c>
      <c r="H112" s="56" t="s">
        <v>160</v>
      </c>
      <c r="I112" s="56" t="s">
        <v>161</v>
      </c>
      <c r="J112" s="58">
        <v>45068</v>
      </c>
      <c r="K112" s="58">
        <v>45089</v>
      </c>
      <c r="L112" s="58">
        <v>45091</v>
      </c>
      <c r="M112" s="58">
        <v>45091</v>
      </c>
      <c r="N112" s="58">
        <v>45096</v>
      </c>
      <c r="O112" s="56" t="s">
        <v>123</v>
      </c>
      <c r="P112" s="58" t="s">
        <v>123</v>
      </c>
      <c r="Q112" s="58"/>
      <c r="R112" s="58"/>
      <c r="S112" s="59"/>
      <c r="T112" s="59"/>
      <c r="U112" s="58"/>
      <c r="V112" s="58"/>
      <c r="W112" s="59"/>
      <c r="X112" s="59"/>
      <c r="Y112" s="56"/>
      <c r="Z112" s="56"/>
      <c r="AA112" s="56" t="str">
        <f t="shared" si="1"/>
        <v/>
      </c>
    </row>
    <row r="113" spans="1:27" ht="15" customHeight="1" x14ac:dyDescent="0.25">
      <c r="A113" s="43" t="s">
        <v>95</v>
      </c>
      <c r="B113" s="41" t="s">
        <v>96</v>
      </c>
      <c r="C113" s="41" t="s">
        <v>175</v>
      </c>
      <c r="D113" s="40" t="s">
        <v>72</v>
      </c>
      <c r="E113" s="40" t="s">
        <v>71</v>
      </c>
      <c r="F113" s="40" t="s">
        <v>67</v>
      </c>
      <c r="G113" s="40" t="s">
        <v>68</v>
      </c>
      <c r="H113" s="40" t="s">
        <v>168</v>
      </c>
      <c r="I113" s="40" t="s">
        <v>176</v>
      </c>
      <c r="J113" s="42">
        <v>45035</v>
      </c>
      <c r="K113" s="42">
        <v>45082</v>
      </c>
      <c r="L113" s="42">
        <v>45084</v>
      </c>
      <c r="M113" s="42">
        <v>45079</v>
      </c>
      <c r="N113" s="42">
        <v>45083</v>
      </c>
      <c r="O113" s="40" t="s">
        <v>122</v>
      </c>
      <c r="P113" s="42" t="s">
        <v>122</v>
      </c>
      <c r="AA113" s="40" t="str">
        <f t="shared" si="1"/>
        <v/>
      </c>
    </row>
    <row r="114" spans="1:27" ht="15" customHeight="1" x14ac:dyDescent="0.25">
      <c r="A114" s="43" t="s">
        <v>97</v>
      </c>
      <c r="B114" s="41" t="s">
        <v>96</v>
      </c>
      <c r="C114" s="41" t="s">
        <v>177</v>
      </c>
      <c r="D114" s="40" t="s">
        <v>72</v>
      </c>
      <c r="E114" s="40" t="s">
        <v>71</v>
      </c>
      <c r="F114" s="40" t="s">
        <v>67</v>
      </c>
      <c r="G114" s="77" t="s">
        <v>68</v>
      </c>
      <c r="H114" s="40" t="s">
        <v>168</v>
      </c>
      <c r="I114" s="40" t="s">
        <v>176</v>
      </c>
      <c r="J114" s="42">
        <v>45035</v>
      </c>
      <c r="K114" s="42">
        <v>45082</v>
      </c>
      <c r="L114" s="42">
        <v>45084</v>
      </c>
      <c r="M114" s="42">
        <v>45082</v>
      </c>
      <c r="N114" s="42">
        <v>45083</v>
      </c>
      <c r="O114" s="40" t="s">
        <v>122</v>
      </c>
      <c r="P114" s="42" t="s">
        <v>122</v>
      </c>
      <c r="S114" s="49"/>
      <c r="T114" s="49"/>
      <c r="W114" s="49"/>
      <c r="X114" s="49"/>
      <c r="AA114" s="40" t="str">
        <f t="shared" si="1"/>
        <v/>
      </c>
    </row>
    <row r="115" spans="1:27" ht="15" customHeight="1" x14ac:dyDescent="0.25">
      <c r="A115" s="43" t="s">
        <v>406</v>
      </c>
      <c r="B115" s="41" t="s">
        <v>407</v>
      </c>
      <c r="C115" s="41" t="s">
        <v>408</v>
      </c>
      <c r="D115" s="40" t="s">
        <v>409</v>
      </c>
      <c r="E115" s="40" t="s">
        <v>86</v>
      </c>
      <c r="F115" s="40" t="s">
        <v>67</v>
      </c>
      <c r="G115" s="40" t="s">
        <v>68</v>
      </c>
      <c r="H115" s="40" t="s">
        <v>139</v>
      </c>
      <c r="I115" s="40" t="s">
        <v>176</v>
      </c>
      <c r="J115" s="42">
        <v>45058</v>
      </c>
      <c r="K115" s="42">
        <v>45103</v>
      </c>
      <c r="L115" s="42">
        <v>45105</v>
      </c>
      <c r="M115" s="42">
        <v>45104</v>
      </c>
      <c r="N115" s="42">
        <v>45104</v>
      </c>
      <c r="O115" s="40" t="s">
        <v>123</v>
      </c>
      <c r="P115" s="42" t="s">
        <v>122</v>
      </c>
      <c r="AA115" s="40" t="str">
        <f t="shared" si="1"/>
        <v/>
      </c>
    </row>
    <row r="116" spans="1:27" ht="15" customHeight="1" x14ac:dyDescent="0.25">
      <c r="A116" s="43" t="s">
        <v>410</v>
      </c>
      <c r="B116" s="41" t="s">
        <v>407</v>
      </c>
      <c r="C116" s="41" t="s">
        <v>408</v>
      </c>
      <c r="D116" s="40" t="s">
        <v>72</v>
      </c>
      <c r="E116" s="40" t="s">
        <v>86</v>
      </c>
      <c r="F116" s="40" t="s">
        <v>67</v>
      </c>
      <c r="G116" s="77" t="s">
        <v>68</v>
      </c>
      <c r="H116" s="40" t="s">
        <v>168</v>
      </c>
      <c r="I116" s="40" t="s">
        <v>176</v>
      </c>
      <c r="J116" s="42">
        <v>45065</v>
      </c>
      <c r="K116" s="42">
        <v>45103</v>
      </c>
      <c r="L116" s="42">
        <v>45105</v>
      </c>
      <c r="M116" s="42">
        <v>45093</v>
      </c>
      <c r="N116" s="42">
        <v>45104</v>
      </c>
      <c r="O116" s="40" t="s">
        <v>122</v>
      </c>
      <c r="P116" s="42" t="s">
        <v>122</v>
      </c>
      <c r="S116" s="49"/>
      <c r="T116" s="49"/>
      <c r="W116" s="49"/>
      <c r="X116" s="49"/>
      <c r="AA116" s="40" t="str">
        <f t="shared" si="1"/>
        <v/>
      </c>
    </row>
    <row r="117" spans="1:27" ht="15" customHeight="1" x14ac:dyDescent="0.25">
      <c r="A117" s="43" t="s">
        <v>411</v>
      </c>
      <c r="B117" s="41" t="s">
        <v>412</v>
      </c>
      <c r="C117" s="41" t="s">
        <v>413</v>
      </c>
      <c r="D117" s="40" t="s">
        <v>414</v>
      </c>
      <c r="E117" s="40" t="s">
        <v>86</v>
      </c>
      <c r="F117" s="40" t="s">
        <v>67</v>
      </c>
      <c r="G117" s="40" t="s">
        <v>89</v>
      </c>
      <c r="H117" s="40" t="s">
        <v>168</v>
      </c>
      <c r="I117" s="40" t="s">
        <v>140</v>
      </c>
      <c r="J117" s="42">
        <v>45071</v>
      </c>
      <c r="K117" s="42">
        <v>45100</v>
      </c>
      <c r="L117" s="42">
        <v>45104</v>
      </c>
      <c r="M117" s="42">
        <v>45103</v>
      </c>
      <c r="N117" s="42">
        <v>45104</v>
      </c>
      <c r="O117" s="40" t="s">
        <v>123</v>
      </c>
      <c r="P117" s="42" t="s">
        <v>122</v>
      </c>
      <c r="AA117" s="40" t="str">
        <f t="shared" si="1"/>
        <v/>
      </c>
    </row>
    <row r="118" spans="1:27" ht="15" customHeight="1" x14ac:dyDescent="0.25">
      <c r="A118" s="43" t="s">
        <v>415</v>
      </c>
      <c r="B118" s="41" t="s">
        <v>363</v>
      </c>
      <c r="C118" s="41" t="s">
        <v>416</v>
      </c>
      <c r="D118" s="40" t="s">
        <v>417</v>
      </c>
      <c r="E118" s="40" t="s">
        <v>70</v>
      </c>
      <c r="F118" s="40" t="s">
        <v>67</v>
      </c>
      <c r="G118" s="77" t="s">
        <v>89</v>
      </c>
      <c r="H118" s="40" t="s">
        <v>160</v>
      </c>
      <c r="I118" s="40" t="s">
        <v>140</v>
      </c>
      <c r="J118" s="42">
        <v>45079</v>
      </c>
      <c r="K118" s="42">
        <v>45089</v>
      </c>
      <c r="L118" s="42">
        <v>45091</v>
      </c>
      <c r="M118" s="42">
        <v>45084</v>
      </c>
      <c r="N118" s="42">
        <v>45093</v>
      </c>
      <c r="O118" s="40" t="s">
        <v>122</v>
      </c>
      <c r="P118" s="42" t="s">
        <v>122</v>
      </c>
      <c r="S118" s="49"/>
      <c r="T118" s="49"/>
      <c r="W118" s="49"/>
      <c r="X118" s="49"/>
      <c r="AA118" s="40" t="str">
        <f t="shared" si="1"/>
        <v/>
      </c>
    </row>
    <row r="119" spans="1:27" s="75" customFormat="1" ht="15" customHeight="1" x14ac:dyDescent="0.25">
      <c r="A119" s="60" t="s">
        <v>418</v>
      </c>
      <c r="B119" s="57" t="s">
        <v>419</v>
      </c>
      <c r="C119" s="57" t="s">
        <v>420</v>
      </c>
      <c r="D119" s="56" t="s">
        <v>98</v>
      </c>
      <c r="E119" s="56" t="s">
        <v>86</v>
      </c>
      <c r="F119" s="56" t="s">
        <v>67</v>
      </c>
      <c r="G119" s="56" t="s">
        <v>68</v>
      </c>
      <c r="H119" s="56" t="s">
        <v>139</v>
      </c>
      <c r="I119" s="56" t="s">
        <v>188</v>
      </c>
      <c r="J119" s="58">
        <v>45068</v>
      </c>
      <c r="K119" s="58">
        <v>45082</v>
      </c>
      <c r="L119" s="58">
        <v>45084</v>
      </c>
      <c r="M119" s="58">
        <v>45104</v>
      </c>
      <c r="N119" s="58">
        <v>45105</v>
      </c>
      <c r="O119" s="56" t="s">
        <v>123</v>
      </c>
      <c r="P119" s="58" t="s">
        <v>123</v>
      </c>
      <c r="Q119" s="58"/>
      <c r="R119" s="58"/>
      <c r="S119" s="56"/>
      <c r="T119" s="56"/>
      <c r="U119" s="58"/>
      <c r="V119" s="58"/>
      <c r="W119" s="56"/>
      <c r="X119" s="56"/>
      <c r="Y119" s="56"/>
      <c r="Z119" s="56"/>
      <c r="AA119" s="56" t="str">
        <f t="shared" si="1"/>
        <v/>
      </c>
    </row>
    <row r="120" spans="1:27" ht="15" customHeight="1" x14ac:dyDescent="0.25">
      <c r="A120" s="43" t="s">
        <v>421</v>
      </c>
      <c r="B120" s="41" t="s">
        <v>422</v>
      </c>
      <c r="C120" s="41" t="s">
        <v>423</v>
      </c>
      <c r="D120" s="40" t="s">
        <v>424</v>
      </c>
      <c r="E120" s="40" t="s">
        <v>86</v>
      </c>
      <c r="F120" s="40" t="s">
        <v>67</v>
      </c>
      <c r="G120" s="77" t="s">
        <v>68</v>
      </c>
      <c r="H120" s="40" t="s">
        <v>160</v>
      </c>
      <c r="I120" s="40" t="s">
        <v>140</v>
      </c>
      <c r="J120" s="42">
        <v>45036</v>
      </c>
      <c r="K120" s="42">
        <v>45072</v>
      </c>
      <c r="L120" s="42">
        <v>45076</v>
      </c>
      <c r="M120" s="42">
        <v>45071</v>
      </c>
      <c r="N120" s="42">
        <v>45078</v>
      </c>
      <c r="O120" s="40" t="s">
        <v>122</v>
      </c>
      <c r="P120" s="42" t="s">
        <v>122</v>
      </c>
      <c r="S120" s="49"/>
      <c r="T120" s="49"/>
      <c r="W120" s="49"/>
      <c r="X120" s="49"/>
      <c r="AA120" s="40" t="str">
        <f t="shared" si="1"/>
        <v/>
      </c>
    </row>
    <row r="121" spans="1:27" s="75" customFormat="1" ht="15" customHeight="1" x14ac:dyDescent="0.25">
      <c r="A121" s="60" t="s">
        <v>425</v>
      </c>
      <c r="B121" s="57" t="s">
        <v>426</v>
      </c>
      <c r="C121" s="57" t="s">
        <v>427</v>
      </c>
      <c r="D121" s="56" t="s">
        <v>428</v>
      </c>
      <c r="E121" s="56" t="s">
        <v>69</v>
      </c>
      <c r="F121" s="56" t="s">
        <v>67</v>
      </c>
      <c r="G121" s="56" t="s">
        <v>68</v>
      </c>
      <c r="H121" s="56" t="s">
        <v>160</v>
      </c>
      <c r="I121" s="56" t="s">
        <v>283</v>
      </c>
      <c r="J121" s="58">
        <v>45044</v>
      </c>
      <c r="K121" s="58">
        <v>45076</v>
      </c>
      <c r="L121" s="58">
        <v>45078</v>
      </c>
      <c r="M121" s="58">
        <v>45097</v>
      </c>
      <c r="N121" s="58">
        <v>45098</v>
      </c>
      <c r="O121" s="56" t="s">
        <v>123</v>
      </c>
      <c r="P121" s="58" t="s">
        <v>123</v>
      </c>
      <c r="Q121" s="58"/>
      <c r="R121" s="58"/>
      <c r="S121" s="56"/>
      <c r="T121" s="56"/>
      <c r="U121" s="58"/>
      <c r="V121" s="58"/>
      <c r="W121" s="56"/>
      <c r="X121" s="56"/>
      <c r="Y121" s="56"/>
      <c r="Z121" s="56"/>
      <c r="AA121" s="56" t="str">
        <f t="shared" si="1"/>
        <v/>
      </c>
    </row>
    <row r="122" spans="1:27" s="75" customFormat="1" ht="15" customHeight="1" x14ac:dyDescent="0.25">
      <c r="A122" s="60" t="s">
        <v>425</v>
      </c>
      <c r="B122" s="57" t="s">
        <v>426</v>
      </c>
      <c r="C122" s="57" t="s">
        <v>427</v>
      </c>
      <c r="D122" s="56" t="s">
        <v>428</v>
      </c>
      <c r="E122" s="56" t="s">
        <v>69</v>
      </c>
      <c r="F122" s="56" t="s">
        <v>67</v>
      </c>
      <c r="G122" s="76" t="s">
        <v>68</v>
      </c>
      <c r="H122" s="56" t="s">
        <v>160</v>
      </c>
      <c r="I122" s="56" t="s">
        <v>188</v>
      </c>
      <c r="J122" s="58">
        <v>45044</v>
      </c>
      <c r="K122" s="58">
        <v>45076</v>
      </c>
      <c r="L122" s="58">
        <v>45078</v>
      </c>
      <c r="M122" s="58">
        <v>45082</v>
      </c>
      <c r="N122" s="58">
        <v>45098</v>
      </c>
      <c r="O122" s="56" t="s">
        <v>123</v>
      </c>
      <c r="P122" s="58" t="s">
        <v>123</v>
      </c>
      <c r="Q122" s="58"/>
      <c r="R122" s="58"/>
      <c r="S122" s="59"/>
      <c r="T122" s="59"/>
      <c r="U122" s="58"/>
      <c r="V122" s="58"/>
      <c r="W122" s="59"/>
      <c r="X122" s="59"/>
      <c r="Y122" s="56"/>
      <c r="Z122" s="56"/>
      <c r="AA122" s="56" t="str">
        <f t="shared" si="1"/>
        <v/>
      </c>
    </row>
    <row r="123" spans="1:27" s="75" customFormat="1" ht="15" customHeight="1" x14ac:dyDescent="0.25">
      <c r="A123" s="60" t="s">
        <v>429</v>
      </c>
      <c r="B123" s="57" t="s">
        <v>426</v>
      </c>
      <c r="C123" s="57" t="s">
        <v>430</v>
      </c>
      <c r="D123" s="56" t="s">
        <v>431</v>
      </c>
      <c r="E123" s="56" t="s">
        <v>69</v>
      </c>
      <c r="F123" s="56" t="s">
        <v>67</v>
      </c>
      <c r="G123" s="56" t="s">
        <v>68</v>
      </c>
      <c r="H123" s="56" t="s">
        <v>160</v>
      </c>
      <c r="I123" s="56" t="s">
        <v>283</v>
      </c>
      <c r="J123" s="58">
        <v>45044</v>
      </c>
      <c r="K123" s="58">
        <v>45076</v>
      </c>
      <c r="L123" s="58">
        <v>45078</v>
      </c>
      <c r="M123" s="58">
        <v>45072</v>
      </c>
      <c r="N123" s="58">
        <v>45098</v>
      </c>
      <c r="O123" s="56" t="s">
        <v>122</v>
      </c>
      <c r="P123" s="58" t="s">
        <v>123</v>
      </c>
      <c r="Q123" s="58"/>
      <c r="R123" s="58"/>
      <c r="S123" s="56"/>
      <c r="T123" s="56"/>
      <c r="U123" s="58"/>
      <c r="V123" s="58"/>
      <c r="W123" s="56"/>
      <c r="X123" s="56"/>
      <c r="Y123" s="56"/>
      <c r="Z123" s="56"/>
      <c r="AA123" s="56" t="str">
        <f t="shared" si="1"/>
        <v/>
      </c>
    </row>
    <row r="124" spans="1:27" s="75" customFormat="1" ht="15" customHeight="1" x14ac:dyDescent="0.25">
      <c r="A124" s="60" t="s">
        <v>432</v>
      </c>
      <c r="B124" s="57" t="s">
        <v>426</v>
      </c>
      <c r="C124" s="57" t="s">
        <v>433</v>
      </c>
      <c r="D124" s="56" t="s">
        <v>210</v>
      </c>
      <c r="E124" s="56" t="s">
        <v>69</v>
      </c>
      <c r="F124" s="56" t="s">
        <v>67</v>
      </c>
      <c r="G124" s="76" t="s">
        <v>68</v>
      </c>
      <c r="H124" s="56" t="s">
        <v>160</v>
      </c>
      <c r="I124" s="56" t="s">
        <v>283</v>
      </c>
      <c r="J124" s="58">
        <v>45043</v>
      </c>
      <c r="K124" s="58">
        <v>45076</v>
      </c>
      <c r="L124" s="58">
        <v>45078</v>
      </c>
      <c r="M124" s="58">
        <v>45096</v>
      </c>
      <c r="N124" s="58">
        <v>45100</v>
      </c>
      <c r="O124" s="56" t="s">
        <v>123</v>
      </c>
      <c r="P124" s="58" t="s">
        <v>123</v>
      </c>
      <c r="Q124" s="58"/>
      <c r="R124" s="58"/>
      <c r="S124" s="59"/>
      <c r="T124" s="59"/>
      <c r="U124" s="58"/>
      <c r="V124" s="58"/>
      <c r="W124" s="59"/>
      <c r="X124" s="59"/>
      <c r="Y124" s="56"/>
      <c r="Z124" s="56"/>
      <c r="AA124" s="56" t="str">
        <f t="shared" si="1"/>
        <v/>
      </c>
    </row>
    <row r="125" spans="1:27" s="75" customFormat="1" ht="15" customHeight="1" x14ac:dyDescent="0.25">
      <c r="A125" s="60" t="s">
        <v>432</v>
      </c>
      <c r="B125" s="57" t="s">
        <v>426</v>
      </c>
      <c r="C125" s="57" t="s">
        <v>433</v>
      </c>
      <c r="D125" s="56" t="s">
        <v>210</v>
      </c>
      <c r="E125" s="56" t="s">
        <v>69</v>
      </c>
      <c r="F125" s="56" t="s">
        <v>67</v>
      </c>
      <c r="G125" s="56" t="s">
        <v>68</v>
      </c>
      <c r="H125" s="56" t="s">
        <v>160</v>
      </c>
      <c r="I125" s="56" t="s">
        <v>188</v>
      </c>
      <c r="J125" s="58">
        <v>45043</v>
      </c>
      <c r="K125" s="58">
        <v>45076</v>
      </c>
      <c r="L125" s="58">
        <v>45078</v>
      </c>
      <c r="M125" s="58">
        <v>45075</v>
      </c>
      <c r="N125" s="58">
        <v>45100</v>
      </c>
      <c r="O125" s="56" t="s">
        <v>122</v>
      </c>
      <c r="P125" s="58" t="s">
        <v>123</v>
      </c>
      <c r="Q125" s="58"/>
      <c r="R125" s="58"/>
      <c r="S125" s="56"/>
      <c r="T125" s="56"/>
      <c r="U125" s="58"/>
      <c r="V125" s="58"/>
      <c r="W125" s="56"/>
      <c r="X125" s="56"/>
      <c r="Y125" s="56"/>
      <c r="Z125" s="56"/>
      <c r="AA125" s="56" t="str">
        <f t="shared" si="1"/>
        <v/>
      </c>
    </row>
    <row r="126" spans="1:27" s="75" customFormat="1" ht="15" customHeight="1" x14ac:dyDescent="0.25">
      <c r="A126" s="60" t="s">
        <v>434</v>
      </c>
      <c r="B126" s="57" t="s">
        <v>426</v>
      </c>
      <c r="C126" s="57" t="s">
        <v>435</v>
      </c>
      <c r="D126" s="56" t="s">
        <v>436</v>
      </c>
      <c r="E126" s="56" t="s">
        <v>69</v>
      </c>
      <c r="F126" s="56" t="s">
        <v>67</v>
      </c>
      <c r="G126" s="76" t="s">
        <v>68</v>
      </c>
      <c r="H126" s="56" t="s">
        <v>160</v>
      </c>
      <c r="I126" s="56" t="s">
        <v>283</v>
      </c>
      <c r="J126" s="58">
        <v>45043</v>
      </c>
      <c r="K126" s="58">
        <v>45076</v>
      </c>
      <c r="L126" s="58">
        <v>45078</v>
      </c>
      <c r="M126" s="58">
        <v>45068</v>
      </c>
      <c r="N126" s="58">
        <v>45100</v>
      </c>
      <c r="O126" s="56" t="s">
        <v>122</v>
      </c>
      <c r="P126" s="58" t="s">
        <v>123</v>
      </c>
      <c r="Q126" s="58"/>
      <c r="R126" s="58"/>
      <c r="S126" s="59"/>
      <c r="T126" s="59"/>
      <c r="U126" s="58"/>
      <c r="V126" s="58"/>
      <c r="W126" s="59"/>
      <c r="X126" s="59"/>
      <c r="Y126" s="56"/>
      <c r="Z126" s="56"/>
      <c r="AA126" s="56" t="str">
        <f t="shared" si="1"/>
        <v/>
      </c>
    </row>
    <row r="127" spans="1:27" ht="15" customHeight="1" x14ac:dyDescent="0.25">
      <c r="A127" s="43" t="s">
        <v>99</v>
      </c>
      <c r="B127" s="41" t="s">
        <v>100</v>
      </c>
      <c r="C127" s="41" t="s">
        <v>178</v>
      </c>
      <c r="D127" s="40" t="s">
        <v>101</v>
      </c>
      <c r="E127" s="40" t="s">
        <v>89</v>
      </c>
      <c r="F127" s="40" t="s">
        <v>67</v>
      </c>
      <c r="G127" s="40" t="s">
        <v>89</v>
      </c>
      <c r="H127" s="40" t="s">
        <v>155</v>
      </c>
      <c r="I127" s="40" t="s">
        <v>140</v>
      </c>
      <c r="J127" s="42">
        <v>45065</v>
      </c>
      <c r="K127" s="42">
        <v>45082</v>
      </c>
      <c r="L127" s="42">
        <v>45084</v>
      </c>
      <c r="M127" s="42">
        <v>45083</v>
      </c>
      <c r="N127" s="42">
        <v>45084</v>
      </c>
      <c r="O127" s="40" t="s">
        <v>123</v>
      </c>
      <c r="P127" s="42" t="s">
        <v>122</v>
      </c>
      <c r="AA127" s="40" t="str">
        <f t="shared" si="1"/>
        <v/>
      </c>
    </row>
    <row r="128" spans="1:27" ht="15" customHeight="1" x14ac:dyDescent="0.25">
      <c r="A128" s="43" t="s">
        <v>437</v>
      </c>
      <c r="B128" s="41" t="s">
        <v>438</v>
      </c>
      <c r="C128" s="41" t="s">
        <v>439</v>
      </c>
      <c r="D128" s="40" t="s">
        <v>440</v>
      </c>
      <c r="E128" s="40" t="s">
        <v>71</v>
      </c>
      <c r="F128" s="40" t="s">
        <v>67</v>
      </c>
      <c r="G128" s="77" t="s">
        <v>89</v>
      </c>
      <c r="H128" s="40" t="s">
        <v>168</v>
      </c>
      <c r="I128" s="40" t="s">
        <v>140</v>
      </c>
      <c r="J128" s="42">
        <v>45082</v>
      </c>
      <c r="K128" s="42">
        <v>45097</v>
      </c>
      <c r="L128" s="42">
        <v>45099</v>
      </c>
      <c r="M128" s="42">
        <v>45085</v>
      </c>
      <c r="N128" s="42">
        <v>45099</v>
      </c>
      <c r="O128" s="40" t="s">
        <v>122</v>
      </c>
      <c r="P128" s="42" t="s">
        <v>122</v>
      </c>
      <c r="S128" s="49"/>
      <c r="T128" s="49"/>
      <c r="W128" s="49"/>
      <c r="X128" s="49"/>
      <c r="AA128" s="40" t="str">
        <f t="shared" si="1"/>
        <v/>
      </c>
    </row>
    <row r="129" spans="1:27" ht="15" customHeight="1" x14ac:dyDescent="0.25">
      <c r="A129" s="43" t="s">
        <v>441</v>
      </c>
      <c r="B129" s="41" t="s">
        <v>438</v>
      </c>
      <c r="C129" s="41" t="s">
        <v>442</v>
      </c>
      <c r="D129" s="40" t="s">
        <v>440</v>
      </c>
      <c r="E129" s="40" t="s">
        <v>71</v>
      </c>
      <c r="F129" s="40" t="s">
        <v>67</v>
      </c>
      <c r="G129" s="40" t="s">
        <v>89</v>
      </c>
      <c r="H129" s="40" t="s">
        <v>168</v>
      </c>
      <c r="I129" s="40" t="s">
        <v>140</v>
      </c>
      <c r="J129" s="42">
        <v>45082</v>
      </c>
      <c r="K129" s="42">
        <v>45097</v>
      </c>
      <c r="L129" s="42">
        <v>45099</v>
      </c>
      <c r="M129" s="42">
        <v>45085</v>
      </c>
      <c r="N129" s="42">
        <v>45099</v>
      </c>
      <c r="O129" s="40" t="s">
        <v>122</v>
      </c>
      <c r="P129" s="42" t="s">
        <v>122</v>
      </c>
      <c r="AA129" s="40" t="str">
        <f t="shared" si="1"/>
        <v/>
      </c>
    </row>
    <row r="130" spans="1:27" ht="15" customHeight="1" x14ac:dyDescent="0.25">
      <c r="A130" s="43" t="s">
        <v>443</v>
      </c>
      <c r="B130" s="41" t="s">
        <v>438</v>
      </c>
      <c r="C130" s="41" t="s">
        <v>444</v>
      </c>
      <c r="D130" s="40" t="s">
        <v>440</v>
      </c>
      <c r="E130" s="40" t="s">
        <v>71</v>
      </c>
      <c r="F130" s="40" t="s">
        <v>67</v>
      </c>
      <c r="G130" s="77" t="s">
        <v>89</v>
      </c>
      <c r="H130" s="40" t="s">
        <v>168</v>
      </c>
      <c r="I130" s="40" t="s">
        <v>140</v>
      </c>
      <c r="J130" s="42">
        <v>45082</v>
      </c>
      <c r="K130" s="42">
        <v>45097</v>
      </c>
      <c r="L130" s="42">
        <v>45099</v>
      </c>
      <c r="M130" s="42">
        <v>45089</v>
      </c>
      <c r="N130" s="42">
        <v>45099</v>
      </c>
      <c r="O130" s="40" t="s">
        <v>122</v>
      </c>
      <c r="P130" s="42" t="s">
        <v>122</v>
      </c>
      <c r="S130" s="49"/>
      <c r="T130" s="49"/>
      <c r="W130" s="49"/>
      <c r="X130" s="49"/>
      <c r="AA130" s="40" t="str">
        <f t="shared" si="1"/>
        <v/>
      </c>
    </row>
    <row r="131" spans="1:27" ht="15" customHeight="1" x14ac:dyDescent="0.25">
      <c r="A131" s="43" t="s">
        <v>445</v>
      </c>
      <c r="B131" s="41" t="s">
        <v>446</v>
      </c>
      <c r="C131" s="41" t="s">
        <v>447</v>
      </c>
      <c r="D131" s="40" t="s">
        <v>448</v>
      </c>
      <c r="E131" s="40" t="s">
        <v>66</v>
      </c>
      <c r="F131" s="40" t="s">
        <v>67</v>
      </c>
      <c r="G131" s="40" t="s">
        <v>68</v>
      </c>
      <c r="H131" s="40" t="s">
        <v>155</v>
      </c>
      <c r="I131" s="40" t="s">
        <v>313</v>
      </c>
      <c r="J131" s="42">
        <v>45072</v>
      </c>
      <c r="K131" s="42">
        <v>45082</v>
      </c>
      <c r="L131" s="42">
        <v>45084</v>
      </c>
      <c r="M131" s="42">
        <v>45079</v>
      </c>
      <c r="N131" s="42">
        <v>45085</v>
      </c>
      <c r="O131" s="40" t="s">
        <v>122</v>
      </c>
      <c r="P131" s="42" t="s">
        <v>122</v>
      </c>
      <c r="AA131" s="40" t="str">
        <f t="shared" si="1"/>
        <v/>
      </c>
    </row>
    <row r="132" spans="1:27" ht="15" customHeight="1" x14ac:dyDescent="0.25">
      <c r="A132" s="43" t="s">
        <v>449</v>
      </c>
      <c r="B132" s="41" t="s">
        <v>450</v>
      </c>
      <c r="C132" s="41" t="s">
        <v>451</v>
      </c>
      <c r="D132" s="40" t="s">
        <v>94</v>
      </c>
      <c r="E132" s="40" t="s">
        <v>70</v>
      </c>
      <c r="F132" s="40" t="s">
        <v>67</v>
      </c>
      <c r="G132" s="77" t="s">
        <v>68</v>
      </c>
      <c r="H132" s="40" t="s">
        <v>155</v>
      </c>
      <c r="I132" s="40" t="s">
        <v>140</v>
      </c>
      <c r="J132" s="42">
        <v>45070</v>
      </c>
      <c r="K132" s="42">
        <v>45093</v>
      </c>
      <c r="L132" s="42">
        <v>45097</v>
      </c>
      <c r="M132" s="42">
        <v>45096</v>
      </c>
      <c r="N132" s="42">
        <v>45097</v>
      </c>
      <c r="O132" s="40" t="s">
        <v>123</v>
      </c>
      <c r="P132" s="42" t="s">
        <v>122</v>
      </c>
      <c r="S132" s="49"/>
      <c r="T132" s="49"/>
      <c r="W132" s="49"/>
      <c r="X132" s="49"/>
      <c r="AA132" s="40" t="str">
        <f t="shared" si="1"/>
        <v/>
      </c>
    </row>
    <row r="133" spans="1:27" ht="15" customHeight="1" x14ac:dyDescent="0.25">
      <c r="A133" s="43" t="s">
        <v>452</v>
      </c>
      <c r="B133" s="41" t="s">
        <v>102</v>
      </c>
      <c r="C133" s="41" t="s">
        <v>453</v>
      </c>
      <c r="D133" s="40" t="s">
        <v>454</v>
      </c>
      <c r="E133" s="40" t="s">
        <v>86</v>
      </c>
      <c r="F133" s="40" t="s">
        <v>67</v>
      </c>
      <c r="G133" s="40" t="s">
        <v>68</v>
      </c>
      <c r="H133" s="40" t="s">
        <v>160</v>
      </c>
      <c r="I133" s="40" t="s">
        <v>156</v>
      </c>
      <c r="J133" s="42">
        <v>45056</v>
      </c>
      <c r="K133" s="42">
        <v>45075</v>
      </c>
      <c r="L133" s="42">
        <v>45077</v>
      </c>
      <c r="M133" s="42">
        <v>45075</v>
      </c>
      <c r="N133" s="42">
        <v>45078</v>
      </c>
      <c r="O133" s="40" t="s">
        <v>122</v>
      </c>
      <c r="P133" s="42" t="s">
        <v>122</v>
      </c>
      <c r="AA133" s="40" t="str">
        <f t="shared" si="1"/>
        <v/>
      </c>
    </row>
    <row r="134" spans="1:27" ht="15" customHeight="1" x14ac:dyDescent="0.25">
      <c r="A134" s="43" t="s">
        <v>452</v>
      </c>
      <c r="B134" s="41" t="s">
        <v>102</v>
      </c>
      <c r="C134" s="41" t="s">
        <v>453</v>
      </c>
      <c r="D134" s="40" t="s">
        <v>454</v>
      </c>
      <c r="E134" s="40" t="s">
        <v>86</v>
      </c>
      <c r="F134" s="40" t="s">
        <v>67</v>
      </c>
      <c r="G134" s="77" t="s">
        <v>68</v>
      </c>
      <c r="H134" s="40" t="s">
        <v>160</v>
      </c>
      <c r="I134" s="40" t="s">
        <v>161</v>
      </c>
      <c r="J134" s="42">
        <v>45056</v>
      </c>
      <c r="K134" s="42">
        <v>45075</v>
      </c>
      <c r="L134" s="42">
        <v>45077</v>
      </c>
      <c r="M134" s="42">
        <v>45077</v>
      </c>
      <c r="N134" s="42">
        <v>45078</v>
      </c>
      <c r="O134" s="40" t="s">
        <v>123</v>
      </c>
      <c r="P134" s="42" t="s">
        <v>122</v>
      </c>
      <c r="S134" s="49"/>
      <c r="T134" s="49"/>
      <c r="W134" s="49"/>
      <c r="X134" s="49"/>
      <c r="AA134" s="40" t="str">
        <f t="shared" si="1"/>
        <v/>
      </c>
    </row>
    <row r="135" spans="1:27" ht="15" customHeight="1" x14ac:dyDescent="0.25">
      <c r="A135" s="43" t="s">
        <v>455</v>
      </c>
      <c r="B135" s="41" t="s">
        <v>102</v>
      </c>
      <c r="C135" s="41" t="s">
        <v>456</v>
      </c>
      <c r="D135" s="40" t="s">
        <v>454</v>
      </c>
      <c r="E135" s="40" t="s">
        <v>86</v>
      </c>
      <c r="F135" s="40" t="s">
        <v>67</v>
      </c>
      <c r="G135" s="40" t="s">
        <v>68</v>
      </c>
      <c r="H135" s="40" t="s">
        <v>160</v>
      </c>
      <c r="I135" s="40" t="s">
        <v>156</v>
      </c>
      <c r="J135" s="42">
        <v>45056</v>
      </c>
      <c r="K135" s="42">
        <v>45075</v>
      </c>
      <c r="L135" s="42">
        <v>45077</v>
      </c>
      <c r="M135" s="42">
        <v>45075</v>
      </c>
      <c r="N135" s="42">
        <v>45078</v>
      </c>
      <c r="O135" s="40" t="s">
        <v>122</v>
      </c>
      <c r="P135" s="42" t="s">
        <v>122</v>
      </c>
      <c r="AA135" s="40" t="str">
        <f t="shared" si="1"/>
        <v/>
      </c>
    </row>
    <row r="136" spans="1:27" ht="15" customHeight="1" x14ac:dyDescent="0.25">
      <c r="A136" s="43" t="s">
        <v>455</v>
      </c>
      <c r="B136" s="41" t="s">
        <v>102</v>
      </c>
      <c r="C136" s="41" t="s">
        <v>456</v>
      </c>
      <c r="D136" s="40" t="s">
        <v>454</v>
      </c>
      <c r="E136" s="40" t="s">
        <v>86</v>
      </c>
      <c r="F136" s="40" t="s">
        <v>67</v>
      </c>
      <c r="G136" s="77" t="s">
        <v>68</v>
      </c>
      <c r="H136" s="40" t="s">
        <v>160</v>
      </c>
      <c r="I136" s="40" t="s">
        <v>161</v>
      </c>
      <c r="J136" s="42">
        <v>45056</v>
      </c>
      <c r="K136" s="42">
        <v>45075</v>
      </c>
      <c r="L136" s="42">
        <v>45077</v>
      </c>
      <c r="M136" s="42">
        <v>45076</v>
      </c>
      <c r="N136" s="42">
        <v>45078</v>
      </c>
      <c r="O136" s="40" t="s">
        <v>123</v>
      </c>
      <c r="P136" s="42" t="s">
        <v>122</v>
      </c>
      <c r="S136" s="49"/>
      <c r="T136" s="49"/>
      <c r="W136" s="49"/>
      <c r="X136" s="49"/>
      <c r="AA136" s="40" t="str">
        <f t="shared" ref="AA136:AA199" si="2">IFERROR(
IF(AND(X136="Não",Y136="Sim"),"REP",
IF(AND(X136="Sim",Y136="Não"),"Técnico",
IF(AND(X136="Sim",Y136="Sim"),"Ambos",""))),
"")</f>
        <v/>
      </c>
    </row>
    <row r="137" spans="1:27" s="75" customFormat="1" ht="15" customHeight="1" x14ac:dyDescent="0.25">
      <c r="A137" s="60" t="s">
        <v>179</v>
      </c>
      <c r="B137" s="57" t="s">
        <v>102</v>
      </c>
      <c r="C137" s="57" t="s">
        <v>180</v>
      </c>
      <c r="D137" s="56" t="s">
        <v>90</v>
      </c>
      <c r="E137" s="56" t="s">
        <v>86</v>
      </c>
      <c r="F137" s="56" t="s">
        <v>67</v>
      </c>
      <c r="G137" s="56" t="s">
        <v>68</v>
      </c>
      <c r="H137" s="56" t="s">
        <v>160</v>
      </c>
      <c r="I137" s="56" t="s">
        <v>156</v>
      </c>
      <c r="J137" s="58">
        <v>45056</v>
      </c>
      <c r="K137" s="58">
        <v>45075</v>
      </c>
      <c r="L137" s="58">
        <v>45077</v>
      </c>
      <c r="M137" s="58">
        <v>45075</v>
      </c>
      <c r="N137" s="58">
        <v>45084</v>
      </c>
      <c r="O137" s="56" t="s">
        <v>122</v>
      </c>
      <c r="P137" s="58" t="s">
        <v>123</v>
      </c>
      <c r="Q137" s="58"/>
      <c r="R137" s="58"/>
      <c r="S137" s="56"/>
      <c r="T137" s="56"/>
      <c r="U137" s="58"/>
      <c r="V137" s="58"/>
      <c r="W137" s="56"/>
      <c r="X137" s="56"/>
      <c r="Y137" s="56"/>
      <c r="Z137" s="56"/>
      <c r="AA137" s="56" t="str">
        <f t="shared" si="2"/>
        <v/>
      </c>
    </row>
    <row r="138" spans="1:27" s="75" customFormat="1" ht="15" customHeight="1" x14ac:dyDescent="0.25">
      <c r="A138" s="60" t="s">
        <v>179</v>
      </c>
      <c r="B138" s="57" t="s">
        <v>102</v>
      </c>
      <c r="C138" s="57" t="s">
        <v>180</v>
      </c>
      <c r="D138" s="56" t="s">
        <v>90</v>
      </c>
      <c r="E138" s="56" t="s">
        <v>86</v>
      </c>
      <c r="F138" s="56" t="s">
        <v>67</v>
      </c>
      <c r="G138" s="76" t="s">
        <v>68</v>
      </c>
      <c r="H138" s="56" t="s">
        <v>160</v>
      </c>
      <c r="I138" s="56" t="s">
        <v>161</v>
      </c>
      <c r="J138" s="58">
        <v>45056</v>
      </c>
      <c r="K138" s="58">
        <v>45071</v>
      </c>
      <c r="L138" s="58">
        <v>45072</v>
      </c>
      <c r="M138" s="58">
        <v>45076</v>
      </c>
      <c r="N138" s="58">
        <v>45084</v>
      </c>
      <c r="O138" s="56" t="s">
        <v>123</v>
      </c>
      <c r="P138" s="58" t="s">
        <v>123</v>
      </c>
      <c r="Q138" s="58"/>
      <c r="R138" s="58"/>
      <c r="S138" s="59"/>
      <c r="T138" s="59"/>
      <c r="U138" s="58"/>
      <c r="V138" s="58"/>
      <c r="W138" s="59"/>
      <c r="X138" s="59"/>
      <c r="Y138" s="56"/>
      <c r="Z138" s="56"/>
      <c r="AA138" s="56" t="str">
        <f t="shared" si="2"/>
        <v/>
      </c>
    </row>
    <row r="139" spans="1:27" ht="15" customHeight="1" x14ac:dyDescent="0.25">
      <c r="A139" s="43" t="s">
        <v>457</v>
      </c>
      <c r="B139" s="41" t="s">
        <v>102</v>
      </c>
      <c r="C139" s="41" t="s">
        <v>458</v>
      </c>
      <c r="D139" s="40" t="s">
        <v>459</v>
      </c>
      <c r="E139" s="40" t="s">
        <v>86</v>
      </c>
      <c r="F139" s="40" t="s">
        <v>67</v>
      </c>
      <c r="G139" s="40" t="s">
        <v>68</v>
      </c>
      <c r="H139" s="40" t="s">
        <v>160</v>
      </c>
      <c r="I139" s="40" t="s">
        <v>156</v>
      </c>
      <c r="J139" s="42">
        <v>45056</v>
      </c>
      <c r="K139" s="42">
        <v>45075</v>
      </c>
      <c r="L139" s="42">
        <v>45077</v>
      </c>
      <c r="M139" s="42">
        <v>45077</v>
      </c>
      <c r="N139" s="42">
        <v>45078</v>
      </c>
      <c r="O139" s="40" t="s">
        <v>123</v>
      </c>
      <c r="P139" s="42" t="s">
        <v>122</v>
      </c>
      <c r="AA139" s="40" t="str">
        <f t="shared" si="2"/>
        <v/>
      </c>
    </row>
    <row r="140" spans="1:27" ht="15" customHeight="1" x14ac:dyDescent="0.25">
      <c r="A140" s="43" t="s">
        <v>460</v>
      </c>
      <c r="B140" s="41" t="s">
        <v>102</v>
      </c>
      <c r="C140" s="41" t="s">
        <v>461</v>
      </c>
      <c r="D140" s="40" t="s">
        <v>454</v>
      </c>
      <c r="E140" s="40" t="s">
        <v>86</v>
      </c>
      <c r="F140" s="40" t="s">
        <v>67</v>
      </c>
      <c r="G140" s="40" t="s">
        <v>68</v>
      </c>
      <c r="H140" s="40" t="s">
        <v>160</v>
      </c>
      <c r="I140" s="40" t="s">
        <v>156</v>
      </c>
      <c r="J140" s="42">
        <v>45056</v>
      </c>
      <c r="K140" s="42">
        <v>45075</v>
      </c>
      <c r="L140" s="42">
        <v>45077</v>
      </c>
      <c r="M140" s="42">
        <v>45077</v>
      </c>
      <c r="N140" s="42">
        <v>45078</v>
      </c>
      <c r="O140" s="40" t="s">
        <v>123</v>
      </c>
      <c r="P140" s="42" t="s">
        <v>122</v>
      </c>
      <c r="S140" s="49"/>
      <c r="T140" s="49"/>
      <c r="W140" s="49"/>
      <c r="X140" s="49"/>
      <c r="AA140" s="40" t="str">
        <f t="shared" si="2"/>
        <v/>
      </c>
    </row>
    <row r="141" spans="1:27" s="75" customFormat="1" ht="15" customHeight="1" x14ac:dyDescent="0.25">
      <c r="A141" s="60" t="s">
        <v>181</v>
      </c>
      <c r="B141" s="57" t="s">
        <v>102</v>
      </c>
      <c r="C141" s="57" t="s">
        <v>182</v>
      </c>
      <c r="D141" s="56" t="s">
        <v>90</v>
      </c>
      <c r="E141" s="56" t="s">
        <v>86</v>
      </c>
      <c r="F141" s="56" t="s">
        <v>67</v>
      </c>
      <c r="G141" s="76" t="s">
        <v>68</v>
      </c>
      <c r="H141" s="56" t="s">
        <v>168</v>
      </c>
      <c r="I141" s="56" t="s">
        <v>156</v>
      </c>
      <c r="J141" s="58">
        <v>45056</v>
      </c>
      <c r="K141" s="58">
        <v>45075</v>
      </c>
      <c r="L141" s="58">
        <v>45077</v>
      </c>
      <c r="M141" s="58">
        <v>45077</v>
      </c>
      <c r="N141" s="58">
        <v>45083</v>
      </c>
      <c r="O141" s="56" t="s">
        <v>123</v>
      </c>
      <c r="P141" s="58" t="s">
        <v>123</v>
      </c>
      <c r="Q141" s="58"/>
      <c r="R141" s="58"/>
      <c r="S141" s="59"/>
      <c r="T141" s="59"/>
      <c r="U141" s="58"/>
      <c r="V141" s="58"/>
      <c r="W141" s="59"/>
      <c r="X141" s="59"/>
      <c r="Y141" s="56"/>
      <c r="Z141" s="56"/>
      <c r="AA141" s="56" t="str">
        <f t="shared" si="2"/>
        <v/>
      </c>
    </row>
    <row r="142" spans="1:27" ht="15" customHeight="1" x14ac:dyDescent="0.25">
      <c r="A142" s="43" t="s">
        <v>462</v>
      </c>
      <c r="B142" s="41" t="s">
        <v>102</v>
      </c>
      <c r="C142" s="41" t="s">
        <v>463</v>
      </c>
      <c r="D142" s="40" t="s">
        <v>454</v>
      </c>
      <c r="E142" s="40" t="s">
        <v>86</v>
      </c>
      <c r="F142" s="40" t="s">
        <v>67</v>
      </c>
      <c r="G142" s="40" t="s">
        <v>68</v>
      </c>
      <c r="H142" s="40" t="s">
        <v>160</v>
      </c>
      <c r="I142" s="40" t="s">
        <v>156</v>
      </c>
      <c r="J142" s="42">
        <v>45056</v>
      </c>
      <c r="K142" s="42">
        <v>45075</v>
      </c>
      <c r="L142" s="42">
        <v>45077</v>
      </c>
      <c r="M142" s="42">
        <v>45075</v>
      </c>
      <c r="N142" s="42">
        <v>45078</v>
      </c>
      <c r="O142" s="40" t="s">
        <v>122</v>
      </c>
      <c r="P142" s="42" t="s">
        <v>122</v>
      </c>
      <c r="AA142" s="40" t="str">
        <f t="shared" si="2"/>
        <v/>
      </c>
    </row>
    <row r="143" spans="1:27" s="75" customFormat="1" ht="15" customHeight="1" x14ac:dyDescent="0.25">
      <c r="A143" s="60" t="s">
        <v>464</v>
      </c>
      <c r="B143" s="57" t="s">
        <v>465</v>
      </c>
      <c r="C143" s="57" t="s">
        <v>466</v>
      </c>
      <c r="D143" s="56" t="s">
        <v>467</v>
      </c>
      <c r="E143" s="56" t="s">
        <v>70</v>
      </c>
      <c r="F143" s="56" t="s">
        <v>67</v>
      </c>
      <c r="G143" s="76" t="s">
        <v>70</v>
      </c>
      <c r="H143" s="56" t="s">
        <v>168</v>
      </c>
      <c r="I143" s="56" t="s">
        <v>188</v>
      </c>
      <c r="J143" s="58">
        <v>45070</v>
      </c>
      <c r="K143" s="58">
        <v>45091</v>
      </c>
      <c r="L143" s="58">
        <v>45093</v>
      </c>
      <c r="M143" s="58">
        <v>45096</v>
      </c>
      <c r="N143" s="58">
        <v>45097</v>
      </c>
      <c r="O143" s="56" t="s">
        <v>123</v>
      </c>
      <c r="P143" s="58" t="s">
        <v>123</v>
      </c>
      <c r="Q143" s="58"/>
      <c r="R143" s="58"/>
      <c r="S143" s="59"/>
      <c r="T143" s="59"/>
      <c r="U143" s="58"/>
      <c r="V143" s="58"/>
      <c r="W143" s="59"/>
      <c r="X143" s="59"/>
      <c r="Y143" s="56"/>
      <c r="Z143" s="56"/>
      <c r="AA143" s="56" t="str">
        <f t="shared" si="2"/>
        <v/>
      </c>
    </row>
    <row r="144" spans="1:27" s="75" customFormat="1" ht="15" customHeight="1" x14ac:dyDescent="0.25">
      <c r="A144" s="60" t="s">
        <v>468</v>
      </c>
      <c r="B144" s="57" t="s">
        <v>469</v>
      </c>
      <c r="C144" s="57" t="s">
        <v>470</v>
      </c>
      <c r="D144" s="56" t="s">
        <v>467</v>
      </c>
      <c r="E144" s="56" t="s">
        <v>70</v>
      </c>
      <c r="F144" s="56" t="s">
        <v>67</v>
      </c>
      <c r="G144" s="56" t="s">
        <v>70</v>
      </c>
      <c r="H144" s="56" t="s">
        <v>168</v>
      </c>
      <c r="I144" s="56" t="s">
        <v>188</v>
      </c>
      <c r="J144" s="58">
        <v>45070</v>
      </c>
      <c r="K144" s="58">
        <v>45091</v>
      </c>
      <c r="L144" s="58">
        <v>45093</v>
      </c>
      <c r="M144" s="58">
        <v>45096</v>
      </c>
      <c r="N144" s="58">
        <v>45097</v>
      </c>
      <c r="O144" s="56" t="s">
        <v>123</v>
      </c>
      <c r="P144" s="58" t="s">
        <v>123</v>
      </c>
      <c r="Q144" s="58"/>
      <c r="R144" s="58"/>
      <c r="S144" s="56"/>
      <c r="T144" s="56"/>
      <c r="U144" s="58"/>
      <c r="V144" s="58"/>
      <c r="W144" s="56"/>
      <c r="X144" s="56"/>
      <c r="Y144" s="56"/>
      <c r="Z144" s="56"/>
      <c r="AA144" s="56" t="str">
        <f t="shared" si="2"/>
        <v/>
      </c>
    </row>
    <row r="145" spans="1:27" s="75" customFormat="1" ht="15" customHeight="1" x14ac:dyDescent="0.25">
      <c r="A145" s="60" t="s">
        <v>471</v>
      </c>
      <c r="B145" s="57" t="s">
        <v>472</v>
      </c>
      <c r="C145" s="57" t="s">
        <v>473</v>
      </c>
      <c r="D145" s="56" t="s">
        <v>467</v>
      </c>
      <c r="E145" s="56" t="s">
        <v>70</v>
      </c>
      <c r="F145" s="56" t="s">
        <v>67</v>
      </c>
      <c r="G145" s="76" t="s">
        <v>70</v>
      </c>
      <c r="H145" s="56" t="s">
        <v>139</v>
      </c>
      <c r="I145" s="56" t="s">
        <v>188</v>
      </c>
      <c r="J145" s="58">
        <v>45070</v>
      </c>
      <c r="K145" s="58">
        <v>45091</v>
      </c>
      <c r="L145" s="58">
        <v>45093</v>
      </c>
      <c r="M145" s="58">
        <v>45096</v>
      </c>
      <c r="N145" s="58">
        <v>45097</v>
      </c>
      <c r="O145" s="56" t="s">
        <v>123</v>
      </c>
      <c r="P145" s="58" t="s">
        <v>123</v>
      </c>
      <c r="Q145" s="58"/>
      <c r="R145" s="58"/>
      <c r="S145" s="59"/>
      <c r="T145" s="59"/>
      <c r="U145" s="58"/>
      <c r="V145" s="58"/>
      <c r="W145" s="59"/>
      <c r="X145" s="59"/>
      <c r="Y145" s="56"/>
      <c r="Z145" s="56"/>
      <c r="AA145" s="56" t="str">
        <f t="shared" si="2"/>
        <v/>
      </c>
    </row>
    <row r="146" spans="1:27" s="75" customFormat="1" ht="15" customHeight="1" x14ac:dyDescent="0.25">
      <c r="A146" s="60" t="s">
        <v>474</v>
      </c>
      <c r="B146" s="57" t="s">
        <v>475</v>
      </c>
      <c r="C146" s="57" t="s">
        <v>476</v>
      </c>
      <c r="D146" s="56" t="s">
        <v>477</v>
      </c>
      <c r="E146" s="56" t="s">
        <v>71</v>
      </c>
      <c r="F146" s="56" t="s">
        <v>67</v>
      </c>
      <c r="G146" s="56" t="s">
        <v>71</v>
      </c>
      <c r="H146" s="56" t="s">
        <v>155</v>
      </c>
      <c r="I146" s="56" t="s">
        <v>140</v>
      </c>
      <c r="J146" s="58">
        <v>45044</v>
      </c>
      <c r="K146" s="58">
        <v>45076</v>
      </c>
      <c r="L146" s="58">
        <v>45078</v>
      </c>
      <c r="M146" s="58">
        <v>45079</v>
      </c>
      <c r="N146" s="58">
        <v>45089</v>
      </c>
      <c r="O146" s="56" t="s">
        <v>123</v>
      </c>
      <c r="P146" s="58" t="s">
        <v>123</v>
      </c>
      <c r="Q146" s="58"/>
      <c r="R146" s="58"/>
      <c r="S146" s="56"/>
      <c r="T146" s="56"/>
      <c r="U146" s="58"/>
      <c r="V146" s="58"/>
      <c r="W146" s="56"/>
      <c r="X146" s="56"/>
      <c r="Y146" s="56"/>
      <c r="Z146" s="56"/>
      <c r="AA146" s="56" t="str">
        <f t="shared" si="2"/>
        <v/>
      </c>
    </row>
    <row r="147" spans="1:27" s="75" customFormat="1" ht="15" customHeight="1" x14ac:dyDescent="0.25">
      <c r="A147" s="60" t="s">
        <v>474</v>
      </c>
      <c r="B147" s="57" t="s">
        <v>475</v>
      </c>
      <c r="C147" s="57" t="s">
        <v>476</v>
      </c>
      <c r="D147" s="56" t="s">
        <v>477</v>
      </c>
      <c r="E147" s="56" t="s">
        <v>71</v>
      </c>
      <c r="F147" s="56" t="s">
        <v>67</v>
      </c>
      <c r="G147" s="76" t="s">
        <v>71</v>
      </c>
      <c r="H147" s="56" t="s">
        <v>155</v>
      </c>
      <c r="I147" s="56" t="s">
        <v>161</v>
      </c>
      <c r="J147" s="58">
        <v>45044</v>
      </c>
      <c r="K147" s="58">
        <v>45076</v>
      </c>
      <c r="L147" s="58">
        <v>45078</v>
      </c>
      <c r="M147" s="58">
        <v>45079</v>
      </c>
      <c r="N147" s="58">
        <v>45089</v>
      </c>
      <c r="O147" s="56" t="s">
        <v>123</v>
      </c>
      <c r="P147" s="58" t="s">
        <v>123</v>
      </c>
      <c r="Q147" s="58"/>
      <c r="R147" s="58"/>
      <c r="S147" s="59"/>
      <c r="T147" s="59"/>
      <c r="U147" s="58"/>
      <c r="V147" s="58"/>
      <c r="W147" s="59"/>
      <c r="X147" s="59"/>
      <c r="Y147" s="56"/>
      <c r="Z147" s="56"/>
      <c r="AA147" s="56" t="str">
        <f t="shared" si="2"/>
        <v/>
      </c>
    </row>
    <row r="148" spans="1:27" ht="15" customHeight="1" x14ac:dyDescent="0.25">
      <c r="A148" s="43" t="s">
        <v>478</v>
      </c>
      <c r="B148" s="41" t="s">
        <v>479</v>
      </c>
      <c r="C148" s="41" t="s">
        <v>480</v>
      </c>
      <c r="D148" s="40" t="s">
        <v>72</v>
      </c>
      <c r="E148" s="40" t="s">
        <v>86</v>
      </c>
      <c r="F148" s="40" t="s">
        <v>67</v>
      </c>
      <c r="G148" s="40" t="s">
        <v>68</v>
      </c>
      <c r="H148" s="40" t="s">
        <v>168</v>
      </c>
      <c r="I148" s="40" t="s">
        <v>176</v>
      </c>
      <c r="J148" s="42">
        <v>45055</v>
      </c>
      <c r="K148" s="42">
        <v>45103</v>
      </c>
      <c r="L148" s="42">
        <v>45105</v>
      </c>
      <c r="M148" s="42">
        <v>45097</v>
      </c>
      <c r="N148" s="42">
        <v>45098</v>
      </c>
      <c r="O148" s="40" t="s">
        <v>122</v>
      </c>
      <c r="P148" s="42" t="s">
        <v>122</v>
      </c>
      <c r="AA148" s="40" t="str">
        <f t="shared" si="2"/>
        <v/>
      </c>
    </row>
    <row r="149" spans="1:27" s="75" customFormat="1" ht="15" customHeight="1" x14ac:dyDescent="0.25">
      <c r="A149" s="60" t="s">
        <v>481</v>
      </c>
      <c r="B149" s="57" t="s">
        <v>482</v>
      </c>
      <c r="C149" s="57" t="s">
        <v>476</v>
      </c>
      <c r="D149" s="56" t="s">
        <v>477</v>
      </c>
      <c r="E149" s="56" t="s">
        <v>71</v>
      </c>
      <c r="F149" s="56" t="s">
        <v>67</v>
      </c>
      <c r="G149" s="76" t="s">
        <v>71</v>
      </c>
      <c r="H149" s="56" t="s">
        <v>155</v>
      </c>
      <c r="I149" s="56" t="s">
        <v>161</v>
      </c>
      <c r="J149" s="58">
        <v>45044</v>
      </c>
      <c r="K149" s="58">
        <v>45076</v>
      </c>
      <c r="L149" s="58">
        <v>45078</v>
      </c>
      <c r="M149" s="58">
        <v>45079</v>
      </c>
      <c r="N149" s="58">
        <v>45089</v>
      </c>
      <c r="O149" s="56" t="s">
        <v>123</v>
      </c>
      <c r="P149" s="58" t="s">
        <v>123</v>
      </c>
      <c r="Q149" s="58"/>
      <c r="R149" s="58"/>
      <c r="S149" s="59"/>
      <c r="T149" s="59"/>
      <c r="U149" s="58"/>
      <c r="V149" s="58"/>
      <c r="W149" s="59"/>
      <c r="X149" s="59"/>
      <c r="Y149" s="56"/>
      <c r="Z149" s="56"/>
      <c r="AA149" s="56" t="str">
        <f t="shared" si="2"/>
        <v/>
      </c>
    </row>
    <row r="150" spans="1:27" s="75" customFormat="1" ht="15" customHeight="1" x14ac:dyDescent="0.25">
      <c r="A150" s="60" t="s">
        <v>481</v>
      </c>
      <c r="B150" s="57" t="s">
        <v>482</v>
      </c>
      <c r="C150" s="57" t="s">
        <v>476</v>
      </c>
      <c r="D150" s="56" t="s">
        <v>477</v>
      </c>
      <c r="E150" s="56" t="s">
        <v>71</v>
      </c>
      <c r="F150" s="56" t="s">
        <v>67</v>
      </c>
      <c r="G150" s="56" t="s">
        <v>71</v>
      </c>
      <c r="H150" s="56" t="s">
        <v>155</v>
      </c>
      <c r="I150" s="56" t="s">
        <v>140</v>
      </c>
      <c r="J150" s="58">
        <v>45044</v>
      </c>
      <c r="K150" s="58">
        <v>45076</v>
      </c>
      <c r="L150" s="58">
        <v>45078</v>
      </c>
      <c r="M150" s="58">
        <v>45089</v>
      </c>
      <c r="N150" s="58">
        <v>45089</v>
      </c>
      <c r="O150" s="56" t="s">
        <v>123</v>
      </c>
      <c r="P150" s="58" t="s">
        <v>123</v>
      </c>
      <c r="Q150" s="58"/>
      <c r="R150" s="58"/>
      <c r="S150" s="56"/>
      <c r="T150" s="56"/>
      <c r="U150" s="58"/>
      <c r="V150" s="58"/>
      <c r="W150" s="56"/>
      <c r="X150" s="56"/>
      <c r="Y150" s="56"/>
      <c r="Z150" s="56"/>
      <c r="AA150" s="56" t="str">
        <f t="shared" si="2"/>
        <v/>
      </c>
    </row>
    <row r="151" spans="1:27" ht="15" customHeight="1" x14ac:dyDescent="0.25">
      <c r="A151" s="43" t="s">
        <v>483</v>
      </c>
      <c r="B151" s="41" t="s">
        <v>401</v>
      </c>
      <c r="C151" s="41" t="s">
        <v>484</v>
      </c>
      <c r="D151" s="40" t="s">
        <v>103</v>
      </c>
      <c r="E151" s="40" t="s">
        <v>86</v>
      </c>
      <c r="F151" s="40" t="s">
        <v>67</v>
      </c>
      <c r="G151" s="77" t="s">
        <v>68</v>
      </c>
      <c r="H151" s="40" t="s">
        <v>139</v>
      </c>
      <c r="I151" s="40" t="s">
        <v>156</v>
      </c>
      <c r="J151" s="42">
        <v>45068</v>
      </c>
      <c r="K151" s="42">
        <v>45091</v>
      </c>
      <c r="L151" s="42">
        <v>45093</v>
      </c>
      <c r="M151" s="42">
        <v>45091</v>
      </c>
      <c r="N151" s="42">
        <v>45093</v>
      </c>
      <c r="O151" s="40" t="s">
        <v>122</v>
      </c>
      <c r="P151" s="42" t="s">
        <v>122</v>
      </c>
      <c r="S151" s="49"/>
      <c r="T151" s="49"/>
      <c r="W151" s="49"/>
      <c r="X151" s="49"/>
      <c r="AA151" s="40" t="str">
        <f t="shared" si="2"/>
        <v/>
      </c>
    </row>
    <row r="152" spans="1:27" ht="15" customHeight="1" x14ac:dyDescent="0.25">
      <c r="A152" s="43" t="s">
        <v>485</v>
      </c>
      <c r="B152" s="41" t="s">
        <v>401</v>
      </c>
      <c r="C152" s="41" t="s">
        <v>486</v>
      </c>
      <c r="D152" s="40" t="s">
        <v>103</v>
      </c>
      <c r="E152" s="40" t="s">
        <v>86</v>
      </c>
      <c r="F152" s="40" t="s">
        <v>67</v>
      </c>
      <c r="G152" s="40" t="s">
        <v>68</v>
      </c>
      <c r="H152" s="40" t="s">
        <v>139</v>
      </c>
      <c r="I152" s="40" t="s">
        <v>156</v>
      </c>
      <c r="J152" s="42">
        <v>45068</v>
      </c>
      <c r="K152" s="42">
        <v>45091</v>
      </c>
      <c r="L152" s="42">
        <v>45093</v>
      </c>
      <c r="M152" s="42">
        <v>45091</v>
      </c>
      <c r="N152" s="42">
        <v>45093</v>
      </c>
      <c r="O152" s="40" t="s">
        <v>122</v>
      </c>
      <c r="P152" s="42" t="s">
        <v>122</v>
      </c>
      <c r="AA152" s="40" t="str">
        <f t="shared" si="2"/>
        <v/>
      </c>
    </row>
    <row r="153" spans="1:27" ht="15" customHeight="1" x14ac:dyDescent="0.25">
      <c r="A153" s="43" t="s">
        <v>487</v>
      </c>
      <c r="B153" s="41" t="s">
        <v>401</v>
      </c>
      <c r="C153" s="41" t="s">
        <v>488</v>
      </c>
      <c r="D153" s="40" t="s">
        <v>103</v>
      </c>
      <c r="E153" s="40" t="s">
        <v>86</v>
      </c>
      <c r="F153" s="40" t="s">
        <v>67</v>
      </c>
      <c r="G153" s="77" t="s">
        <v>68</v>
      </c>
      <c r="H153" s="40" t="s">
        <v>139</v>
      </c>
      <c r="I153" s="40" t="s">
        <v>156</v>
      </c>
      <c r="J153" s="42">
        <v>45068</v>
      </c>
      <c r="K153" s="42">
        <v>45091</v>
      </c>
      <c r="L153" s="42">
        <v>45093</v>
      </c>
      <c r="M153" s="42">
        <v>45093</v>
      </c>
      <c r="N153" s="42">
        <v>45093</v>
      </c>
      <c r="O153" s="40" t="s">
        <v>123</v>
      </c>
      <c r="P153" s="42" t="s">
        <v>122</v>
      </c>
      <c r="S153" s="49"/>
      <c r="T153" s="49"/>
      <c r="W153" s="49"/>
      <c r="X153" s="49"/>
      <c r="AA153" s="40" t="str">
        <f t="shared" si="2"/>
        <v/>
      </c>
    </row>
    <row r="154" spans="1:27" ht="15" customHeight="1" x14ac:dyDescent="0.25">
      <c r="A154" s="43" t="s">
        <v>489</v>
      </c>
      <c r="B154" s="41" t="s">
        <v>401</v>
      </c>
      <c r="C154" s="41" t="s">
        <v>490</v>
      </c>
      <c r="D154" s="40" t="s">
        <v>103</v>
      </c>
      <c r="E154" s="40" t="s">
        <v>86</v>
      </c>
      <c r="F154" s="40" t="s">
        <v>67</v>
      </c>
      <c r="G154" s="40" t="s">
        <v>68</v>
      </c>
      <c r="H154" s="40" t="s">
        <v>139</v>
      </c>
      <c r="I154" s="40" t="s">
        <v>156</v>
      </c>
      <c r="J154" s="42">
        <v>45068</v>
      </c>
      <c r="K154" s="42">
        <v>45091</v>
      </c>
      <c r="L154" s="42">
        <v>45093</v>
      </c>
      <c r="M154" s="42">
        <v>45091</v>
      </c>
      <c r="N154" s="42">
        <v>45093</v>
      </c>
      <c r="O154" s="40" t="s">
        <v>122</v>
      </c>
      <c r="P154" s="42" t="s">
        <v>122</v>
      </c>
      <c r="AA154" s="40" t="str">
        <f t="shared" si="2"/>
        <v/>
      </c>
    </row>
    <row r="155" spans="1:27" s="75" customFormat="1" ht="15" customHeight="1" x14ac:dyDescent="0.25">
      <c r="A155" s="60" t="s">
        <v>491</v>
      </c>
      <c r="B155" s="57" t="s">
        <v>401</v>
      </c>
      <c r="C155" s="57" t="s">
        <v>492</v>
      </c>
      <c r="D155" s="56" t="s">
        <v>103</v>
      </c>
      <c r="E155" s="56" t="s">
        <v>86</v>
      </c>
      <c r="F155" s="56" t="s">
        <v>67</v>
      </c>
      <c r="G155" s="76" t="s">
        <v>68</v>
      </c>
      <c r="H155" s="56" t="s">
        <v>155</v>
      </c>
      <c r="I155" s="56" t="s">
        <v>156</v>
      </c>
      <c r="J155" s="58">
        <v>45068</v>
      </c>
      <c r="K155" s="58">
        <v>45091</v>
      </c>
      <c r="L155" s="58">
        <v>45093</v>
      </c>
      <c r="M155" s="58">
        <v>45091</v>
      </c>
      <c r="N155" s="58">
        <v>45100</v>
      </c>
      <c r="O155" s="56" t="s">
        <v>122</v>
      </c>
      <c r="P155" s="58" t="s">
        <v>123</v>
      </c>
      <c r="Q155" s="58"/>
      <c r="R155" s="58"/>
      <c r="S155" s="59"/>
      <c r="T155" s="59"/>
      <c r="U155" s="58"/>
      <c r="V155" s="58"/>
      <c r="W155" s="59"/>
      <c r="X155" s="59"/>
      <c r="Y155" s="56"/>
      <c r="Z155" s="56"/>
      <c r="AA155" s="56" t="str">
        <f t="shared" si="2"/>
        <v/>
      </c>
    </row>
    <row r="156" spans="1:27" ht="15" customHeight="1" x14ac:dyDescent="0.25">
      <c r="A156" s="43" t="s">
        <v>493</v>
      </c>
      <c r="B156" s="41" t="s">
        <v>401</v>
      </c>
      <c r="C156" s="41" t="s">
        <v>494</v>
      </c>
      <c r="D156" s="40" t="s">
        <v>103</v>
      </c>
      <c r="E156" s="40" t="s">
        <v>86</v>
      </c>
      <c r="F156" s="40" t="s">
        <v>67</v>
      </c>
      <c r="G156" s="40" t="s">
        <v>68</v>
      </c>
      <c r="H156" s="40" t="s">
        <v>139</v>
      </c>
      <c r="I156" s="40" t="s">
        <v>156</v>
      </c>
      <c r="J156" s="42">
        <v>45068</v>
      </c>
      <c r="K156" s="42">
        <v>45091</v>
      </c>
      <c r="L156" s="42">
        <v>45093</v>
      </c>
      <c r="M156" s="42">
        <v>45091</v>
      </c>
      <c r="N156" s="42">
        <v>45093</v>
      </c>
      <c r="O156" s="40" t="s">
        <v>122</v>
      </c>
      <c r="P156" s="42" t="s">
        <v>122</v>
      </c>
      <c r="AA156" s="40" t="str">
        <f t="shared" si="2"/>
        <v/>
      </c>
    </row>
    <row r="157" spans="1:27" ht="15" customHeight="1" x14ac:dyDescent="0.25">
      <c r="A157" s="43" t="s">
        <v>495</v>
      </c>
      <c r="B157" s="41" t="s">
        <v>401</v>
      </c>
      <c r="C157" s="41" t="s">
        <v>496</v>
      </c>
      <c r="D157" s="40" t="s">
        <v>497</v>
      </c>
      <c r="E157" s="40" t="s">
        <v>86</v>
      </c>
      <c r="F157" s="40" t="s">
        <v>67</v>
      </c>
      <c r="G157" s="77" t="s">
        <v>68</v>
      </c>
      <c r="H157" s="40" t="s">
        <v>139</v>
      </c>
      <c r="I157" s="40" t="s">
        <v>156</v>
      </c>
      <c r="J157" s="42">
        <v>45068</v>
      </c>
      <c r="K157" s="42">
        <v>45091</v>
      </c>
      <c r="L157" s="42">
        <v>45093</v>
      </c>
      <c r="M157" s="42">
        <v>45091</v>
      </c>
      <c r="N157" s="42">
        <v>45093</v>
      </c>
      <c r="O157" s="40" t="s">
        <v>122</v>
      </c>
      <c r="P157" s="42" t="s">
        <v>122</v>
      </c>
      <c r="S157" s="49"/>
      <c r="T157" s="49"/>
      <c r="W157" s="49"/>
      <c r="X157" s="49"/>
      <c r="AA157" s="40" t="str">
        <f t="shared" si="2"/>
        <v/>
      </c>
    </row>
    <row r="158" spans="1:27" ht="15" customHeight="1" x14ac:dyDescent="0.25">
      <c r="A158" s="43" t="s">
        <v>498</v>
      </c>
      <c r="B158" s="41" t="s">
        <v>401</v>
      </c>
      <c r="C158" s="41" t="s">
        <v>499</v>
      </c>
      <c r="D158" s="40" t="s">
        <v>103</v>
      </c>
      <c r="E158" s="40" t="s">
        <v>86</v>
      </c>
      <c r="F158" s="40" t="s">
        <v>67</v>
      </c>
      <c r="G158" s="40" t="s">
        <v>68</v>
      </c>
      <c r="H158" s="40" t="s">
        <v>139</v>
      </c>
      <c r="I158" s="40" t="s">
        <v>156</v>
      </c>
      <c r="J158" s="42">
        <v>45068</v>
      </c>
      <c r="K158" s="42">
        <v>45091</v>
      </c>
      <c r="L158" s="42">
        <v>45093</v>
      </c>
      <c r="M158" s="42">
        <v>45091</v>
      </c>
      <c r="N158" s="42">
        <v>45093</v>
      </c>
      <c r="O158" s="40" t="s">
        <v>122</v>
      </c>
      <c r="P158" s="42" t="s">
        <v>122</v>
      </c>
      <c r="AA158" s="40" t="str">
        <f t="shared" si="2"/>
        <v/>
      </c>
    </row>
    <row r="159" spans="1:27" s="75" customFormat="1" ht="15" customHeight="1" x14ac:dyDescent="0.25">
      <c r="A159" s="60" t="s">
        <v>500</v>
      </c>
      <c r="B159" s="57" t="s">
        <v>401</v>
      </c>
      <c r="C159" s="57" t="s">
        <v>501</v>
      </c>
      <c r="D159" s="56" t="s">
        <v>103</v>
      </c>
      <c r="E159" s="56" t="s">
        <v>86</v>
      </c>
      <c r="F159" s="56" t="s">
        <v>67</v>
      </c>
      <c r="G159" s="76" t="s">
        <v>68</v>
      </c>
      <c r="H159" s="56" t="s">
        <v>155</v>
      </c>
      <c r="I159" s="56" t="s">
        <v>156</v>
      </c>
      <c r="J159" s="58">
        <v>45068</v>
      </c>
      <c r="K159" s="58">
        <v>45091</v>
      </c>
      <c r="L159" s="58">
        <v>45093</v>
      </c>
      <c r="M159" s="58">
        <v>45091</v>
      </c>
      <c r="N159" s="58">
        <v>45100</v>
      </c>
      <c r="O159" s="56" t="s">
        <v>122</v>
      </c>
      <c r="P159" s="58" t="s">
        <v>123</v>
      </c>
      <c r="Q159" s="58"/>
      <c r="R159" s="58"/>
      <c r="S159" s="59"/>
      <c r="T159" s="59"/>
      <c r="U159" s="58"/>
      <c r="V159" s="58"/>
      <c r="W159" s="59"/>
      <c r="X159" s="59"/>
      <c r="Y159" s="56"/>
      <c r="Z159" s="56"/>
      <c r="AA159" s="56" t="str">
        <f t="shared" si="2"/>
        <v/>
      </c>
    </row>
    <row r="160" spans="1:27" ht="15" customHeight="1" x14ac:dyDescent="0.25">
      <c r="A160" s="43" t="s">
        <v>502</v>
      </c>
      <c r="B160" s="41" t="s">
        <v>401</v>
      </c>
      <c r="C160" s="41" t="s">
        <v>503</v>
      </c>
      <c r="D160" s="40" t="s">
        <v>103</v>
      </c>
      <c r="E160" s="40" t="s">
        <v>86</v>
      </c>
      <c r="F160" s="40" t="s">
        <v>67</v>
      </c>
      <c r="G160" s="40" t="s">
        <v>68</v>
      </c>
      <c r="H160" s="40" t="s">
        <v>139</v>
      </c>
      <c r="I160" s="40" t="s">
        <v>156</v>
      </c>
      <c r="J160" s="42">
        <v>45068</v>
      </c>
      <c r="K160" s="42">
        <v>45091</v>
      </c>
      <c r="L160" s="42">
        <v>45093</v>
      </c>
      <c r="M160" s="42">
        <v>45091</v>
      </c>
      <c r="N160" s="42">
        <v>45093</v>
      </c>
      <c r="O160" s="40" t="s">
        <v>122</v>
      </c>
      <c r="P160" s="42" t="s">
        <v>122</v>
      </c>
      <c r="AA160" s="40" t="str">
        <f t="shared" si="2"/>
        <v/>
      </c>
    </row>
    <row r="161" spans="1:27" ht="15" customHeight="1" x14ac:dyDescent="0.25">
      <c r="A161" s="43" t="s">
        <v>504</v>
      </c>
      <c r="B161" s="41" t="s">
        <v>401</v>
      </c>
      <c r="C161" s="41" t="s">
        <v>505</v>
      </c>
      <c r="D161" s="40" t="s">
        <v>103</v>
      </c>
      <c r="E161" s="40" t="s">
        <v>86</v>
      </c>
      <c r="F161" s="40" t="s">
        <v>67</v>
      </c>
      <c r="G161" s="77" t="s">
        <v>68</v>
      </c>
      <c r="H161" s="40" t="s">
        <v>139</v>
      </c>
      <c r="I161" s="40" t="s">
        <v>156</v>
      </c>
      <c r="J161" s="42">
        <v>45068</v>
      </c>
      <c r="K161" s="42">
        <v>45091</v>
      </c>
      <c r="L161" s="42">
        <v>45093</v>
      </c>
      <c r="M161" s="42">
        <v>45091</v>
      </c>
      <c r="N161" s="42">
        <v>45093</v>
      </c>
      <c r="O161" s="40" t="s">
        <v>122</v>
      </c>
      <c r="P161" s="42" t="s">
        <v>122</v>
      </c>
      <c r="S161" s="49"/>
      <c r="T161" s="49"/>
      <c r="W161" s="49"/>
      <c r="X161" s="49"/>
      <c r="AA161" s="40" t="str">
        <f t="shared" si="2"/>
        <v/>
      </c>
    </row>
    <row r="162" spans="1:27" ht="15" customHeight="1" x14ac:dyDescent="0.25">
      <c r="A162" s="43" t="s">
        <v>506</v>
      </c>
      <c r="B162" s="41" t="s">
        <v>507</v>
      </c>
      <c r="C162" s="41" t="s">
        <v>508</v>
      </c>
      <c r="D162" s="40" t="s">
        <v>509</v>
      </c>
      <c r="E162" s="40" t="s">
        <v>71</v>
      </c>
      <c r="F162" s="40" t="s">
        <v>67</v>
      </c>
      <c r="G162" s="40" t="s">
        <v>68</v>
      </c>
      <c r="H162" s="40" t="s">
        <v>155</v>
      </c>
      <c r="I162" s="40" t="s">
        <v>140</v>
      </c>
      <c r="J162" s="42">
        <v>45058</v>
      </c>
      <c r="K162" s="42">
        <v>45076</v>
      </c>
      <c r="L162" s="42">
        <v>45078</v>
      </c>
      <c r="M162" s="42">
        <v>45076</v>
      </c>
      <c r="N162" s="42">
        <v>45078</v>
      </c>
      <c r="O162" s="40" t="s">
        <v>122</v>
      </c>
      <c r="P162" s="42" t="s">
        <v>122</v>
      </c>
      <c r="AA162" s="40" t="str">
        <f t="shared" si="2"/>
        <v/>
      </c>
    </row>
    <row r="163" spans="1:27" ht="15" customHeight="1" x14ac:dyDescent="0.25">
      <c r="A163" s="43" t="s">
        <v>510</v>
      </c>
      <c r="B163" s="41" t="s">
        <v>507</v>
      </c>
      <c r="C163" s="41" t="s">
        <v>511</v>
      </c>
      <c r="E163" s="40" t="s">
        <v>71</v>
      </c>
      <c r="F163" s="40" t="s">
        <v>67</v>
      </c>
      <c r="G163" s="77" t="s">
        <v>68</v>
      </c>
      <c r="H163" s="40" t="s">
        <v>155</v>
      </c>
      <c r="I163" s="40" t="s">
        <v>140</v>
      </c>
      <c r="J163" s="42">
        <v>45058</v>
      </c>
      <c r="K163" s="42">
        <v>45076</v>
      </c>
      <c r="L163" s="42">
        <v>45078</v>
      </c>
      <c r="M163" s="42">
        <v>45076</v>
      </c>
      <c r="N163" s="42">
        <v>45078</v>
      </c>
      <c r="O163" s="40" t="s">
        <v>122</v>
      </c>
      <c r="P163" s="42" t="s">
        <v>122</v>
      </c>
      <c r="S163" s="49"/>
      <c r="T163" s="49"/>
      <c r="W163" s="49"/>
      <c r="X163" s="49"/>
      <c r="AA163" s="40" t="str">
        <f t="shared" si="2"/>
        <v/>
      </c>
    </row>
    <row r="164" spans="1:27" ht="15" customHeight="1" x14ac:dyDescent="0.25">
      <c r="A164" s="43" t="s">
        <v>512</v>
      </c>
      <c r="B164" s="41" t="s">
        <v>507</v>
      </c>
      <c r="C164" s="41" t="s">
        <v>513</v>
      </c>
      <c r="D164" s="40" t="s">
        <v>509</v>
      </c>
      <c r="E164" s="40" t="s">
        <v>71</v>
      </c>
      <c r="F164" s="40" t="s">
        <v>67</v>
      </c>
      <c r="G164" s="40" t="s">
        <v>68</v>
      </c>
      <c r="H164" s="40" t="s">
        <v>155</v>
      </c>
      <c r="I164" s="40" t="s">
        <v>140</v>
      </c>
      <c r="J164" s="42">
        <v>45058</v>
      </c>
      <c r="K164" s="42">
        <v>45076</v>
      </c>
      <c r="L164" s="42">
        <v>45078</v>
      </c>
      <c r="M164" s="42">
        <v>45076</v>
      </c>
      <c r="N164" s="42">
        <v>45078</v>
      </c>
      <c r="O164" s="40" t="s">
        <v>122</v>
      </c>
      <c r="P164" s="42" t="s">
        <v>122</v>
      </c>
      <c r="AA164" s="40" t="str">
        <f t="shared" si="2"/>
        <v/>
      </c>
    </row>
    <row r="165" spans="1:27" ht="15" customHeight="1" x14ac:dyDescent="0.25">
      <c r="A165" s="43" t="s">
        <v>514</v>
      </c>
      <c r="B165" s="41" t="s">
        <v>507</v>
      </c>
      <c r="C165" s="41" t="s">
        <v>515</v>
      </c>
      <c r="D165" s="40" t="s">
        <v>509</v>
      </c>
      <c r="E165" s="40" t="s">
        <v>71</v>
      </c>
      <c r="F165" s="40" t="s">
        <v>67</v>
      </c>
      <c r="G165" s="77" t="s">
        <v>68</v>
      </c>
      <c r="H165" s="40" t="s">
        <v>155</v>
      </c>
      <c r="I165" s="40" t="s">
        <v>140</v>
      </c>
      <c r="J165" s="42">
        <v>45058</v>
      </c>
      <c r="K165" s="42">
        <v>45076</v>
      </c>
      <c r="L165" s="42">
        <v>45078</v>
      </c>
      <c r="M165" s="42">
        <v>45076</v>
      </c>
      <c r="N165" s="42">
        <v>45078</v>
      </c>
      <c r="O165" s="40" t="s">
        <v>122</v>
      </c>
      <c r="P165" s="42" t="s">
        <v>122</v>
      </c>
      <c r="S165" s="49"/>
      <c r="T165" s="49"/>
      <c r="W165" s="49"/>
      <c r="X165" s="49"/>
      <c r="AA165" s="40" t="str">
        <f t="shared" si="2"/>
        <v/>
      </c>
    </row>
    <row r="166" spans="1:27" ht="15" customHeight="1" x14ac:dyDescent="0.25">
      <c r="A166" s="43" t="s">
        <v>516</v>
      </c>
      <c r="B166" s="41" t="s">
        <v>517</v>
      </c>
      <c r="C166" s="41" t="s">
        <v>518</v>
      </c>
      <c r="D166" s="40" t="s">
        <v>72</v>
      </c>
      <c r="E166" s="40" t="s">
        <v>86</v>
      </c>
      <c r="F166" s="40" t="s">
        <v>67</v>
      </c>
      <c r="G166" s="40" t="s">
        <v>68</v>
      </c>
      <c r="H166" s="40" t="s">
        <v>168</v>
      </c>
      <c r="I166" s="40" t="s">
        <v>176</v>
      </c>
      <c r="J166" s="42">
        <v>45062</v>
      </c>
      <c r="K166" s="42">
        <v>45110</v>
      </c>
      <c r="L166" s="42">
        <v>45112</v>
      </c>
      <c r="M166" s="42">
        <v>45103</v>
      </c>
      <c r="N166" s="42">
        <v>45106</v>
      </c>
      <c r="O166" s="40" t="s">
        <v>122</v>
      </c>
      <c r="P166" s="42" t="s">
        <v>122</v>
      </c>
      <c r="AA166" s="40" t="str">
        <f t="shared" si="2"/>
        <v/>
      </c>
    </row>
    <row r="167" spans="1:27" ht="15" customHeight="1" x14ac:dyDescent="0.25">
      <c r="A167" s="43" t="s">
        <v>519</v>
      </c>
      <c r="B167" s="41" t="s">
        <v>517</v>
      </c>
      <c r="C167" s="41" t="s">
        <v>520</v>
      </c>
      <c r="D167" s="40" t="s">
        <v>72</v>
      </c>
      <c r="E167" s="40" t="s">
        <v>86</v>
      </c>
      <c r="F167" s="40" t="s">
        <v>67</v>
      </c>
      <c r="G167" s="40" t="s">
        <v>68</v>
      </c>
      <c r="H167" s="40" t="s">
        <v>168</v>
      </c>
      <c r="I167" s="40" t="s">
        <v>176</v>
      </c>
      <c r="J167" s="42">
        <v>45062</v>
      </c>
      <c r="K167" s="42">
        <v>45110</v>
      </c>
      <c r="L167" s="42">
        <v>45112</v>
      </c>
      <c r="M167" s="42">
        <v>45103</v>
      </c>
      <c r="N167" s="42">
        <v>45106</v>
      </c>
      <c r="O167" s="40" t="s">
        <v>122</v>
      </c>
      <c r="P167" s="42" t="s">
        <v>122</v>
      </c>
      <c r="S167" s="49"/>
      <c r="T167" s="49"/>
      <c r="W167" s="49"/>
      <c r="X167" s="49"/>
      <c r="AA167" s="40" t="str">
        <f t="shared" si="2"/>
        <v/>
      </c>
    </row>
    <row r="168" spans="1:27" ht="15" customHeight="1" x14ac:dyDescent="0.25">
      <c r="A168" s="43" t="s">
        <v>104</v>
      </c>
      <c r="B168" s="41" t="s">
        <v>105</v>
      </c>
      <c r="C168" s="41" t="s">
        <v>183</v>
      </c>
      <c r="D168" s="40" t="s">
        <v>106</v>
      </c>
      <c r="E168" s="40" t="s">
        <v>86</v>
      </c>
      <c r="F168" s="40" t="s">
        <v>67</v>
      </c>
      <c r="G168" s="40" t="s">
        <v>89</v>
      </c>
      <c r="H168" s="40" t="s">
        <v>168</v>
      </c>
      <c r="I168" s="40" t="s">
        <v>176</v>
      </c>
      <c r="J168" s="42">
        <v>45061</v>
      </c>
      <c r="K168" s="42">
        <v>45082</v>
      </c>
      <c r="L168" s="42">
        <v>45084</v>
      </c>
      <c r="M168" s="42">
        <v>45082</v>
      </c>
      <c r="N168" s="42">
        <v>45083</v>
      </c>
      <c r="O168" s="40" t="s">
        <v>122</v>
      </c>
      <c r="P168" s="42" t="s">
        <v>122</v>
      </c>
      <c r="AA168" s="40" t="str">
        <f t="shared" si="2"/>
        <v/>
      </c>
    </row>
    <row r="169" spans="1:27" ht="15" customHeight="1" x14ac:dyDescent="0.25">
      <c r="A169" s="43" t="s">
        <v>521</v>
      </c>
      <c r="B169" s="41" t="s">
        <v>522</v>
      </c>
      <c r="C169" s="41" t="s">
        <v>523</v>
      </c>
      <c r="D169" s="40" t="s">
        <v>75</v>
      </c>
      <c r="E169" s="40" t="s">
        <v>86</v>
      </c>
      <c r="F169" s="40" t="s">
        <v>67</v>
      </c>
      <c r="G169" s="77" t="s">
        <v>68</v>
      </c>
      <c r="H169" s="40" t="s">
        <v>160</v>
      </c>
      <c r="I169" s="40" t="s">
        <v>176</v>
      </c>
      <c r="J169" s="42">
        <v>45075</v>
      </c>
      <c r="K169" s="42">
        <v>45119</v>
      </c>
      <c r="L169" s="42">
        <v>45121</v>
      </c>
      <c r="M169" s="42">
        <v>45085</v>
      </c>
      <c r="N169" s="42">
        <v>45100</v>
      </c>
      <c r="O169" s="40" t="s">
        <v>122</v>
      </c>
      <c r="P169" s="42" t="s">
        <v>122</v>
      </c>
      <c r="S169" s="49"/>
      <c r="T169" s="49"/>
      <c r="W169" s="49"/>
      <c r="X169" s="49"/>
      <c r="AA169" s="40" t="str">
        <f t="shared" si="2"/>
        <v/>
      </c>
    </row>
    <row r="170" spans="1:27" ht="15" customHeight="1" x14ac:dyDescent="0.25">
      <c r="A170" s="43" t="s">
        <v>524</v>
      </c>
      <c r="B170" s="41" t="s">
        <v>522</v>
      </c>
      <c r="C170" s="41" t="s">
        <v>525</v>
      </c>
      <c r="D170" s="40" t="s">
        <v>75</v>
      </c>
      <c r="E170" s="40" t="s">
        <v>86</v>
      </c>
      <c r="F170" s="40" t="s">
        <v>67</v>
      </c>
      <c r="G170" s="40" t="s">
        <v>68</v>
      </c>
      <c r="H170" s="40" t="s">
        <v>160</v>
      </c>
      <c r="I170" s="40" t="s">
        <v>176</v>
      </c>
      <c r="J170" s="42">
        <v>45075</v>
      </c>
      <c r="K170" s="42">
        <v>45119</v>
      </c>
      <c r="L170" s="42">
        <v>45121</v>
      </c>
      <c r="M170" s="42">
        <v>45085</v>
      </c>
      <c r="N170" s="42">
        <v>45100</v>
      </c>
      <c r="O170" s="40" t="s">
        <v>122</v>
      </c>
      <c r="P170" s="42" t="s">
        <v>122</v>
      </c>
      <c r="AA170" s="40" t="str">
        <f t="shared" si="2"/>
        <v/>
      </c>
    </row>
    <row r="171" spans="1:27" s="75" customFormat="1" ht="15" customHeight="1" x14ac:dyDescent="0.25">
      <c r="A171" s="60" t="s">
        <v>526</v>
      </c>
      <c r="B171" s="57" t="s">
        <v>527</v>
      </c>
      <c r="C171" s="57" t="s">
        <v>528</v>
      </c>
      <c r="D171" s="56" t="s">
        <v>529</v>
      </c>
      <c r="E171" s="56" t="s">
        <v>89</v>
      </c>
      <c r="F171" s="56" t="s">
        <v>67</v>
      </c>
      <c r="G171" s="76" t="s">
        <v>89</v>
      </c>
      <c r="H171" s="56" t="s">
        <v>155</v>
      </c>
      <c r="I171" s="56" t="s">
        <v>156</v>
      </c>
      <c r="J171" s="58">
        <v>45054</v>
      </c>
      <c r="K171" s="58">
        <v>45061</v>
      </c>
      <c r="L171" s="58">
        <v>45063</v>
      </c>
      <c r="M171" s="58">
        <v>45078</v>
      </c>
      <c r="N171" s="58">
        <v>45078</v>
      </c>
      <c r="O171" s="56" t="s">
        <v>123</v>
      </c>
      <c r="P171" s="58" t="s">
        <v>123</v>
      </c>
      <c r="Q171" s="58"/>
      <c r="R171" s="58"/>
      <c r="S171" s="59"/>
      <c r="T171" s="59"/>
      <c r="U171" s="58"/>
      <c r="V171" s="58"/>
      <c r="W171" s="59"/>
      <c r="X171" s="59"/>
      <c r="Y171" s="56"/>
      <c r="Z171" s="56"/>
      <c r="AA171" s="56" t="str">
        <f t="shared" si="2"/>
        <v/>
      </c>
    </row>
    <row r="172" spans="1:27" s="75" customFormat="1" ht="15" customHeight="1" x14ac:dyDescent="0.25">
      <c r="A172" s="60" t="s">
        <v>530</v>
      </c>
      <c r="B172" s="57" t="s">
        <v>527</v>
      </c>
      <c r="C172" s="57" t="s">
        <v>528</v>
      </c>
      <c r="D172" s="56" t="s">
        <v>529</v>
      </c>
      <c r="E172" s="56" t="s">
        <v>89</v>
      </c>
      <c r="F172" s="56" t="s">
        <v>67</v>
      </c>
      <c r="G172" s="56" t="s">
        <v>89</v>
      </c>
      <c r="H172" s="56" t="s">
        <v>155</v>
      </c>
      <c r="I172" s="56" t="s">
        <v>156</v>
      </c>
      <c r="J172" s="58">
        <v>45056</v>
      </c>
      <c r="K172" s="58">
        <v>45061</v>
      </c>
      <c r="L172" s="58">
        <v>45063</v>
      </c>
      <c r="M172" s="58">
        <v>45078</v>
      </c>
      <c r="N172" s="58">
        <v>45078</v>
      </c>
      <c r="O172" s="56" t="s">
        <v>123</v>
      </c>
      <c r="P172" s="58" t="s">
        <v>123</v>
      </c>
      <c r="Q172" s="58"/>
      <c r="R172" s="58"/>
      <c r="S172" s="56"/>
      <c r="T172" s="56"/>
      <c r="U172" s="58"/>
      <c r="V172" s="58"/>
      <c r="W172" s="56"/>
      <c r="X172" s="56"/>
      <c r="Y172" s="56"/>
      <c r="Z172" s="56"/>
      <c r="AA172" s="56" t="str">
        <f t="shared" si="2"/>
        <v/>
      </c>
    </row>
    <row r="173" spans="1:27" ht="15" customHeight="1" x14ac:dyDescent="0.25">
      <c r="A173" s="43" t="s">
        <v>531</v>
      </c>
      <c r="B173" s="41" t="s">
        <v>532</v>
      </c>
      <c r="C173" s="41" t="s">
        <v>533</v>
      </c>
      <c r="D173" s="40" t="s">
        <v>534</v>
      </c>
      <c r="E173" s="40" t="s">
        <v>71</v>
      </c>
      <c r="F173" s="40" t="s">
        <v>67</v>
      </c>
      <c r="G173" s="40" t="s">
        <v>68</v>
      </c>
      <c r="H173" s="40" t="s">
        <v>155</v>
      </c>
      <c r="I173" s="40" t="s">
        <v>188</v>
      </c>
      <c r="J173" s="42">
        <v>45051</v>
      </c>
      <c r="K173" s="42">
        <v>45075</v>
      </c>
      <c r="L173" s="42">
        <v>45077</v>
      </c>
      <c r="M173" s="42">
        <v>45075</v>
      </c>
      <c r="N173" s="42">
        <v>45078</v>
      </c>
      <c r="O173" s="40" t="s">
        <v>122</v>
      </c>
      <c r="P173" s="42" t="s">
        <v>122</v>
      </c>
      <c r="S173" s="49"/>
      <c r="T173" s="49"/>
      <c r="W173" s="49"/>
      <c r="X173" s="49"/>
      <c r="AA173" s="40" t="str">
        <f t="shared" si="2"/>
        <v/>
      </c>
    </row>
    <row r="174" spans="1:27" ht="15" customHeight="1" x14ac:dyDescent="0.25">
      <c r="A174" s="43" t="s">
        <v>531</v>
      </c>
      <c r="B174" s="41" t="s">
        <v>532</v>
      </c>
      <c r="C174" s="41" t="s">
        <v>533</v>
      </c>
      <c r="D174" s="40" t="s">
        <v>534</v>
      </c>
      <c r="E174" s="40" t="s">
        <v>71</v>
      </c>
      <c r="F174" s="40" t="s">
        <v>67</v>
      </c>
      <c r="G174" s="40" t="s">
        <v>68</v>
      </c>
      <c r="H174" s="40" t="s">
        <v>155</v>
      </c>
      <c r="I174" s="40" t="s">
        <v>161</v>
      </c>
      <c r="J174" s="42">
        <v>45051</v>
      </c>
      <c r="K174" s="42">
        <v>45075</v>
      </c>
      <c r="L174" s="42">
        <v>45077</v>
      </c>
      <c r="M174" s="42">
        <v>45077</v>
      </c>
      <c r="N174" s="42">
        <v>45078</v>
      </c>
      <c r="O174" s="40" t="s">
        <v>123</v>
      </c>
      <c r="P174" s="42" t="s">
        <v>122</v>
      </c>
      <c r="AA174" s="40" t="str">
        <f t="shared" si="2"/>
        <v/>
      </c>
    </row>
    <row r="175" spans="1:27" ht="15" customHeight="1" x14ac:dyDescent="0.25">
      <c r="A175" s="43" t="s">
        <v>535</v>
      </c>
      <c r="B175" s="41" t="s">
        <v>536</v>
      </c>
      <c r="C175" s="41" t="s">
        <v>537</v>
      </c>
      <c r="D175" s="40" t="s">
        <v>538</v>
      </c>
      <c r="E175" s="40" t="s">
        <v>71</v>
      </c>
      <c r="F175" s="40" t="s">
        <v>67</v>
      </c>
      <c r="G175" s="77" t="s">
        <v>68</v>
      </c>
      <c r="H175" s="40" t="s">
        <v>168</v>
      </c>
      <c r="I175" s="40" t="s">
        <v>539</v>
      </c>
      <c r="J175" s="42">
        <v>45065</v>
      </c>
      <c r="K175" s="42">
        <v>45103</v>
      </c>
      <c r="L175" s="42">
        <v>45105</v>
      </c>
      <c r="M175" s="42">
        <v>45082</v>
      </c>
      <c r="N175" s="42">
        <v>45096</v>
      </c>
      <c r="O175" s="40" t="s">
        <v>122</v>
      </c>
      <c r="P175" s="42" t="s">
        <v>122</v>
      </c>
      <c r="S175" s="49"/>
      <c r="T175" s="49"/>
      <c r="W175" s="49"/>
      <c r="X175" s="49"/>
      <c r="AA175" s="40" t="str">
        <f t="shared" si="2"/>
        <v/>
      </c>
    </row>
    <row r="176" spans="1:27" ht="15" customHeight="1" x14ac:dyDescent="0.25">
      <c r="A176" s="43" t="s">
        <v>540</v>
      </c>
      <c r="B176" s="41" t="s">
        <v>536</v>
      </c>
      <c r="C176" s="41" t="s">
        <v>541</v>
      </c>
      <c r="D176" s="40" t="s">
        <v>538</v>
      </c>
      <c r="E176" s="40" t="s">
        <v>71</v>
      </c>
      <c r="F176" s="40" t="s">
        <v>67</v>
      </c>
      <c r="G176" s="40" t="s">
        <v>68</v>
      </c>
      <c r="H176" s="40" t="s">
        <v>168</v>
      </c>
      <c r="I176" s="40" t="s">
        <v>539</v>
      </c>
      <c r="J176" s="42">
        <v>45065</v>
      </c>
      <c r="K176" s="42">
        <v>45103</v>
      </c>
      <c r="L176" s="42">
        <v>45105</v>
      </c>
      <c r="M176" s="42">
        <v>45082</v>
      </c>
      <c r="N176" s="42">
        <v>45097</v>
      </c>
      <c r="O176" s="40" t="s">
        <v>122</v>
      </c>
      <c r="P176" s="42" t="s">
        <v>122</v>
      </c>
      <c r="AA176" s="40" t="str">
        <f t="shared" si="2"/>
        <v/>
      </c>
    </row>
    <row r="177" spans="1:27" ht="15" customHeight="1" x14ac:dyDescent="0.25">
      <c r="A177" s="43" t="s">
        <v>542</v>
      </c>
      <c r="B177" s="41" t="s">
        <v>536</v>
      </c>
      <c r="C177" s="41" t="s">
        <v>543</v>
      </c>
      <c r="D177" s="40" t="s">
        <v>538</v>
      </c>
      <c r="E177" s="40" t="s">
        <v>71</v>
      </c>
      <c r="F177" s="40" t="s">
        <v>67</v>
      </c>
      <c r="G177" s="40" t="s">
        <v>68</v>
      </c>
      <c r="H177" s="40" t="s">
        <v>168</v>
      </c>
      <c r="I177" s="40" t="s">
        <v>539</v>
      </c>
      <c r="J177" s="42">
        <v>45065</v>
      </c>
      <c r="K177" s="42">
        <v>45103</v>
      </c>
      <c r="L177" s="42">
        <v>45105</v>
      </c>
      <c r="M177" s="42">
        <v>45083</v>
      </c>
      <c r="N177" s="42">
        <v>45096</v>
      </c>
      <c r="O177" s="40" t="s">
        <v>122</v>
      </c>
      <c r="P177" s="42" t="s">
        <v>122</v>
      </c>
      <c r="S177" s="49"/>
      <c r="T177" s="49"/>
      <c r="W177" s="49"/>
      <c r="X177" s="49"/>
      <c r="AA177" s="40" t="str">
        <f t="shared" si="2"/>
        <v/>
      </c>
    </row>
    <row r="178" spans="1:27" ht="15" customHeight="1" x14ac:dyDescent="0.25">
      <c r="A178" s="43" t="s">
        <v>544</v>
      </c>
      <c r="B178" s="41" t="s">
        <v>536</v>
      </c>
      <c r="C178" s="41" t="s">
        <v>545</v>
      </c>
      <c r="D178" s="40" t="s">
        <v>538</v>
      </c>
      <c r="E178" s="40" t="s">
        <v>71</v>
      </c>
      <c r="F178" s="40" t="s">
        <v>67</v>
      </c>
      <c r="G178" s="40" t="s">
        <v>68</v>
      </c>
      <c r="H178" s="40" t="s">
        <v>168</v>
      </c>
      <c r="I178" s="40" t="s">
        <v>539</v>
      </c>
      <c r="J178" s="42">
        <v>45065</v>
      </c>
      <c r="K178" s="42">
        <v>45103</v>
      </c>
      <c r="L178" s="42">
        <v>45105</v>
      </c>
      <c r="M178" s="42">
        <v>45083</v>
      </c>
      <c r="N178" s="42">
        <v>45096</v>
      </c>
      <c r="O178" s="40" t="s">
        <v>122</v>
      </c>
      <c r="P178" s="42" t="s">
        <v>122</v>
      </c>
      <c r="AA178" s="40" t="str">
        <f t="shared" si="2"/>
        <v/>
      </c>
    </row>
    <row r="179" spans="1:27" ht="15" customHeight="1" x14ac:dyDescent="0.25">
      <c r="A179" s="43" t="s">
        <v>546</v>
      </c>
      <c r="B179" s="41" t="s">
        <v>536</v>
      </c>
      <c r="C179" s="41" t="s">
        <v>547</v>
      </c>
      <c r="D179" s="40" t="s">
        <v>538</v>
      </c>
      <c r="E179" s="40" t="s">
        <v>71</v>
      </c>
      <c r="F179" s="40" t="s">
        <v>67</v>
      </c>
      <c r="G179" s="77" t="s">
        <v>68</v>
      </c>
      <c r="H179" s="40" t="s">
        <v>168</v>
      </c>
      <c r="I179" s="40" t="s">
        <v>539</v>
      </c>
      <c r="J179" s="42">
        <v>45065</v>
      </c>
      <c r="K179" s="42">
        <v>45103</v>
      </c>
      <c r="L179" s="42">
        <v>45105</v>
      </c>
      <c r="M179" s="42">
        <v>45078</v>
      </c>
      <c r="N179" s="42">
        <v>45096</v>
      </c>
      <c r="O179" s="40" t="s">
        <v>122</v>
      </c>
      <c r="P179" s="42" t="s">
        <v>122</v>
      </c>
      <c r="S179" s="49"/>
      <c r="T179" s="49"/>
      <c r="W179" s="49"/>
      <c r="X179" s="49"/>
      <c r="AA179" s="40" t="str">
        <f t="shared" si="2"/>
        <v/>
      </c>
    </row>
    <row r="180" spans="1:27" ht="15" customHeight="1" x14ac:dyDescent="0.25">
      <c r="A180" s="43" t="s">
        <v>546</v>
      </c>
      <c r="B180" s="41" t="s">
        <v>536</v>
      </c>
      <c r="C180" s="41" t="s">
        <v>547</v>
      </c>
      <c r="D180" s="40" t="s">
        <v>538</v>
      </c>
      <c r="E180" s="40" t="s">
        <v>71</v>
      </c>
      <c r="F180" s="40" t="s">
        <v>67</v>
      </c>
      <c r="G180" s="40" t="s">
        <v>68</v>
      </c>
      <c r="H180" s="40" t="s">
        <v>168</v>
      </c>
      <c r="I180" s="40" t="s">
        <v>539</v>
      </c>
      <c r="J180" s="42">
        <v>45065</v>
      </c>
      <c r="K180" s="42">
        <v>45103</v>
      </c>
      <c r="L180" s="42">
        <v>45105</v>
      </c>
      <c r="M180" s="42">
        <v>45096</v>
      </c>
      <c r="N180" s="42">
        <v>45096</v>
      </c>
      <c r="O180" s="40" t="s">
        <v>122</v>
      </c>
      <c r="P180" s="42" t="s">
        <v>122</v>
      </c>
      <c r="AA180" s="40" t="str">
        <f t="shared" si="2"/>
        <v/>
      </c>
    </row>
    <row r="181" spans="1:27" ht="15" customHeight="1" x14ac:dyDescent="0.25">
      <c r="A181" s="43" t="s">
        <v>548</v>
      </c>
      <c r="B181" s="41" t="s">
        <v>536</v>
      </c>
      <c r="C181" s="41" t="s">
        <v>549</v>
      </c>
      <c r="D181" s="40" t="s">
        <v>538</v>
      </c>
      <c r="E181" s="40" t="s">
        <v>71</v>
      </c>
      <c r="F181" s="40" t="s">
        <v>67</v>
      </c>
      <c r="G181" s="77" t="s">
        <v>68</v>
      </c>
      <c r="H181" s="40" t="s">
        <v>168</v>
      </c>
      <c r="I181" s="40" t="s">
        <v>539</v>
      </c>
      <c r="J181" s="42">
        <v>45065</v>
      </c>
      <c r="K181" s="42">
        <v>45103</v>
      </c>
      <c r="L181" s="42">
        <v>45105</v>
      </c>
      <c r="M181" s="42">
        <v>45078</v>
      </c>
      <c r="N181" s="42">
        <v>45096</v>
      </c>
      <c r="O181" s="40" t="s">
        <v>122</v>
      </c>
      <c r="P181" s="42" t="s">
        <v>122</v>
      </c>
      <c r="S181" s="49"/>
      <c r="T181" s="49"/>
      <c r="W181" s="49"/>
      <c r="X181" s="49"/>
      <c r="AA181" s="40" t="str">
        <f t="shared" si="2"/>
        <v/>
      </c>
    </row>
    <row r="182" spans="1:27" ht="15" customHeight="1" x14ac:dyDescent="0.25">
      <c r="A182" s="43" t="s">
        <v>548</v>
      </c>
      <c r="B182" s="41" t="s">
        <v>536</v>
      </c>
      <c r="C182" s="41" t="s">
        <v>549</v>
      </c>
      <c r="D182" s="40" t="s">
        <v>538</v>
      </c>
      <c r="E182" s="40" t="s">
        <v>71</v>
      </c>
      <c r="F182" s="40" t="s">
        <v>67</v>
      </c>
      <c r="G182" s="40" t="s">
        <v>68</v>
      </c>
      <c r="H182" s="40" t="s">
        <v>168</v>
      </c>
      <c r="I182" s="40" t="s">
        <v>539</v>
      </c>
      <c r="J182" s="42">
        <v>45065</v>
      </c>
      <c r="K182" s="42">
        <v>45103</v>
      </c>
      <c r="L182" s="42">
        <v>45105</v>
      </c>
      <c r="M182" s="42">
        <v>45096</v>
      </c>
      <c r="N182" s="42">
        <v>45096</v>
      </c>
      <c r="O182" s="40" t="s">
        <v>122</v>
      </c>
      <c r="P182" s="42" t="s">
        <v>122</v>
      </c>
      <c r="AA182" s="40" t="str">
        <f t="shared" si="2"/>
        <v/>
      </c>
    </row>
    <row r="183" spans="1:27" ht="15" customHeight="1" x14ac:dyDescent="0.25">
      <c r="A183" s="43" t="s">
        <v>550</v>
      </c>
      <c r="B183" s="41" t="s">
        <v>536</v>
      </c>
      <c r="C183" s="41" t="s">
        <v>551</v>
      </c>
      <c r="D183" s="40" t="s">
        <v>538</v>
      </c>
      <c r="E183" s="40" t="s">
        <v>71</v>
      </c>
      <c r="F183" s="40" t="s">
        <v>67</v>
      </c>
      <c r="G183" s="77" t="s">
        <v>68</v>
      </c>
      <c r="H183" s="40" t="s">
        <v>168</v>
      </c>
      <c r="I183" s="40" t="s">
        <v>539</v>
      </c>
      <c r="J183" s="42">
        <v>45065</v>
      </c>
      <c r="K183" s="42">
        <v>45103</v>
      </c>
      <c r="L183" s="42">
        <v>45105</v>
      </c>
      <c r="M183" s="42">
        <v>45096</v>
      </c>
      <c r="N183" s="42">
        <v>45096</v>
      </c>
      <c r="O183" s="40" t="s">
        <v>122</v>
      </c>
      <c r="P183" s="42" t="s">
        <v>122</v>
      </c>
      <c r="S183" s="49"/>
      <c r="T183" s="49"/>
      <c r="W183" s="49"/>
      <c r="X183" s="49"/>
      <c r="AA183" s="40" t="str">
        <f t="shared" si="2"/>
        <v/>
      </c>
    </row>
    <row r="184" spans="1:27" ht="15" customHeight="1" x14ac:dyDescent="0.25">
      <c r="A184" s="43" t="s">
        <v>550</v>
      </c>
      <c r="B184" s="41" t="s">
        <v>536</v>
      </c>
      <c r="C184" s="41" t="s">
        <v>551</v>
      </c>
      <c r="D184" s="40" t="s">
        <v>538</v>
      </c>
      <c r="E184" s="40" t="s">
        <v>71</v>
      </c>
      <c r="F184" s="40" t="s">
        <v>67</v>
      </c>
      <c r="G184" s="40" t="s">
        <v>68</v>
      </c>
      <c r="H184" s="40" t="s">
        <v>168</v>
      </c>
      <c r="I184" s="40" t="s">
        <v>539</v>
      </c>
      <c r="J184" s="42">
        <v>45065</v>
      </c>
      <c r="K184" s="42">
        <v>45103</v>
      </c>
      <c r="L184" s="42">
        <v>45105</v>
      </c>
      <c r="M184" s="42">
        <v>45078</v>
      </c>
      <c r="N184" s="42">
        <v>45096</v>
      </c>
      <c r="O184" s="40" t="s">
        <v>122</v>
      </c>
      <c r="P184" s="42" t="s">
        <v>122</v>
      </c>
      <c r="AA184" s="40" t="str">
        <f t="shared" si="2"/>
        <v/>
      </c>
    </row>
    <row r="185" spans="1:27" ht="15" customHeight="1" x14ac:dyDescent="0.25">
      <c r="A185" s="43" t="s">
        <v>552</v>
      </c>
      <c r="B185" s="41" t="s">
        <v>536</v>
      </c>
      <c r="C185" s="41" t="s">
        <v>553</v>
      </c>
      <c r="D185" s="40" t="s">
        <v>538</v>
      </c>
      <c r="E185" s="40" t="s">
        <v>71</v>
      </c>
      <c r="F185" s="40" t="s">
        <v>67</v>
      </c>
      <c r="G185" s="77" t="s">
        <v>68</v>
      </c>
      <c r="H185" s="40" t="s">
        <v>139</v>
      </c>
      <c r="I185" s="40" t="s">
        <v>539</v>
      </c>
      <c r="J185" s="42">
        <v>45065</v>
      </c>
      <c r="K185" s="42">
        <v>45103</v>
      </c>
      <c r="L185" s="42">
        <v>45105</v>
      </c>
      <c r="M185" s="42">
        <v>45078</v>
      </c>
      <c r="N185" s="42">
        <v>45096</v>
      </c>
      <c r="O185" s="40" t="s">
        <v>122</v>
      </c>
      <c r="P185" s="42" t="s">
        <v>122</v>
      </c>
      <c r="S185" s="49"/>
      <c r="T185" s="49"/>
      <c r="W185" s="49"/>
      <c r="X185" s="49"/>
      <c r="AA185" s="40" t="str">
        <f t="shared" si="2"/>
        <v/>
      </c>
    </row>
    <row r="186" spans="1:27" ht="15" customHeight="1" x14ac:dyDescent="0.25">
      <c r="A186" s="43" t="s">
        <v>552</v>
      </c>
      <c r="B186" s="41" t="s">
        <v>536</v>
      </c>
      <c r="C186" s="41" t="s">
        <v>553</v>
      </c>
      <c r="D186" s="40" t="s">
        <v>538</v>
      </c>
      <c r="E186" s="40" t="s">
        <v>71</v>
      </c>
      <c r="F186" s="40" t="s">
        <v>67</v>
      </c>
      <c r="G186" s="40" t="s">
        <v>68</v>
      </c>
      <c r="H186" s="40" t="s">
        <v>139</v>
      </c>
      <c r="I186" s="40" t="s">
        <v>539</v>
      </c>
      <c r="J186" s="42">
        <v>45065</v>
      </c>
      <c r="K186" s="42">
        <v>45103</v>
      </c>
      <c r="L186" s="42">
        <v>45105</v>
      </c>
      <c r="M186" s="42">
        <v>45096</v>
      </c>
      <c r="N186" s="42">
        <v>45096</v>
      </c>
      <c r="O186" s="40" t="s">
        <v>122</v>
      </c>
      <c r="P186" s="42" t="s">
        <v>122</v>
      </c>
      <c r="AA186" s="40" t="str">
        <f t="shared" si="2"/>
        <v/>
      </c>
    </row>
    <row r="187" spans="1:27" ht="15" customHeight="1" x14ac:dyDescent="0.25">
      <c r="A187" s="43" t="s">
        <v>554</v>
      </c>
      <c r="B187" s="41" t="s">
        <v>536</v>
      </c>
      <c r="C187" s="41" t="s">
        <v>555</v>
      </c>
      <c r="D187" s="40" t="s">
        <v>538</v>
      </c>
      <c r="E187" s="40" t="s">
        <v>71</v>
      </c>
      <c r="F187" s="40" t="s">
        <v>67</v>
      </c>
      <c r="G187" s="77" t="s">
        <v>68</v>
      </c>
      <c r="H187" s="40" t="s">
        <v>139</v>
      </c>
      <c r="I187" s="40" t="s">
        <v>539</v>
      </c>
      <c r="J187" s="42">
        <v>45065</v>
      </c>
      <c r="K187" s="42">
        <v>45103</v>
      </c>
      <c r="L187" s="42">
        <v>45105</v>
      </c>
      <c r="M187" s="42">
        <v>45083</v>
      </c>
      <c r="N187" s="42">
        <v>45096</v>
      </c>
      <c r="O187" s="40" t="s">
        <v>122</v>
      </c>
      <c r="P187" s="42" t="s">
        <v>122</v>
      </c>
      <c r="S187" s="49"/>
      <c r="T187" s="49"/>
      <c r="W187" s="49"/>
      <c r="X187" s="49"/>
      <c r="AA187" s="40" t="str">
        <f t="shared" si="2"/>
        <v/>
      </c>
    </row>
    <row r="188" spans="1:27" ht="15" customHeight="1" x14ac:dyDescent="0.25">
      <c r="A188" s="43" t="s">
        <v>554</v>
      </c>
      <c r="B188" s="41" t="s">
        <v>536</v>
      </c>
      <c r="C188" s="41" t="s">
        <v>555</v>
      </c>
      <c r="D188" s="40" t="s">
        <v>538</v>
      </c>
      <c r="E188" s="40" t="s">
        <v>71</v>
      </c>
      <c r="F188" s="40" t="s">
        <v>67</v>
      </c>
      <c r="G188" s="40" t="s">
        <v>68</v>
      </c>
      <c r="H188" s="40" t="s">
        <v>139</v>
      </c>
      <c r="I188" s="40" t="s">
        <v>539</v>
      </c>
      <c r="J188" s="42">
        <v>45065</v>
      </c>
      <c r="K188" s="42">
        <v>45103</v>
      </c>
      <c r="L188" s="42">
        <v>45105</v>
      </c>
      <c r="M188" s="42">
        <v>45096</v>
      </c>
      <c r="N188" s="42">
        <v>45096</v>
      </c>
      <c r="O188" s="40" t="s">
        <v>122</v>
      </c>
      <c r="P188" s="42" t="s">
        <v>122</v>
      </c>
      <c r="AA188" s="40" t="str">
        <f t="shared" si="2"/>
        <v/>
      </c>
    </row>
    <row r="189" spans="1:27" ht="15" customHeight="1" x14ac:dyDescent="0.25">
      <c r="A189" s="43" t="s">
        <v>556</v>
      </c>
      <c r="B189" s="41" t="s">
        <v>536</v>
      </c>
      <c r="C189" s="41" t="s">
        <v>557</v>
      </c>
      <c r="D189" s="40" t="s">
        <v>538</v>
      </c>
      <c r="E189" s="40" t="s">
        <v>71</v>
      </c>
      <c r="F189" s="40" t="s">
        <v>67</v>
      </c>
      <c r="G189" s="77" t="s">
        <v>68</v>
      </c>
      <c r="H189" s="40" t="s">
        <v>139</v>
      </c>
      <c r="I189" s="40" t="s">
        <v>539</v>
      </c>
      <c r="J189" s="42">
        <v>45065</v>
      </c>
      <c r="K189" s="42">
        <v>45103</v>
      </c>
      <c r="L189" s="42">
        <v>45105</v>
      </c>
      <c r="M189" s="42">
        <v>45083</v>
      </c>
      <c r="N189" s="42">
        <v>45096</v>
      </c>
      <c r="O189" s="40" t="s">
        <v>122</v>
      </c>
      <c r="P189" s="42" t="s">
        <v>122</v>
      </c>
      <c r="S189" s="49"/>
      <c r="T189" s="49"/>
      <c r="W189" s="49"/>
      <c r="X189" s="49"/>
      <c r="AA189" s="40" t="str">
        <f t="shared" si="2"/>
        <v/>
      </c>
    </row>
    <row r="190" spans="1:27" ht="15" customHeight="1" x14ac:dyDescent="0.25">
      <c r="A190" s="43" t="s">
        <v>556</v>
      </c>
      <c r="B190" s="41" t="s">
        <v>536</v>
      </c>
      <c r="C190" s="41" t="s">
        <v>557</v>
      </c>
      <c r="D190" s="40" t="s">
        <v>538</v>
      </c>
      <c r="E190" s="40" t="s">
        <v>71</v>
      </c>
      <c r="F190" s="40" t="s">
        <v>67</v>
      </c>
      <c r="G190" s="40" t="s">
        <v>68</v>
      </c>
      <c r="H190" s="40" t="s">
        <v>139</v>
      </c>
      <c r="I190" s="40" t="s">
        <v>539</v>
      </c>
      <c r="J190" s="42">
        <v>45065</v>
      </c>
      <c r="K190" s="42">
        <v>45103</v>
      </c>
      <c r="L190" s="42">
        <v>45105</v>
      </c>
      <c r="M190" s="42">
        <v>45096</v>
      </c>
      <c r="N190" s="42">
        <v>45096</v>
      </c>
      <c r="O190" s="40" t="s">
        <v>122</v>
      </c>
      <c r="P190" s="42" t="s">
        <v>122</v>
      </c>
      <c r="AA190" s="40" t="str">
        <f t="shared" si="2"/>
        <v/>
      </c>
    </row>
    <row r="191" spans="1:27" ht="15" customHeight="1" x14ac:dyDescent="0.25">
      <c r="A191" s="43" t="s">
        <v>558</v>
      </c>
      <c r="B191" s="41" t="s">
        <v>536</v>
      </c>
      <c r="C191" s="41" t="s">
        <v>559</v>
      </c>
      <c r="D191" s="40" t="s">
        <v>538</v>
      </c>
      <c r="E191" s="40" t="s">
        <v>71</v>
      </c>
      <c r="F191" s="40" t="s">
        <v>67</v>
      </c>
      <c r="G191" s="77" t="s">
        <v>68</v>
      </c>
      <c r="H191" s="40" t="s">
        <v>168</v>
      </c>
      <c r="I191" s="40" t="s">
        <v>539</v>
      </c>
      <c r="J191" s="42">
        <v>45065</v>
      </c>
      <c r="K191" s="42">
        <v>45103</v>
      </c>
      <c r="L191" s="42">
        <v>45105</v>
      </c>
      <c r="M191" s="42">
        <v>45096</v>
      </c>
      <c r="N191" s="42">
        <v>45097</v>
      </c>
      <c r="O191" s="40" t="s">
        <v>122</v>
      </c>
      <c r="P191" s="42" t="s">
        <v>122</v>
      </c>
      <c r="S191" s="49"/>
      <c r="T191" s="49"/>
      <c r="W191" s="49"/>
      <c r="X191" s="49"/>
      <c r="AA191" s="40" t="str">
        <f t="shared" si="2"/>
        <v/>
      </c>
    </row>
    <row r="192" spans="1:27" ht="15" customHeight="1" x14ac:dyDescent="0.25">
      <c r="A192" s="43" t="s">
        <v>558</v>
      </c>
      <c r="B192" s="41" t="s">
        <v>536</v>
      </c>
      <c r="C192" s="41" t="s">
        <v>559</v>
      </c>
      <c r="D192" s="40" t="s">
        <v>538</v>
      </c>
      <c r="E192" s="40" t="s">
        <v>71</v>
      </c>
      <c r="F192" s="40" t="s">
        <v>67</v>
      </c>
      <c r="G192" s="40" t="s">
        <v>68</v>
      </c>
      <c r="H192" s="40" t="s">
        <v>168</v>
      </c>
      <c r="I192" s="40" t="s">
        <v>539</v>
      </c>
      <c r="J192" s="42">
        <v>45065</v>
      </c>
      <c r="K192" s="42">
        <v>45103</v>
      </c>
      <c r="L192" s="42">
        <v>45105</v>
      </c>
      <c r="M192" s="42">
        <v>45097</v>
      </c>
      <c r="N192" s="42">
        <v>45097</v>
      </c>
      <c r="O192" s="40" t="s">
        <v>122</v>
      </c>
      <c r="P192" s="42" t="s">
        <v>122</v>
      </c>
      <c r="AA192" s="40" t="str">
        <f t="shared" si="2"/>
        <v/>
      </c>
    </row>
    <row r="193" spans="1:27" ht="15" customHeight="1" x14ac:dyDescent="0.25">
      <c r="A193" s="43" t="s">
        <v>560</v>
      </c>
      <c r="B193" s="41" t="s">
        <v>536</v>
      </c>
      <c r="C193" s="41" t="s">
        <v>561</v>
      </c>
      <c r="D193" s="40" t="s">
        <v>538</v>
      </c>
      <c r="E193" s="40" t="s">
        <v>71</v>
      </c>
      <c r="F193" s="40" t="s">
        <v>67</v>
      </c>
      <c r="G193" s="77" t="s">
        <v>68</v>
      </c>
      <c r="H193" s="40" t="s">
        <v>139</v>
      </c>
      <c r="I193" s="40" t="s">
        <v>539</v>
      </c>
      <c r="J193" s="42">
        <v>45065</v>
      </c>
      <c r="K193" s="42">
        <v>45103</v>
      </c>
      <c r="L193" s="42">
        <v>45105</v>
      </c>
      <c r="M193" s="42">
        <v>45097</v>
      </c>
      <c r="N193" s="42">
        <v>45098</v>
      </c>
      <c r="O193" s="40" t="s">
        <v>122</v>
      </c>
      <c r="P193" s="42" t="s">
        <v>122</v>
      </c>
      <c r="S193" s="49"/>
      <c r="T193" s="49"/>
      <c r="W193" s="49"/>
      <c r="X193" s="49"/>
      <c r="AA193" s="40" t="str">
        <f t="shared" si="2"/>
        <v/>
      </c>
    </row>
    <row r="194" spans="1:27" ht="15" customHeight="1" x14ac:dyDescent="0.25">
      <c r="A194" s="43" t="s">
        <v>560</v>
      </c>
      <c r="B194" s="41" t="s">
        <v>536</v>
      </c>
      <c r="C194" s="41" t="s">
        <v>561</v>
      </c>
      <c r="D194" s="40" t="s">
        <v>538</v>
      </c>
      <c r="E194" s="40" t="s">
        <v>71</v>
      </c>
      <c r="F194" s="40" t="s">
        <v>67</v>
      </c>
      <c r="G194" s="40" t="s">
        <v>68</v>
      </c>
      <c r="H194" s="40" t="s">
        <v>139</v>
      </c>
      <c r="I194" s="40" t="s">
        <v>539</v>
      </c>
      <c r="J194" s="42">
        <v>45065</v>
      </c>
      <c r="K194" s="42">
        <v>45103</v>
      </c>
      <c r="L194" s="42">
        <v>45105</v>
      </c>
      <c r="M194" s="42">
        <v>45098</v>
      </c>
      <c r="N194" s="42">
        <v>45098</v>
      </c>
      <c r="O194" s="40" t="s">
        <v>122</v>
      </c>
      <c r="P194" s="42" t="s">
        <v>122</v>
      </c>
      <c r="AA194" s="40" t="str">
        <f t="shared" si="2"/>
        <v/>
      </c>
    </row>
    <row r="195" spans="1:27" ht="15" customHeight="1" x14ac:dyDescent="0.25">
      <c r="A195" s="43" t="s">
        <v>562</v>
      </c>
      <c r="B195" s="41" t="s">
        <v>536</v>
      </c>
      <c r="C195" s="41" t="s">
        <v>563</v>
      </c>
      <c r="D195" s="40" t="s">
        <v>538</v>
      </c>
      <c r="E195" s="40" t="s">
        <v>71</v>
      </c>
      <c r="F195" s="40" t="s">
        <v>67</v>
      </c>
      <c r="G195" s="77" t="s">
        <v>68</v>
      </c>
      <c r="H195" s="40" t="s">
        <v>168</v>
      </c>
      <c r="I195" s="40" t="s">
        <v>539</v>
      </c>
      <c r="J195" s="42">
        <v>45065</v>
      </c>
      <c r="K195" s="42">
        <v>45103</v>
      </c>
      <c r="L195" s="42">
        <v>45105</v>
      </c>
      <c r="M195" s="42">
        <v>45096</v>
      </c>
      <c r="N195" s="42">
        <v>45096</v>
      </c>
      <c r="O195" s="40" t="s">
        <v>122</v>
      </c>
      <c r="P195" s="42" t="s">
        <v>122</v>
      </c>
      <c r="S195" s="49"/>
      <c r="T195" s="49"/>
      <c r="W195" s="49"/>
      <c r="X195" s="49"/>
      <c r="AA195" s="40" t="str">
        <f t="shared" si="2"/>
        <v/>
      </c>
    </row>
    <row r="196" spans="1:27" ht="15" customHeight="1" x14ac:dyDescent="0.25">
      <c r="A196" s="43" t="s">
        <v>562</v>
      </c>
      <c r="B196" s="41" t="s">
        <v>536</v>
      </c>
      <c r="C196" s="41" t="s">
        <v>563</v>
      </c>
      <c r="D196" s="40" t="s">
        <v>538</v>
      </c>
      <c r="E196" s="40" t="s">
        <v>71</v>
      </c>
      <c r="F196" s="40" t="s">
        <v>67</v>
      </c>
      <c r="G196" s="40" t="s">
        <v>68</v>
      </c>
      <c r="H196" s="40" t="s">
        <v>168</v>
      </c>
      <c r="I196" s="40" t="s">
        <v>539</v>
      </c>
      <c r="J196" s="42">
        <v>45065</v>
      </c>
      <c r="K196" s="42">
        <v>45103</v>
      </c>
      <c r="L196" s="42">
        <v>45105</v>
      </c>
      <c r="M196" s="42">
        <v>45092</v>
      </c>
      <c r="N196" s="42">
        <v>45096</v>
      </c>
      <c r="O196" s="40" t="s">
        <v>122</v>
      </c>
      <c r="P196" s="42" t="s">
        <v>122</v>
      </c>
      <c r="AA196" s="40" t="str">
        <f t="shared" si="2"/>
        <v/>
      </c>
    </row>
    <row r="197" spans="1:27" ht="15" customHeight="1" x14ac:dyDescent="0.25">
      <c r="A197" s="43" t="s">
        <v>564</v>
      </c>
      <c r="B197" s="41" t="s">
        <v>536</v>
      </c>
      <c r="C197" s="41" t="s">
        <v>565</v>
      </c>
      <c r="D197" s="40" t="s">
        <v>538</v>
      </c>
      <c r="E197" s="40" t="s">
        <v>71</v>
      </c>
      <c r="F197" s="40" t="s">
        <v>67</v>
      </c>
      <c r="G197" s="77" t="s">
        <v>68</v>
      </c>
      <c r="H197" s="40" t="s">
        <v>139</v>
      </c>
      <c r="I197" s="40" t="s">
        <v>539</v>
      </c>
      <c r="J197" s="42">
        <v>45065</v>
      </c>
      <c r="K197" s="42">
        <v>45103</v>
      </c>
      <c r="L197" s="42">
        <v>45105</v>
      </c>
      <c r="M197" s="42">
        <v>45099</v>
      </c>
      <c r="N197" s="42">
        <v>45100</v>
      </c>
      <c r="O197" s="40" t="s">
        <v>122</v>
      </c>
      <c r="P197" s="42" t="s">
        <v>122</v>
      </c>
      <c r="S197" s="49"/>
      <c r="T197" s="49"/>
      <c r="W197" s="49"/>
      <c r="X197" s="49"/>
      <c r="AA197" s="40" t="str">
        <f t="shared" si="2"/>
        <v/>
      </c>
    </row>
    <row r="198" spans="1:27" ht="15" customHeight="1" x14ac:dyDescent="0.25">
      <c r="A198" s="43" t="s">
        <v>564</v>
      </c>
      <c r="B198" s="41" t="s">
        <v>536</v>
      </c>
      <c r="C198" s="41" t="s">
        <v>565</v>
      </c>
      <c r="D198" s="40" t="s">
        <v>538</v>
      </c>
      <c r="E198" s="40" t="s">
        <v>71</v>
      </c>
      <c r="F198" s="40" t="s">
        <v>67</v>
      </c>
      <c r="G198" s="40" t="s">
        <v>68</v>
      </c>
      <c r="H198" s="40" t="s">
        <v>139</v>
      </c>
      <c r="I198" s="40" t="s">
        <v>539</v>
      </c>
      <c r="J198" s="42">
        <v>45065</v>
      </c>
      <c r="K198" s="42">
        <v>45103</v>
      </c>
      <c r="L198" s="42">
        <v>45105</v>
      </c>
      <c r="M198" s="42">
        <v>45100</v>
      </c>
      <c r="N198" s="42">
        <v>45100</v>
      </c>
      <c r="O198" s="40" t="s">
        <v>122</v>
      </c>
      <c r="P198" s="42" t="s">
        <v>122</v>
      </c>
      <c r="AA198" s="40" t="str">
        <f t="shared" si="2"/>
        <v/>
      </c>
    </row>
    <row r="199" spans="1:27" ht="15" customHeight="1" x14ac:dyDescent="0.25">
      <c r="A199" s="43" t="s">
        <v>566</v>
      </c>
      <c r="B199" s="41" t="s">
        <v>536</v>
      </c>
      <c r="C199" s="41" t="s">
        <v>567</v>
      </c>
      <c r="D199" s="40" t="s">
        <v>538</v>
      </c>
      <c r="E199" s="40" t="s">
        <v>71</v>
      </c>
      <c r="F199" s="40" t="s">
        <v>67</v>
      </c>
      <c r="G199" s="77" t="s">
        <v>68</v>
      </c>
      <c r="H199" s="40" t="s">
        <v>168</v>
      </c>
      <c r="I199" s="40" t="s">
        <v>539</v>
      </c>
      <c r="J199" s="42">
        <v>45065</v>
      </c>
      <c r="K199" s="42">
        <v>45103</v>
      </c>
      <c r="L199" s="42">
        <v>45105</v>
      </c>
      <c r="M199" s="42">
        <v>45097</v>
      </c>
      <c r="N199" s="42">
        <v>45097</v>
      </c>
      <c r="O199" s="40" t="s">
        <v>122</v>
      </c>
      <c r="P199" s="42" t="s">
        <v>122</v>
      </c>
      <c r="S199" s="49"/>
      <c r="T199" s="49"/>
      <c r="W199" s="49"/>
      <c r="X199" s="49"/>
      <c r="AA199" s="40" t="str">
        <f t="shared" si="2"/>
        <v/>
      </c>
    </row>
    <row r="200" spans="1:27" ht="15" customHeight="1" x14ac:dyDescent="0.25">
      <c r="A200" s="43" t="s">
        <v>566</v>
      </c>
      <c r="B200" s="41" t="s">
        <v>536</v>
      </c>
      <c r="C200" s="41" t="s">
        <v>567</v>
      </c>
      <c r="D200" s="40" t="s">
        <v>538</v>
      </c>
      <c r="E200" s="40" t="s">
        <v>71</v>
      </c>
      <c r="F200" s="40" t="s">
        <v>67</v>
      </c>
      <c r="G200" s="40" t="s">
        <v>68</v>
      </c>
      <c r="H200" s="40" t="s">
        <v>168</v>
      </c>
      <c r="I200" s="40" t="s">
        <v>539</v>
      </c>
      <c r="J200" s="42">
        <v>45065</v>
      </c>
      <c r="K200" s="42">
        <v>45103</v>
      </c>
      <c r="L200" s="42">
        <v>45105</v>
      </c>
      <c r="M200" s="42">
        <v>45097</v>
      </c>
      <c r="N200" s="42">
        <v>45097</v>
      </c>
      <c r="O200" s="40" t="s">
        <v>122</v>
      </c>
      <c r="P200" s="42" t="s">
        <v>122</v>
      </c>
      <c r="AA200" s="40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43" t="s">
        <v>568</v>
      </c>
      <c r="B201" s="41" t="s">
        <v>536</v>
      </c>
      <c r="C201" s="41" t="s">
        <v>569</v>
      </c>
      <c r="D201" s="40" t="s">
        <v>538</v>
      </c>
      <c r="E201" s="40" t="s">
        <v>71</v>
      </c>
      <c r="F201" s="40" t="s">
        <v>67</v>
      </c>
      <c r="G201" s="77" t="s">
        <v>68</v>
      </c>
      <c r="H201" s="40" t="s">
        <v>139</v>
      </c>
      <c r="I201" s="40" t="s">
        <v>539</v>
      </c>
      <c r="J201" s="42">
        <v>45065</v>
      </c>
      <c r="K201" s="42">
        <v>45103</v>
      </c>
      <c r="L201" s="42">
        <v>45105</v>
      </c>
      <c r="M201" s="42">
        <v>45099</v>
      </c>
      <c r="N201" s="42">
        <v>45100</v>
      </c>
      <c r="O201" s="40" t="s">
        <v>122</v>
      </c>
      <c r="P201" s="42" t="s">
        <v>122</v>
      </c>
      <c r="S201" s="49"/>
      <c r="T201" s="49"/>
      <c r="W201" s="49"/>
      <c r="X201" s="49"/>
      <c r="AA201" s="40" t="str">
        <f t="shared" si="3"/>
        <v/>
      </c>
    </row>
    <row r="202" spans="1:27" ht="15" customHeight="1" x14ac:dyDescent="0.25">
      <c r="A202" s="43" t="s">
        <v>568</v>
      </c>
      <c r="B202" s="41" t="s">
        <v>536</v>
      </c>
      <c r="C202" s="41" t="s">
        <v>569</v>
      </c>
      <c r="D202" s="40" t="s">
        <v>538</v>
      </c>
      <c r="E202" s="40" t="s">
        <v>71</v>
      </c>
      <c r="F202" s="40" t="s">
        <v>67</v>
      </c>
      <c r="G202" s="40" t="s">
        <v>68</v>
      </c>
      <c r="H202" s="40" t="s">
        <v>139</v>
      </c>
      <c r="I202" s="40" t="s">
        <v>539</v>
      </c>
      <c r="J202" s="42">
        <v>45065</v>
      </c>
      <c r="K202" s="42">
        <v>45103</v>
      </c>
      <c r="L202" s="42">
        <v>45105</v>
      </c>
      <c r="M202" s="42">
        <v>45100</v>
      </c>
      <c r="N202" s="42">
        <v>45100</v>
      </c>
      <c r="O202" s="40" t="s">
        <v>122</v>
      </c>
      <c r="P202" s="42" t="s">
        <v>122</v>
      </c>
      <c r="AA202" s="40" t="str">
        <f t="shared" si="3"/>
        <v/>
      </c>
    </row>
    <row r="203" spans="1:27" ht="15" customHeight="1" x14ac:dyDescent="0.25">
      <c r="A203" s="43" t="s">
        <v>570</v>
      </c>
      <c r="B203" s="41" t="s">
        <v>536</v>
      </c>
      <c r="C203" s="41" t="s">
        <v>571</v>
      </c>
      <c r="D203" s="40" t="s">
        <v>538</v>
      </c>
      <c r="E203" s="40" t="s">
        <v>71</v>
      </c>
      <c r="F203" s="40" t="s">
        <v>67</v>
      </c>
      <c r="G203" s="77" t="s">
        <v>68</v>
      </c>
      <c r="H203" s="40" t="s">
        <v>168</v>
      </c>
      <c r="I203" s="40" t="s">
        <v>539</v>
      </c>
      <c r="J203" s="42">
        <v>45065</v>
      </c>
      <c r="K203" s="42">
        <v>45103</v>
      </c>
      <c r="L203" s="42">
        <v>45105</v>
      </c>
      <c r="M203" s="42">
        <v>45092</v>
      </c>
      <c r="N203" s="42">
        <v>45096</v>
      </c>
      <c r="O203" s="40" t="s">
        <v>122</v>
      </c>
      <c r="P203" s="42" t="s">
        <v>122</v>
      </c>
      <c r="S203" s="49"/>
      <c r="T203" s="49"/>
      <c r="W203" s="49"/>
      <c r="X203" s="49"/>
      <c r="AA203" s="40" t="str">
        <f t="shared" si="3"/>
        <v/>
      </c>
    </row>
    <row r="204" spans="1:27" ht="15" customHeight="1" x14ac:dyDescent="0.25">
      <c r="A204" s="43" t="s">
        <v>570</v>
      </c>
      <c r="B204" s="41" t="s">
        <v>536</v>
      </c>
      <c r="C204" s="41" t="s">
        <v>571</v>
      </c>
      <c r="D204" s="40" t="s">
        <v>538</v>
      </c>
      <c r="E204" s="40" t="s">
        <v>71</v>
      </c>
      <c r="F204" s="40" t="s">
        <v>67</v>
      </c>
      <c r="G204" s="40" t="s">
        <v>68</v>
      </c>
      <c r="H204" s="40" t="s">
        <v>168</v>
      </c>
      <c r="I204" s="40" t="s">
        <v>539</v>
      </c>
      <c r="J204" s="42">
        <v>45065</v>
      </c>
      <c r="K204" s="42">
        <v>45103</v>
      </c>
      <c r="L204" s="42">
        <v>45105</v>
      </c>
      <c r="M204" s="42">
        <v>45096</v>
      </c>
      <c r="N204" s="42">
        <v>45096</v>
      </c>
      <c r="O204" s="40" t="s">
        <v>122</v>
      </c>
      <c r="P204" s="42" t="s">
        <v>122</v>
      </c>
      <c r="AA204" s="40" t="str">
        <f t="shared" si="3"/>
        <v/>
      </c>
    </row>
    <row r="205" spans="1:27" ht="15" customHeight="1" x14ac:dyDescent="0.25">
      <c r="A205" s="43" t="s">
        <v>572</v>
      </c>
      <c r="B205" s="41" t="s">
        <v>536</v>
      </c>
      <c r="C205" s="41" t="s">
        <v>573</v>
      </c>
      <c r="D205" s="40" t="s">
        <v>538</v>
      </c>
      <c r="E205" s="40" t="s">
        <v>71</v>
      </c>
      <c r="F205" s="40" t="s">
        <v>67</v>
      </c>
      <c r="G205" s="77" t="s">
        <v>68</v>
      </c>
      <c r="H205" s="40" t="s">
        <v>168</v>
      </c>
      <c r="I205" s="40" t="s">
        <v>539</v>
      </c>
      <c r="J205" s="42">
        <v>45065</v>
      </c>
      <c r="K205" s="42">
        <v>45103</v>
      </c>
      <c r="L205" s="42">
        <v>45105</v>
      </c>
      <c r="M205" s="42">
        <v>45098</v>
      </c>
      <c r="N205" s="42">
        <v>45098</v>
      </c>
      <c r="O205" s="40" t="s">
        <v>122</v>
      </c>
      <c r="P205" s="42" t="s">
        <v>122</v>
      </c>
      <c r="S205" s="49"/>
      <c r="T205" s="49"/>
      <c r="W205" s="49"/>
      <c r="X205" s="49"/>
      <c r="AA205" s="40" t="str">
        <f t="shared" si="3"/>
        <v/>
      </c>
    </row>
    <row r="206" spans="1:27" ht="15" customHeight="1" x14ac:dyDescent="0.25">
      <c r="A206" s="43" t="s">
        <v>572</v>
      </c>
      <c r="B206" s="41" t="s">
        <v>536</v>
      </c>
      <c r="C206" s="41" t="s">
        <v>573</v>
      </c>
      <c r="D206" s="40" t="s">
        <v>538</v>
      </c>
      <c r="E206" s="40" t="s">
        <v>71</v>
      </c>
      <c r="F206" s="40" t="s">
        <v>67</v>
      </c>
      <c r="G206" s="40" t="s">
        <v>68</v>
      </c>
      <c r="H206" s="40" t="s">
        <v>168</v>
      </c>
      <c r="I206" s="40" t="s">
        <v>539</v>
      </c>
      <c r="J206" s="42">
        <v>45065</v>
      </c>
      <c r="K206" s="42">
        <v>45103</v>
      </c>
      <c r="L206" s="42">
        <v>45105</v>
      </c>
      <c r="M206" s="42">
        <v>45098</v>
      </c>
      <c r="N206" s="42">
        <v>45098</v>
      </c>
      <c r="O206" s="40" t="s">
        <v>122</v>
      </c>
      <c r="P206" s="42" t="s">
        <v>122</v>
      </c>
      <c r="AA206" s="40" t="str">
        <f t="shared" si="3"/>
        <v/>
      </c>
    </row>
    <row r="207" spans="1:27" ht="15" customHeight="1" x14ac:dyDescent="0.25">
      <c r="A207" s="43" t="s">
        <v>574</v>
      </c>
      <c r="B207" s="41" t="s">
        <v>575</v>
      </c>
      <c r="C207" s="41" t="s">
        <v>576</v>
      </c>
      <c r="D207" s="40" t="s">
        <v>538</v>
      </c>
      <c r="E207" s="40" t="s">
        <v>71</v>
      </c>
      <c r="F207" s="40" t="s">
        <v>67</v>
      </c>
      <c r="G207" s="77" t="s">
        <v>68</v>
      </c>
      <c r="H207" s="40" t="s">
        <v>168</v>
      </c>
      <c r="I207" s="40" t="s">
        <v>539</v>
      </c>
      <c r="J207" s="42">
        <v>45065</v>
      </c>
      <c r="K207" s="42">
        <v>45098</v>
      </c>
      <c r="L207" s="42">
        <v>45100</v>
      </c>
      <c r="M207" s="42">
        <v>45083</v>
      </c>
      <c r="N207" s="42">
        <v>45092</v>
      </c>
      <c r="O207" s="40" t="s">
        <v>122</v>
      </c>
      <c r="P207" s="42" t="s">
        <v>122</v>
      </c>
      <c r="S207" s="49"/>
      <c r="T207" s="49"/>
      <c r="W207" s="49"/>
      <c r="X207" s="49"/>
      <c r="AA207" s="40" t="str">
        <f t="shared" si="3"/>
        <v/>
      </c>
    </row>
    <row r="208" spans="1:27" ht="15" customHeight="1" x14ac:dyDescent="0.25">
      <c r="A208" s="43" t="s">
        <v>574</v>
      </c>
      <c r="B208" s="41" t="s">
        <v>575</v>
      </c>
      <c r="C208" s="41" t="s">
        <v>576</v>
      </c>
      <c r="D208" s="40" t="s">
        <v>538</v>
      </c>
      <c r="E208" s="40" t="s">
        <v>71</v>
      </c>
      <c r="F208" s="40" t="s">
        <v>67</v>
      </c>
      <c r="G208" s="40" t="s">
        <v>68</v>
      </c>
      <c r="H208" s="40" t="s">
        <v>168</v>
      </c>
      <c r="I208" s="40" t="s">
        <v>539</v>
      </c>
      <c r="J208" s="42">
        <v>45065</v>
      </c>
      <c r="K208" s="42">
        <v>45098</v>
      </c>
      <c r="L208" s="42">
        <v>45100</v>
      </c>
      <c r="M208" s="42">
        <v>45092</v>
      </c>
      <c r="N208" s="42">
        <v>45092</v>
      </c>
      <c r="O208" s="40" t="s">
        <v>122</v>
      </c>
      <c r="P208" s="42" t="s">
        <v>122</v>
      </c>
      <c r="AA208" s="40" t="str">
        <f t="shared" si="3"/>
        <v/>
      </c>
    </row>
    <row r="209" spans="1:27" ht="15" customHeight="1" x14ac:dyDescent="0.25">
      <c r="A209" s="43" t="s">
        <v>577</v>
      </c>
      <c r="B209" s="41" t="s">
        <v>575</v>
      </c>
      <c r="C209" s="41" t="s">
        <v>578</v>
      </c>
      <c r="D209" s="40" t="s">
        <v>538</v>
      </c>
      <c r="E209" s="40" t="s">
        <v>71</v>
      </c>
      <c r="F209" s="40" t="s">
        <v>67</v>
      </c>
      <c r="G209" s="77" t="s">
        <v>68</v>
      </c>
      <c r="H209" s="40" t="s">
        <v>168</v>
      </c>
      <c r="I209" s="40" t="s">
        <v>539</v>
      </c>
      <c r="J209" s="42">
        <v>45065</v>
      </c>
      <c r="K209" s="42">
        <v>45098</v>
      </c>
      <c r="L209" s="42">
        <v>45100</v>
      </c>
      <c r="M209" s="42">
        <v>45079</v>
      </c>
      <c r="N209" s="42">
        <v>45092</v>
      </c>
      <c r="O209" s="40" t="s">
        <v>122</v>
      </c>
      <c r="P209" s="42" t="s">
        <v>122</v>
      </c>
      <c r="S209" s="49"/>
      <c r="T209" s="49"/>
      <c r="W209" s="49"/>
      <c r="X209" s="49"/>
      <c r="AA209" s="40" t="str">
        <f t="shared" si="3"/>
        <v/>
      </c>
    </row>
    <row r="210" spans="1:27" ht="15" customHeight="1" x14ac:dyDescent="0.25">
      <c r="A210" s="43" t="s">
        <v>577</v>
      </c>
      <c r="B210" s="41" t="s">
        <v>575</v>
      </c>
      <c r="C210" s="41" t="s">
        <v>578</v>
      </c>
      <c r="D210" s="40" t="s">
        <v>538</v>
      </c>
      <c r="E210" s="40" t="s">
        <v>71</v>
      </c>
      <c r="F210" s="40" t="s">
        <v>67</v>
      </c>
      <c r="G210" s="40" t="s">
        <v>68</v>
      </c>
      <c r="H210" s="40" t="s">
        <v>168</v>
      </c>
      <c r="I210" s="40" t="s">
        <v>539</v>
      </c>
      <c r="J210" s="42">
        <v>45065</v>
      </c>
      <c r="K210" s="42">
        <v>45098</v>
      </c>
      <c r="L210" s="42">
        <v>45100</v>
      </c>
      <c r="M210" s="42">
        <v>45092</v>
      </c>
      <c r="N210" s="42">
        <v>45092</v>
      </c>
      <c r="O210" s="40" t="s">
        <v>122</v>
      </c>
      <c r="P210" s="42" t="s">
        <v>122</v>
      </c>
      <c r="AA210" s="40" t="str">
        <f t="shared" si="3"/>
        <v/>
      </c>
    </row>
    <row r="211" spans="1:27" ht="15" customHeight="1" x14ac:dyDescent="0.25">
      <c r="A211" s="43" t="s">
        <v>579</v>
      </c>
      <c r="B211" s="41" t="s">
        <v>575</v>
      </c>
      <c r="C211" s="41" t="s">
        <v>580</v>
      </c>
      <c r="D211" s="40" t="s">
        <v>538</v>
      </c>
      <c r="E211" s="40" t="s">
        <v>71</v>
      </c>
      <c r="F211" s="40" t="s">
        <v>67</v>
      </c>
      <c r="G211" s="77" t="s">
        <v>68</v>
      </c>
      <c r="H211" s="40" t="s">
        <v>168</v>
      </c>
      <c r="I211" s="40" t="s">
        <v>539</v>
      </c>
      <c r="J211" s="42">
        <v>45065</v>
      </c>
      <c r="K211" s="42">
        <v>45098</v>
      </c>
      <c r="L211" s="42">
        <v>45100</v>
      </c>
      <c r="M211" s="42">
        <v>45092</v>
      </c>
      <c r="N211" s="42">
        <v>45092</v>
      </c>
      <c r="O211" s="40" t="s">
        <v>122</v>
      </c>
      <c r="P211" s="42" t="s">
        <v>122</v>
      </c>
      <c r="S211" s="49"/>
      <c r="T211" s="49"/>
      <c r="W211" s="49"/>
      <c r="X211" s="49"/>
      <c r="AA211" s="40" t="str">
        <f t="shared" si="3"/>
        <v/>
      </c>
    </row>
    <row r="212" spans="1:27" ht="15" customHeight="1" x14ac:dyDescent="0.25">
      <c r="A212" s="43" t="s">
        <v>579</v>
      </c>
      <c r="B212" s="41" t="s">
        <v>575</v>
      </c>
      <c r="C212" s="41" t="s">
        <v>580</v>
      </c>
      <c r="D212" s="40" t="s">
        <v>538</v>
      </c>
      <c r="E212" s="40" t="s">
        <v>71</v>
      </c>
      <c r="F212" s="40" t="s">
        <v>67</v>
      </c>
      <c r="G212" s="40" t="s">
        <v>68</v>
      </c>
      <c r="H212" s="40" t="s">
        <v>168</v>
      </c>
      <c r="I212" s="40" t="s">
        <v>539</v>
      </c>
      <c r="J212" s="42">
        <v>45065</v>
      </c>
      <c r="K212" s="42">
        <v>45098</v>
      </c>
      <c r="L212" s="42">
        <v>45100</v>
      </c>
      <c r="M212" s="42">
        <v>45083</v>
      </c>
      <c r="N212" s="42">
        <v>45092</v>
      </c>
      <c r="O212" s="40" t="s">
        <v>122</v>
      </c>
      <c r="P212" s="42" t="s">
        <v>122</v>
      </c>
      <c r="AA212" s="40" t="str">
        <f t="shared" si="3"/>
        <v/>
      </c>
    </row>
    <row r="213" spans="1:27" ht="15" customHeight="1" x14ac:dyDescent="0.25">
      <c r="A213" s="43" t="s">
        <v>581</v>
      </c>
      <c r="B213" s="41" t="s">
        <v>575</v>
      </c>
      <c r="C213" s="41" t="s">
        <v>582</v>
      </c>
      <c r="D213" s="40" t="s">
        <v>538</v>
      </c>
      <c r="E213" s="40" t="s">
        <v>71</v>
      </c>
      <c r="F213" s="40" t="s">
        <v>67</v>
      </c>
      <c r="G213" s="77" t="s">
        <v>68</v>
      </c>
      <c r="H213" s="40" t="s">
        <v>168</v>
      </c>
      <c r="I213" s="40" t="s">
        <v>539</v>
      </c>
      <c r="J213" s="42">
        <v>45065</v>
      </c>
      <c r="K213" s="42">
        <v>45098</v>
      </c>
      <c r="L213" s="42">
        <v>45100</v>
      </c>
      <c r="M213" s="42">
        <v>45078</v>
      </c>
      <c r="N213" s="42">
        <v>45092</v>
      </c>
      <c r="O213" s="40" t="s">
        <v>122</v>
      </c>
      <c r="P213" s="42" t="s">
        <v>122</v>
      </c>
      <c r="S213" s="49"/>
      <c r="T213" s="49"/>
      <c r="W213" s="49"/>
      <c r="X213" s="49"/>
      <c r="AA213" s="40" t="str">
        <f t="shared" si="3"/>
        <v/>
      </c>
    </row>
    <row r="214" spans="1:27" ht="15" customHeight="1" x14ac:dyDescent="0.25">
      <c r="A214" s="43" t="s">
        <v>581</v>
      </c>
      <c r="B214" s="41" t="s">
        <v>575</v>
      </c>
      <c r="C214" s="41" t="s">
        <v>583</v>
      </c>
      <c r="E214" s="40" t="s">
        <v>71</v>
      </c>
      <c r="G214" s="77" t="s">
        <v>68</v>
      </c>
      <c r="H214" s="40" t="s">
        <v>168</v>
      </c>
      <c r="I214" s="40" t="s">
        <v>539</v>
      </c>
      <c r="J214" s="42">
        <v>45065</v>
      </c>
      <c r="K214" s="42">
        <v>45098</v>
      </c>
      <c r="L214" s="42">
        <v>45100</v>
      </c>
      <c r="M214" s="42">
        <v>45092</v>
      </c>
      <c r="N214" s="42">
        <v>45092</v>
      </c>
      <c r="O214" s="40" t="s">
        <v>122</v>
      </c>
      <c r="P214" s="42" t="s">
        <v>122</v>
      </c>
      <c r="S214" s="49"/>
      <c r="T214" s="49"/>
      <c r="W214" s="49"/>
      <c r="X214" s="49"/>
      <c r="AA214" s="40" t="str">
        <f t="shared" si="3"/>
        <v/>
      </c>
    </row>
    <row r="215" spans="1:27" ht="15" customHeight="1" x14ac:dyDescent="0.25">
      <c r="A215" s="43" t="s">
        <v>584</v>
      </c>
      <c r="B215" s="41" t="s">
        <v>575</v>
      </c>
      <c r="C215" s="41" t="s">
        <v>585</v>
      </c>
      <c r="D215" s="40" t="s">
        <v>538</v>
      </c>
      <c r="E215" s="40" t="s">
        <v>71</v>
      </c>
      <c r="F215" s="40" t="s">
        <v>67</v>
      </c>
      <c r="G215" s="40" t="s">
        <v>68</v>
      </c>
      <c r="H215" s="40" t="s">
        <v>168</v>
      </c>
      <c r="I215" s="40" t="s">
        <v>539</v>
      </c>
      <c r="J215" s="42">
        <v>45065</v>
      </c>
      <c r="K215" s="42">
        <v>45098</v>
      </c>
      <c r="L215" s="42">
        <v>45100</v>
      </c>
      <c r="M215" s="42">
        <v>45079</v>
      </c>
      <c r="N215" s="42">
        <v>45092</v>
      </c>
      <c r="O215" s="40" t="s">
        <v>122</v>
      </c>
      <c r="P215" s="42" t="s">
        <v>122</v>
      </c>
      <c r="AA215" s="40" t="str">
        <f t="shared" si="3"/>
        <v/>
      </c>
    </row>
    <row r="216" spans="1:27" ht="15" customHeight="1" x14ac:dyDescent="0.25">
      <c r="A216" s="43" t="s">
        <v>584</v>
      </c>
      <c r="B216" s="41" t="s">
        <v>575</v>
      </c>
      <c r="C216" s="41" t="s">
        <v>585</v>
      </c>
      <c r="D216" s="40" t="s">
        <v>538</v>
      </c>
      <c r="E216" s="40" t="s">
        <v>71</v>
      </c>
      <c r="F216" s="40" t="s">
        <v>67</v>
      </c>
      <c r="G216" s="77" t="s">
        <v>68</v>
      </c>
      <c r="H216" s="40" t="s">
        <v>168</v>
      </c>
      <c r="I216" s="40" t="s">
        <v>539</v>
      </c>
      <c r="J216" s="42">
        <v>45065</v>
      </c>
      <c r="K216" s="42">
        <v>45098</v>
      </c>
      <c r="L216" s="42">
        <v>45100</v>
      </c>
      <c r="M216" s="42">
        <v>45092</v>
      </c>
      <c r="N216" s="42">
        <v>45092</v>
      </c>
      <c r="O216" s="40" t="s">
        <v>122</v>
      </c>
      <c r="P216" s="42" t="s">
        <v>122</v>
      </c>
      <c r="S216" s="49"/>
      <c r="T216" s="49"/>
      <c r="W216" s="49"/>
      <c r="X216" s="49"/>
      <c r="AA216" s="40" t="str">
        <f t="shared" si="3"/>
        <v/>
      </c>
    </row>
    <row r="217" spans="1:27" ht="15" customHeight="1" x14ac:dyDescent="0.25">
      <c r="A217" s="43" t="s">
        <v>586</v>
      </c>
      <c r="B217" s="41" t="s">
        <v>575</v>
      </c>
      <c r="C217" s="41" t="s">
        <v>587</v>
      </c>
      <c r="D217" s="40" t="s">
        <v>538</v>
      </c>
      <c r="E217" s="40" t="s">
        <v>71</v>
      </c>
      <c r="F217" s="40" t="s">
        <v>67</v>
      </c>
      <c r="G217" s="40" t="s">
        <v>68</v>
      </c>
      <c r="H217" s="40" t="s">
        <v>168</v>
      </c>
      <c r="I217" s="40" t="s">
        <v>539</v>
      </c>
      <c r="J217" s="42">
        <v>45065</v>
      </c>
      <c r="K217" s="42">
        <v>45098</v>
      </c>
      <c r="L217" s="42">
        <v>45100</v>
      </c>
      <c r="M217" s="42">
        <v>45079</v>
      </c>
      <c r="N217" s="42">
        <v>45092</v>
      </c>
      <c r="O217" s="40" t="s">
        <v>122</v>
      </c>
      <c r="P217" s="42" t="s">
        <v>122</v>
      </c>
      <c r="AA217" s="40" t="str">
        <f t="shared" si="3"/>
        <v/>
      </c>
    </row>
    <row r="218" spans="1:27" ht="15" customHeight="1" x14ac:dyDescent="0.25">
      <c r="A218" s="43" t="s">
        <v>586</v>
      </c>
      <c r="B218" s="41" t="s">
        <v>575</v>
      </c>
      <c r="C218" s="41" t="s">
        <v>587</v>
      </c>
      <c r="D218" s="40" t="s">
        <v>538</v>
      </c>
      <c r="E218" s="40" t="s">
        <v>71</v>
      </c>
      <c r="F218" s="40" t="s">
        <v>67</v>
      </c>
      <c r="G218" s="77" t="s">
        <v>68</v>
      </c>
      <c r="H218" s="40" t="s">
        <v>168</v>
      </c>
      <c r="I218" s="40" t="s">
        <v>539</v>
      </c>
      <c r="J218" s="42">
        <v>45065</v>
      </c>
      <c r="K218" s="42">
        <v>45098</v>
      </c>
      <c r="L218" s="42">
        <v>45100</v>
      </c>
      <c r="M218" s="42">
        <v>45092</v>
      </c>
      <c r="N218" s="42">
        <v>45092</v>
      </c>
      <c r="O218" s="40" t="s">
        <v>122</v>
      </c>
      <c r="P218" s="42" t="s">
        <v>122</v>
      </c>
      <c r="S218" s="49"/>
      <c r="T218" s="49"/>
      <c r="W218" s="49"/>
      <c r="X218" s="49"/>
      <c r="AA218" s="40" t="str">
        <f t="shared" si="3"/>
        <v/>
      </c>
    </row>
    <row r="219" spans="1:27" ht="15" customHeight="1" x14ac:dyDescent="0.25">
      <c r="A219" s="43" t="s">
        <v>588</v>
      </c>
      <c r="B219" s="41" t="s">
        <v>575</v>
      </c>
      <c r="C219" s="41" t="s">
        <v>589</v>
      </c>
      <c r="D219" s="40" t="s">
        <v>538</v>
      </c>
      <c r="E219" s="40" t="s">
        <v>71</v>
      </c>
      <c r="F219" s="40" t="s">
        <v>67</v>
      </c>
      <c r="G219" s="40" t="s">
        <v>68</v>
      </c>
      <c r="H219" s="40" t="s">
        <v>168</v>
      </c>
      <c r="I219" s="40" t="s">
        <v>539</v>
      </c>
      <c r="J219" s="42">
        <v>45065</v>
      </c>
      <c r="K219" s="42">
        <v>45098</v>
      </c>
      <c r="L219" s="42">
        <v>45100</v>
      </c>
      <c r="M219" s="42">
        <v>45083</v>
      </c>
      <c r="N219" s="42">
        <v>45092</v>
      </c>
      <c r="O219" s="40" t="s">
        <v>122</v>
      </c>
      <c r="P219" s="42" t="s">
        <v>122</v>
      </c>
      <c r="AA219" s="40" t="str">
        <f t="shared" si="3"/>
        <v/>
      </c>
    </row>
    <row r="220" spans="1:27" ht="15" customHeight="1" x14ac:dyDescent="0.25">
      <c r="A220" s="43" t="s">
        <v>588</v>
      </c>
      <c r="B220" s="41" t="s">
        <v>575</v>
      </c>
      <c r="C220" s="41" t="s">
        <v>589</v>
      </c>
      <c r="D220" s="40" t="s">
        <v>538</v>
      </c>
      <c r="E220" s="40" t="s">
        <v>71</v>
      </c>
      <c r="F220" s="40" t="s">
        <v>67</v>
      </c>
      <c r="G220" s="40" t="s">
        <v>68</v>
      </c>
      <c r="H220" s="40" t="s">
        <v>168</v>
      </c>
      <c r="I220" s="40" t="s">
        <v>539</v>
      </c>
      <c r="J220" s="42">
        <v>45065</v>
      </c>
      <c r="K220" s="42">
        <v>45098</v>
      </c>
      <c r="L220" s="42">
        <v>45100</v>
      </c>
      <c r="M220" s="42">
        <v>45092</v>
      </c>
      <c r="N220" s="42">
        <v>45092</v>
      </c>
      <c r="O220" s="40" t="s">
        <v>122</v>
      </c>
      <c r="P220" s="42" t="s">
        <v>122</v>
      </c>
      <c r="S220" s="49"/>
      <c r="T220" s="49"/>
      <c r="W220" s="49"/>
      <c r="X220" s="49"/>
      <c r="AA220" s="40" t="str">
        <f t="shared" si="3"/>
        <v/>
      </c>
    </row>
    <row r="221" spans="1:27" ht="15" customHeight="1" x14ac:dyDescent="0.25">
      <c r="A221" s="43" t="s">
        <v>590</v>
      </c>
      <c r="B221" s="41" t="s">
        <v>575</v>
      </c>
      <c r="C221" s="41" t="s">
        <v>591</v>
      </c>
      <c r="D221" s="40" t="s">
        <v>538</v>
      </c>
      <c r="E221" s="40" t="s">
        <v>71</v>
      </c>
      <c r="F221" s="40" t="s">
        <v>67</v>
      </c>
      <c r="G221" s="40" t="s">
        <v>68</v>
      </c>
      <c r="H221" s="40" t="s">
        <v>168</v>
      </c>
      <c r="I221" s="40" t="s">
        <v>539</v>
      </c>
      <c r="J221" s="42">
        <v>45065</v>
      </c>
      <c r="K221" s="42">
        <v>45098</v>
      </c>
      <c r="L221" s="42">
        <v>45100</v>
      </c>
      <c r="M221" s="42">
        <v>45084</v>
      </c>
      <c r="N221" s="42">
        <v>45092</v>
      </c>
      <c r="O221" s="40" t="s">
        <v>122</v>
      </c>
      <c r="P221" s="42" t="s">
        <v>122</v>
      </c>
      <c r="AA221" s="40" t="str">
        <f t="shared" si="3"/>
        <v/>
      </c>
    </row>
    <row r="222" spans="1:27" ht="15" customHeight="1" x14ac:dyDescent="0.25">
      <c r="A222" s="43" t="s">
        <v>590</v>
      </c>
      <c r="B222" s="41" t="s">
        <v>575</v>
      </c>
      <c r="C222" s="41" t="s">
        <v>591</v>
      </c>
      <c r="D222" s="40" t="s">
        <v>538</v>
      </c>
      <c r="E222" s="40" t="s">
        <v>71</v>
      </c>
      <c r="F222" s="40" t="s">
        <v>67</v>
      </c>
      <c r="G222" s="77" t="s">
        <v>68</v>
      </c>
      <c r="H222" s="40" t="s">
        <v>168</v>
      </c>
      <c r="I222" s="40" t="s">
        <v>539</v>
      </c>
      <c r="J222" s="42">
        <v>45065</v>
      </c>
      <c r="K222" s="42">
        <v>45098</v>
      </c>
      <c r="L222" s="42">
        <v>45100</v>
      </c>
      <c r="M222" s="42">
        <v>45092</v>
      </c>
      <c r="N222" s="42">
        <v>45092</v>
      </c>
      <c r="O222" s="40" t="s">
        <v>122</v>
      </c>
      <c r="P222" s="42" t="s">
        <v>122</v>
      </c>
      <c r="S222" s="49"/>
      <c r="T222" s="49"/>
      <c r="W222" s="49"/>
      <c r="X222" s="49"/>
      <c r="AA222" s="40" t="str">
        <f t="shared" si="3"/>
        <v/>
      </c>
    </row>
    <row r="223" spans="1:27" ht="15" customHeight="1" x14ac:dyDescent="0.25">
      <c r="A223" s="43" t="s">
        <v>592</v>
      </c>
      <c r="B223" s="41" t="s">
        <v>593</v>
      </c>
      <c r="C223" s="41" t="s">
        <v>594</v>
      </c>
      <c r="D223" s="40" t="s">
        <v>595</v>
      </c>
      <c r="E223" s="40" t="s">
        <v>71</v>
      </c>
      <c r="F223" s="40" t="s">
        <v>67</v>
      </c>
      <c r="G223" s="40" t="s">
        <v>68</v>
      </c>
      <c r="H223" s="40" t="s">
        <v>139</v>
      </c>
      <c r="I223" s="40" t="s">
        <v>539</v>
      </c>
      <c r="J223" s="42">
        <v>45063</v>
      </c>
      <c r="K223" s="42">
        <v>45091</v>
      </c>
      <c r="L223" s="42">
        <v>45093</v>
      </c>
      <c r="M223" s="42">
        <v>45076</v>
      </c>
      <c r="N223" s="42">
        <v>45092</v>
      </c>
      <c r="O223" s="40" t="s">
        <v>122</v>
      </c>
      <c r="P223" s="42" t="s">
        <v>122</v>
      </c>
      <c r="AA223" s="40" t="str">
        <f t="shared" si="3"/>
        <v/>
      </c>
    </row>
    <row r="224" spans="1:27" ht="15" customHeight="1" x14ac:dyDescent="0.25">
      <c r="A224" s="43" t="s">
        <v>596</v>
      </c>
      <c r="B224" s="41" t="s">
        <v>593</v>
      </c>
      <c r="C224" s="41" t="s">
        <v>597</v>
      </c>
      <c r="D224" s="40" t="s">
        <v>598</v>
      </c>
      <c r="E224" s="40" t="s">
        <v>71</v>
      </c>
      <c r="F224" s="40" t="s">
        <v>67</v>
      </c>
      <c r="G224" s="77" t="s">
        <v>68</v>
      </c>
      <c r="H224" s="40" t="s">
        <v>168</v>
      </c>
      <c r="I224" s="40" t="s">
        <v>539</v>
      </c>
      <c r="J224" s="42">
        <v>45063</v>
      </c>
      <c r="K224" s="42">
        <v>45091</v>
      </c>
      <c r="L224" s="42">
        <v>45093</v>
      </c>
      <c r="M224" s="42">
        <v>45092</v>
      </c>
      <c r="N224" s="42">
        <v>45092</v>
      </c>
      <c r="O224" s="40" t="s">
        <v>123</v>
      </c>
      <c r="P224" s="42" t="s">
        <v>122</v>
      </c>
      <c r="S224" s="49"/>
      <c r="T224" s="49"/>
      <c r="W224" s="49"/>
      <c r="X224" s="49"/>
      <c r="AA224" s="40" t="str">
        <f t="shared" si="3"/>
        <v/>
      </c>
    </row>
    <row r="225" spans="1:27" ht="15" customHeight="1" x14ac:dyDescent="0.25">
      <c r="A225" s="43" t="s">
        <v>596</v>
      </c>
      <c r="B225" s="41" t="s">
        <v>593</v>
      </c>
      <c r="C225" s="41" t="s">
        <v>597</v>
      </c>
      <c r="D225" s="40" t="s">
        <v>595</v>
      </c>
      <c r="E225" s="40" t="s">
        <v>71</v>
      </c>
      <c r="F225" s="40" t="s">
        <v>67</v>
      </c>
      <c r="G225" s="40" t="s">
        <v>68</v>
      </c>
      <c r="H225" s="40" t="s">
        <v>168</v>
      </c>
      <c r="I225" s="40" t="s">
        <v>539</v>
      </c>
      <c r="J225" s="42">
        <v>45063</v>
      </c>
      <c r="K225" s="42">
        <v>45091</v>
      </c>
      <c r="L225" s="42">
        <v>45093</v>
      </c>
      <c r="M225" s="42">
        <v>45078</v>
      </c>
      <c r="N225" s="42">
        <v>45092</v>
      </c>
      <c r="O225" s="40" t="s">
        <v>122</v>
      </c>
      <c r="P225" s="42" t="s">
        <v>122</v>
      </c>
      <c r="AA225" s="40" t="str">
        <f t="shared" si="3"/>
        <v/>
      </c>
    </row>
    <row r="226" spans="1:27" s="75" customFormat="1" ht="15" customHeight="1" x14ac:dyDescent="0.25">
      <c r="A226" s="60" t="s">
        <v>599</v>
      </c>
      <c r="B226" s="57" t="s">
        <v>593</v>
      </c>
      <c r="C226" s="57" t="s">
        <v>600</v>
      </c>
      <c r="D226" s="56" t="s">
        <v>386</v>
      </c>
      <c r="E226" s="56" t="s">
        <v>71</v>
      </c>
      <c r="F226" s="56" t="s">
        <v>67</v>
      </c>
      <c r="G226" s="76" t="s">
        <v>68</v>
      </c>
      <c r="H226" s="56" t="s">
        <v>160</v>
      </c>
      <c r="I226" s="56" t="s">
        <v>539</v>
      </c>
      <c r="J226" s="58">
        <v>45063</v>
      </c>
      <c r="K226" s="58">
        <v>45091</v>
      </c>
      <c r="L226" s="58">
        <v>45093</v>
      </c>
      <c r="M226" s="58">
        <v>45079</v>
      </c>
      <c r="N226" s="58">
        <v>45100</v>
      </c>
      <c r="O226" s="56" t="s">
        <v>122</v>
      </c>
      <c r="P226" s="58" t="s">
        <v>123</v>
      </c>
      <c r="Q226" s="58"/>
      <c r="R226" s="58"/>
      <c r="S226" s="59"/>
      <c r="T226" s="59"/>
      <c r="U226" s="58"/>
      <c r="V226" s="58"/>
      <c r="W226" s="59"/>
      <c r="X226" s="59"/>
      <c r="Y226" s="56"/>
      <c r="Z226" s="56"/>
      <c r="AA226" s="56" t="str">
        <f t="shared" si="3"/>
        <v/>
      </c>
    </row>
    <row r="227" spans="1:27" ht="15" customHeight="1" x14ac:dyDescent="0.25">
      <c r="A227" s="43" t="s">
        <v>601</v>
      </c>
      <c r="B227" s="41" t="s">
        <v>593</v>
      </c>
      <c r="C227" s="41" t="s">
        <v>602</v>
      </c>
      <c r="D227" s="40" t="s">
        <v>598</v>
      </c>
      <c r="E227" s="40" t="s">
        <v>71</v>
      </c>
      <c r="F227" s="40" t="s">
        <v>67</v>
      </c>
      <c r="G227" s="40" t="s">
        <v>68</v>
      </c>
      <c r="H227" s="40" t="s">
        <v>160</v>
      </c>
      <c r="I227" s="40" t="s">
        <v>539</v>
      </c>
      <c r="J227" s="42">
        <v>45063</v>
      </c>
      <c r="K227" s="42">
        <v>45091</v>
      </c>
      <c r="L227" s="42">
        <v>45093</v>
      </c>
      <c r="M227" s="42">
        <v>45079</v>
      </c>
      <c r="N227" s="42">
        <v>45091</v>
      </c>
      <c r="O227" s="40" t="s">
        <v>122</v>
      </c>
      <c r="P227" s="42" t="s">
        <v>122</v>
      </c>
      <c r="AA227" s="40" t="str">
        <f t="shared" si="3"/>
        <v/>
      </c>
    </row>
    <row r="228" spans="1:27" s="75" customFormat="1" ht="15" customHeight="1" x14ac:dyDescent="0.25">
      <c r="A228" s="60" t="s">
        <v>603</v>
      </c>
      <c r="B228" s="57" t="s">
        <v>593</v>
      </c>
      <c r="C228" s="57" t="s">
        <v>604</v>
      </c>
      <c r="D228" s="56" t="s">
        <v>595</v>
      </c>
      <c r="E228" s="56" t="s">
        <v>71</v>
      </c>
      <c r="F228" s="56" t="s">
        <v>67</v>
      </c>
      <c r="G228" s="56" t="s">
        <v>68</v>
      </c>
      <c r="H228" s="56" t="s">
        <v>160</v>
      </c>
      <c r="I228" s="56" t="s">
        <v>539</v>
      </c>
      <c r="J228" s="58">
        <v>45063</v>
      </c>
      <c r="K228" s="58">
        <v>45091</v>
      </c>
      <c r="L228" s="58">
        <v>45093</v>
      </c>
      <c r="M228" s="58">
        <v>45096</v>
      </c>
      <c r="N228" s="58">
        <v>45100</v>
      </c>
      <c r="O228" s="56" t="s">
        <v>123</v>
      </c>
      <c r="P228" s="58" t="s">
        <v>123</v>
      </c>
      <c r="Q228" s="58"/>
      <c r="R228" s="58"/>
      <c r="S228" s="59"/>
      <c r="T228" s="59"/>
      <c r="U228" s="58"/>
      <c r="V228" s="58"/>
      <c r="W228" s="59"/>
      <c r="X228" s="59"/>
      <c r="Y228" s="56"/>
      <c r="Z228" s="56"/>
      <c r="AA228" s="56" t="str">
        <f t="shared" si="3"/>
        <v/>
      </c>
    </row>
    <row r="229" spans="1:27" s="75" customFormat="1" ht="15" customHeight="1" x14ac:dyDescent="0.25">
      <c r="A229" s="60" t="s">
        <v>603</v>
      </c>
      <c r="B229" s="57" t="s">
        <v>593</v>
      </c>
      <c r="C229" s="57" t="s">
        <v>604</v>
      </c>
      <c r="D229" s="56" t="s">
        <v>595</v>
      </c>
      <c r="E229" s="56" t="s">
        <v>71</v>
      </c>
      <c r="F229" s="56" t="s">
        <v>67</v>
      </c>
      <c r="G229" s="56" t="s">
        <v>68</v>
      </c>
      <c r="H229" s="56" t="s">
        <v>160</v>
      </c>
      <c r="I229" s="56" t="s">
        <v>161</v>
      </c>
      <c r="J229" s="58">
        <v>45063</v>
      </c>
      <c r="K229" s="58">
        <v>45091</v>
      </c>
      <c r="L229" s="58">
        <v>45093</v>
      </c>
      <c r="M229" s="58">
        <v>45096</v>
      </c>
      <c r="N229" s="58">
        <v>45100</v>
      </c>
      <c r="O229" s="56" t="s">
        <v>123</v>
      </c>
      <c r="P229" s="58" t="s">
        <v>123</v>
      </c>
      <c r="Q229" s="58"/>
      <c r="R229" s="58"/>
      <c r="S229" s="56"/>
      <c r="T229" s="56"/>
      <c r="U229" s="58"/>
      <c r="V229" s="58"/>
      <c r="W229" s="56"/>
      <c r="X229" s="56"/>
      <c r="Y229" s="56"/>
      <c r="Z229" s="56"/>
      <c r="AA229" s="56" t="str">
        <f t="shared" si="3"/>
        <v/>
      </c>
    </row>
    <row r="230" spans="1:27" s="75" customFormat="1" ht="15" customHeight="1" x14ac:dyDescent="0.25">
      <c r="A230" s="60" t="s">
        <v>605</v>
      </c>
      <c r="B230" s="57" t="s">
        <v>593</v>
      </c>
      <c r="C230" s="57" t="s">
        <v>606</v>
      </c>
      <c r="D230" s="56" t="s">
        <v>595</v>
      </c>
      <c r="E230" s="56" t="s">
        <v>71</v>
      </c>
      <c r="F230" s="56" t="s">
        <v>67</v>
      </c>
      <c r="G230" s="76" t="s">
        <v>68</v>
      </c>
      <c r="H230" s="56" t="s">
        <v>160</v>
      </c>
      <c r="I230" s="56" t="s">
        <v>539</v>
      </c>
      <c r="J230" s="58">
        <v>45063</v>
      </c>
      <c r="K230" s="58">
        <v>45091</v>
      </c>
      <c r="L230" s="58">
        <v>45093</v>
      </c>
      <c r="M230" s="58">
        <v>45096</v>
      </c>
      <c r="N230" s="58">
        <v>45098</v>
      </c>
      <c r="O230" s="56" t="s">
        <v>123</v>
      </c>
      <c r="P230" s="58" t="s">
        <v>123</v>
      </c>
      <c r="Q230" s="58"/>
      <c r="R230" s="58"/>
      <c r="S230" s="59"/>
      <c r="T230" s="59"/>
      <c r="U230" s="58"/>
      <c r="V230" s="58"/>
      <c r="W230" s="59"/>
      <c r="X230" s="59"/>
      <c r="Y230" s="56"/>
      <c r="Z230" s="56"/>
      <c r="AA230" s="56" t="str">
        <f t="shared" si="3"/>
        <v/>
      </c>
    </row>
    <row r="231" spans="1:27" s="75" customFormat="1" ht="15" customHeight="1" x14ac:dyDescent="0.25">
      <c r="A231" s="60" t="s">
        <v>605</v>
      </c>
      <c r="B231" s="57" t="s">
        <v>593</v>
      </c>
      <c r="C231" s="57" t="s">
        <v>606</v>
      </c>
      <c r="D231" s="56" t="s">
        <v>595</v>
      </c>
      <c r="E231" s="56" t="s">
        <v>71</v>
      </c>
      <c r="F231" s="56" t="s">
        <v>67</v>
      </c>
      <c r="G231" s="56" t="s">
        <v>68</v>
      </c>
      <c r="H231" s="56" t="s">
        <v>160</v>
      </c>
      <c r="I231" s="56" t="s">
        <v>161</v>
      </c>
      <c r="J231" s="58">
        <v>45063</v>
      </c>
      <c r="K231" s="58">
        <v>45091</v>
      </c>
      <c r="L231" s="58">
        <v>45093</v>
      </c>
      <c r="M231" s="58">
        <v>45096</v>
      </c>
      <c r="N231" s="58">
        <v>45098</v>
      </c>
      <c r="O231" s="56" t="s">
        <v>123</v>
      </c>
      <c r="P231" s="58" t="s">
        <v>123</v>
      </c>
      <c r="Q231" s="58"/>
      <c r="R231" s="58"/>
      <c r="S231" s="56"/>
      <c r="T231" s="56"/>
      <c r="U231" s="58"/>
      <c r="V231" s="58"/>
      <c r="W231" s="56"/>
      <c r="X231" s="56"/>
      <c r="Y231" s="56"/>
      <c r="Z231" s="56"/>
      <c r="AA231" s="56" t="str">
        <f t="shared" si="3"/>
        <v/>
      </c>
    </row>
    <row r="232" spans="1:27" ht="15" customHeight="1" x14ac:dyDescent="0.25">
      <c r="A232" s="43" t="s">
        <v>607</v>
      </c>
      <c r="B232" s="41" t="s">
        <v>407</v>
      </c>
      <c r="C232" s="41" t="s">
        <v>608</v>
      </c>
      <c r="D232" s="40" t="s">
        <v>87</v>
      </c>
      <c r="E232" s="40" t="s">
        <v>86</v>
      </c>
      <c r="F232" s="40" t="s">
        <v>67</v>
      </c>
      <c r="G232" s="77" t="s">
        <v>68</v>
      </c>
      <c r="H232" s="40" t="s">
        <v>168</v>
      </c>
      <c r="I232" s="40" t="s">
        <v>176</v>
      </c>
      <c r="J232" s="42">
        <v>45062</v>
      </c>
      <c r="K232" s="42">
        <v>45091</v>
      </c>
      <c r="L232" s="42">
        <v>45093</v>
      </c>
      <c r="M232" s="42">
        <v>45084</v>
      </c>
      <c r="N232" s="42">
        <v>45089</v>
      </c>
      <c r="O232" s="40" t="s">
        <v>122</v>
      </c>
      <c r="P232" s="42" t="s">
        <v>122</v>
      </c>
      <c r="S232" s="49"/>
      <c r="T232" s="49"/>
      <c r="W232" s="49"/>
      <c r="X232" s="49"/>
      <c r="AA232" s="40" t="str">
        <f t="shared" si="3"/>
        <v/>
      </c>
    </row>
    <row r="233" spans="1:27" ht="15" customHeight="1" x14ac:dyDescent="0.25">
      <c r="A233" s="43" t="s">
        <v>107</v>
      </c>
      <c r="B233" s="41" t="s">
        <v>108</v>
      </c>
      <c r="C233" s="41" t="s">
        <v>184</v>
      </c>
      <c r="D233" s="40" t="s">
        <v>88</v>
      </c>
      <c r="E233" s="40" t="s">
        <v>70</v>
      </c>
      <c r="F233" s="40" t="s">
        <v>67</v>
      </c>
      <c r="G233" s="40" t="s">
        <v>68</v>
      </c>
      <c r="H233" s="40" t="s">
        <v>168</v>
      </c>
      <c r="I233" s="40" t="s">
        <v>140</v>
      </c>
      <c r="J233" s="42">
        <v>45054</v>
      </c>
      <c r="K233" s="42">
        <v>45079</v>
      </c>
      <c r="L233" s="42">
        <v>45083</v>
      </c>
      <c r="M233" s="42">
        <v>45079</v>
      </c>
      <c r="N233" s="42">
        <v>45084</v>
      </c>
      <c r="O233" s="40" t="s">
        <v>122</v>
      </c>
      <c r="P233" s="42" t="s">
        <v>122</v>
      </c>
      <c r="AA233" s="40" t="str">
        <f t="shared" si="3"/>
        <v/>
      </c>
    </row>
    <row r="234" spans="1:27" ht="15" customHeight="1" x14ac:dyDescent="0.25">
      <c r="A234" s="43" t="s">
        <v>609</v>
      </c>
      <c r="B234" s="41" t="s">
        <v>108</v>
      </c>
      <c r="C234" s="41" t="s">
        <v>610</v>
      </c>
      <c r="D234" s="40" t="s">
        <v>88</v>
      </c>
      <c r="E234" s="40" t="s">
        <v>70</v>
      </c>
      <c r="F234" s="40" t="s">
        <v>67</v>
      </c>
      <c r="G234" s="77" t="s">
        <v>68</v>
      </c>
      <c r="H234" s="40" t="s">
        <v>168</v>
      </c>
      <c r="I234" s="40" t="s">
        <v>140</v>
      </c>
      <c r="J234" s="42">
        <v>45057</v>
      </c>
      <c r="K234" s="42">
        <v>45079</v>
      </c>
      <c r="L234" s="42">
        <v>45083</v>
      </c>
      <c r="M234" s="42">
        <v>45084</v>
      </c>
      <c r="N234" s="42">
        <v>45085</v>
      </c>
      <c r="O234" s="40" t="s">
        <v>123</v>
      </c>
      <c r="P234" s="42" t="s">
        <v>122</v>
      </c>
      <c r="S234" s="49"/>
      <c r="T234" s="49"/>
      <c r="W234" s="49"/>
      <c r="X234" s="49"/>
      <c r="AA234" s="40" t="str">
        <f t="shared" si="3"/>
        <v/>
      </c>
    </row>
    <row r="235" spans="1:27" ht="15" customHeight="1" x14ac:dyDescent="0.25">
      <c r="A235" s="43" t="s">
        <v>109</v>
      </c>
      <c r="B235" s="41" t="s">
        <v>108</v>
      </c>
      <c r="C235" s="41" t="s">
        <v>185</v>
      </c>
      <c r="D235" s="40" t="s">
        <v>110</v>
      </c>
      <c r="E235" s="40" t="s">
        <v>70</v>
      </c>
      <c r="F235" s="40" t="s">
        <v>67</v>
      </c>
      <c r="G235" s="40" t="s">
        <v>68</v>
      </c>
      <c r="H235" s="40" t="s">
        <v>168</v>
      </c>
      <c r="I235" s="40" t="s">
        <v>140</v>
      </c>
      <c r="J235" s="42">
        <v>45054</v>
      </c>
      <c r="K235" s="42">
        <v>45079</v>
      </c>
      <c r="L235" s="42">
        <v>45083</v>
      </c>
      <c r="M235" s="42">
        <v>45079</v>
      </c>
      <c r="N235" s="42">
        <v>45084</v>
      </c>
      <c r="O235" s="40" t="s">
        <v>122</v>
      </c>
      <c r="P235" s="42" t="s">
        <v>122</v>
      </c>
      <c r="AA235" s="40" t="str">
        <f t="shared" si="3"/>
        <v/>
      </c>
    </row>
    <row r="236" spans="1:27" ht="15" customHeight="1" x14ac:dyDescent="0.25">
      <c r="A236" s="43" t="s">
        <v>611</v>
      </c>
      <c r="B236" s="41" t="s">
        <v>612</v>
      </c>
      <c r="C236" s="41" t="s">
        <v>613</v>
      </c>
      <c r="D236" s="40" t="s">
        <v>614</v>
      </c>
      <c r="E236" s="40" t="s">
        <v>71</v>
      </c>
      <c r="F236" s="40" t="s">
        <v>67</v>
      </c>
      <c r="G236" s="77" t="s">
        <v>68</v>
      </c>
      <c r="H236" s="40" t="s">
        <v>160</v>
      </c>
      <c r="I236" s="40" t="s">
        <v>156</v>
      </c>
      <c r="J236" s="42">
        <v>45068</v>
      </c>
      <c r="K236" s="42">
        <v>45110</v>
      </c>
      <c r="L236" s="42">
        <v>45112</v>
      </c>
      <c r="M236" s="42">
        <v>45105</v>
      </c>
      <c r="N236" s="42">
        <v>45107</v>
      </c>
      <c r="O236" s="40" t="s">
        <v>122</v>
      </c>
      <c r="P236" s="42" t="s">
        <v>122</v>
      </c>
      <c r="S236" s="49"/>
      <c r="T236" s="49"/>
      <c r="W236" s="49"/>
      <c r="X236" s="49"/>
      <c r="AA236" s="40" t="str">
        <f t="shared" si="3"/>
        <v/>
      </c>
    </row>
    <row r="237" spans="1:27" ht="15" customHeight="1" x14ac:dyDescent="0.25">
      <c r="A237" s="43" t="s">
        <v>615</v>
      </c>
      <c r="B237" s="41" t="s">
        <v>612</v>
      </c>
      <c r="C237" s="41" t="s">
        <v>616</v>
      </c>
      <c r="D237" s="40" t="s">
        <v>538</v>
      </c>
      <c r="E237" s="40" t="s">
        <v>71</v>
      </c>
      <c r="F237" s="40" t="s">
        <v>67</v>
      </c>
      <c r="G237" s="40" t="s">
        <v>68</v>
      </c>
      <c r="H237" s="40" t="s">
        <v>139</v>
      </c>
      <c r="I237" s="40" t="s">
        <v>539</v>
      </c>
      <c r="J237" s="42">
        <v>45068</v>
      </c>
      <c r="K237" s="42">
        <v>45096</v>
      </c>
      <c r="L237" s="42">
        <v>45098</v>
      </c>
      <c r="M237" s="42">
        <v>45070</v>
      </c>
      <c r="N237" s="42">
        <v>45098</v>
      </c>
      <c r="O237" s="40" t="s">
        <v>122</v>
      </c>
      <c r="P237" s="42" t="s">
        <v>122</v>
      </c>
      <c r="AA237" s="40" t="str">
        <f t="shared" si="3"/>
        <v/>
      </c>
    </row>
    <row r="238" spans="1:27" ht="15" customHeight="1" x14ac:dyDescent="0.25">
      <c r="A238" s="43" t="s">
        <v>615</v>
      </c>
      <c r="B238" s="41" t="s">
        <v>612</v>
      </c>
      <c r="C238" s="41" t="s">
        <v>616</v>
      </c>
      <c r="D238" s="40" t="s">
        <v>538</v>
      </c>
      <c r="E238" s="40" t="s">
        <v>71</v>
      </c>
      <c r="F238" s="40" t="s">
        <v>67</v>
      </c>
      <c r="G238" s="77" t="s">
        <v>68</v>
      </c>
      <c r="H238" s="40" t="s">
        <v>139</v>
      </c>
      <c r="I238" s="40" t="s">
        <v>539</v>
      </c>
      <c r="J238" s="42">
        <v>45068</v>
      </c>
      <c r="K238" s="42">
        <v>45096</v>
      </c>
      <c r="L238" s="42">
        <v>45098</v>
      </c>
      <c r="M238" s="42">
        <v>45097</v>
      </c>
      <c r="N238" s="42">
        <v>45099</v>
      </c>
      <c r="O238" s="40" t="s">
        <v>123</v>
      </c>
      <c r="P238" s="42" t="s">
        <v>122</v>
      </c>
      <c r="S238" s="49"/>
      <c r="T238" s="49"/>
      <c r="W238" s="49"/>
      <c r="X238" s="49"/>
      <c r="AA238" s="40" t="str">
        <f t="shared" si="3"/>
        <v/>
      </c>
    </row>
    <row r="239" spans="1:27" ht="15" customHeight="1" x14ac:dyDescent="0.25">
      <c r="A239" s="43" t="s">
        <v>617</v>
      </c>
      <c r="B239" s="41" t="s">
        <v>612</v>
      </c>
      <c r="C239" s="41" t="s">
        <v>618</v>
      </c>
      <c r="D239" s="40" t="s">
        <v>538</v>
      </c>
      <c r="E239" s="40" t="s">
        <v>71</v>
      </c>
      <c r="F239" s="40" t="s">
        <v>67</v>
      </c>
      <c r="G239" s="40" t="s">
        <v>68</v>
      </c>
      <c r="H239" s="40" t="s">
        <v>139</v>
      </c>
      <c r="I239" s="40" t="s">
        <v>539</v>
      </c>
      <c r="J239" s="42">
        <v>45068</v>
      </c>
      <c r="K239" s="42">
        <v>45096</v>
      </c>
      <c r="L239" s="42">
        <v>45098</v>
      </c>
      <c r="M239" s="42">
        <v>45097</v>
      </c>
      <c r="N239" s="42">
        <v>45099</v>
      </c>
      <c r="O239" s="40" t="s">
        <v>123</v>
      </c>
      <c r="P239" s="42" t="s">
        <v>122</v>
      </c>
      <c r="AA239" s="40" t="str">
        <f t="shared" si="3"/>
        <v/>
      </c>
    </row>
    <row r="240" spans="1:27" ht="15" customHeight="1" x14ac:dyDescent="0.25">
      <c r="A240" s="43" t="s">
        <v>617</v>
      </c>
      <c r="B240" s="41" t="s">
        <v>612</v>
      </c>
      <c r="C240" s="41" t="s">
        <v>619</v>
      </c>
      <c r="D240" s="40" t="s">
        <v>538</v>
      </c>
      <c r="E240" s="40" t="s">
        <v>71</v>
      </c>
      <c r="F240" s="40" t="s">
        <v>67</v>
      </c>
      <c r="G240" s="77" t="s">
        <v>68</v>
      </c>
      <c r="H240" s="40" t="s">
        <v>139</v>
      </c>
      <c r="I240" s="40" t="s">
        <v>539</v>
      </c>
      <c r="J240" s="42">
        <v>45068</v>
      </c>
      <c r="K240" s="42">
        <v>45096</v>
      </c>
      <c r="L240" s="42">
        <v>45098</v>
      </c>
      <c r="M240" s="42">
        <v>45072</v>
      </c>
      <c r="N240" s="42">
        <v>45098</v>
      </c>
      <c r="O240" s="40" t="s">
        <v>122</v>
      </c>
      <c r="P240" s="42" t="s">
        <v>122</v>
      </c>
      <c r="S240" s="49"/>
      <c r="T240" s="49"/>
      <c r="W240" s="49"/>
      <c r="X240" s="49"/>
      <c r="AA240" s="40" t="str">
        <f t="shared" si="3"/>
        <v/>
      </c>
    </row>
    <row r="241" spans="1:27" ht="15" customHeight="1" x14ac:dyDescent="0.25">
      <c r="A241" s="43" t="s">
        <v>620</v>
      </c>
      <c r="B241" s="41" t="s">
        <v>612</v>
      </c>
      <c r="C241" s="41" t="s">
        <v>621</v>
      </c>
      <c r="D241" s="40" t="s">
        <v>538</v>
      </c>
      <c r="E241" s="40" t="s">
        <v>71</v>
      </c>
      <c r="F241" s="40" t="s">
        <v>67</v>
      </c>
      <c r="G241" s="40" t="s">
        <v>68</v>
      </c>
      <c r="H241" s="40" t="s">
        <v>139</v>
      </c>
      <c r="I241" s="40" t="s">
        <v>539</v>
      </c>
      <c r="J241" s="42">
        <v>45068</v>
      </c>
      <c r="K241" s="42">
        <v>45096</v>
      </c>
      <c r="L241" s="42">
        <v>45098</v>
      </c>
      <c r="M241" s="42">
        <v>45071</v>
      </c>
      <c r="N241" s="42">
        <v>45098</v>
      </c>
      <c r="O241" s="40" t="s">
        <v>122</v>
      </c>
      <c r="P241" s="42" t="s">
        <v>122</v>
      </c>
      <c r="AA241" s="40" t="str">
        <f t="shared" si="3"/>
        <v/>
      </c>
    </row>
    <row r="242" spans="1:27" ht="15" customHeight="1" x14ac:dyDescent="0.25">
      <c r="A242" s="43" t="s">
        <v>620</v>
      </c>
      <c r="B242" s="41" t="s">
        <v>612</v>
      </c>
      <c r="C242" s="41" t="s">
        <v>621</v>
      </c>
      <c r="D242" s="40" t="s">
        <v>538</v>
      </c>
      <c r="E242" s="40" t="s">
        <v>71</v>
      </c>
      <c r="F242" s="40" t="s">
        <v>67</v>
      </c>
      <c r="G242" s="77" t="s">
        <v>68</v>
      </c>
      <c r="H242" s="40" t="s">
        <v>139</v>
      </c>
      <c r="I242" s="40" t="s">
        <v>161</v>
      </c>
      <c r="J242" s="42">
        <v>45068</v>
      </c>
      <c r="K242" s="42">
        <v>45096</v>
      </c>
      <c r="L242" s="42">
        <v>45098</v>
      </c>
      <c r="M242" s="42">
        <v>45097</v>
      </c>
      <c r="N242" s="42">
        <v>45099</v>
      </c>
      <c r="O242" s="40" t="s">
        <v>123</v>
      </c>
      <c r="P242" s="42" t="s">
        <v>122</v>
      </c>
      <c r="S242" s="49"/>
      <c r="T242" s="49"/>
      <c r="W242" s="49"/>
      <c r="X242" s="49"/>
      <c r="AA242" s="40" t="str">
        <f t="shared" si="3"/>
        <v/>
      </c>
    </row>
    <row r="243" spans="1:27" ht="15" customHeight="1" x14ac:dyDescent="0.25">
      <c r="A243" s="43" t="s">
        <v>622</v>
      </c>
      <c r="B243" s="41" t="s">
        <v>612</v>
      </c>
      <c r="C243" s="41" t="s">
        <v>623</v>
      </c>
      <c r="D243" s="40" t="s">
        <v>538</v>
      </c>
      <c r="E243" s="40" t="s">
        <v>71</v>
      </c>
      <c r="F243" s="40" t="s">
        <v>67</v>
      </c>
      <c r="G243" s="40" t="s">
        <v>68</v>
      </c>
      <c r="H243" s="40" t="s">
        <v>139</v>
      </c>
      <c r="I243" s="40" t="s">
        <v>539</v>
      </c>
      <c r="J243" s="42">
        <v>45068</v>
      </c>
      <c r="K243" s="42">
        <v>45096</v>
      </c>
      <c r="L243" s="42">
        <v>45098</v>
      </c>
      <c r="M243" s="42">
        <v>45072</v>
      </c>
      <c r="N243" s="42">
        <v>45098</v>
      </c>
      <c r="O243" s="40" t="s">
        <v>122</v>
      </c>
      <c r="P243" s="42" t="s">
        <v>122</v>
      </c>
      <c r="AA243" s="40" t="str">
        <f t="shared" si="3"/>
        <v/>
      </c>
    </row>
    <row r="244" spans="1:27" ht="15" customHeight="1" x14ac:dyDescent="0.25">
      <c r="A244" s="43" t="s">
        <v>622</v>
      </c>
      <c r="B244" s="41" t="s">
        <v>612</v>
      </c>
      <c r="C244" s="41" t="s">
        <v>623</v>
      </c>
      <c r="D244" s="40" t="s">
        <v>538</v>
      </c>
      <c r="E244" s="40" t="s">
        <v>71</v>
      </c>
      <c r="F244" s="40" t="s">
        <v>67</v>
      </c>
      <c r="G244" s="77" t="s">
        <v>68</v>
      </c>
      <c r="H244" s="40" t="s">
        <v>139</v>
      </c>
      <c r="I244" s="40" t="s">
        <v>161</v>
      </c>
      <c r="J244" s="42">
        <v>45068</v>
      </c>
      <c r="K244" s="42">
        <v>45096</v>
      </c>
      <c r="L244" s="42">
        <v>45098</v>
      </c>
      <c r="M244" s="42">
        <v>45097</v>
      </c>
      <c r="N244" s="42">
        <v>45099</v>
      </c>
      <c r="O244" s="40" t="s">
        <v>123</v>
      </c>
      <c r="P244" s="42" t="s">
        <v>122</v>
      </c>
      <c r="S244" s="49"/>
      <c r="T244" s="49"/>
      <c r="W244" s="49"/>
      <c r="X244" s="49"/>
      <c r="AA244" s="40" t="str">
        <f t="shared" si="3"/>
        <v/>
      </c>
    </row>
    <row r="245" spans="1:27" ht="15" customHeight="1" x14ac:dyDescent="0.25">
      <c r="A245" s="43" t="s">
        <v>624</v>
      </c>
      <c r="B245" s="41" t="s">
        <v>612</v>
      </c>
      <c r="C245" s="41" t="s">
        <v>625</v>
      </c>
      <c r="D245" s="40" t="s">
        <v>538</v>
      </c>
      <c r="E245" s="40" t="s">
        <v>71</v>
      </c>
      <c r="F245" s="40" t="s">
        <v>67</v>
      </c>
      <c r="G245" s="40" t="s">
        <v>68</v>
      </c>
      <c r="H245" s="40" t="s">
        <v>139</v>
      </c>
      <c r="I245" s="40" t="s">
        <v>539</v>
      </c>
      <c r="J245" s="42">
        <v>45068</v>
      </c>
      <c r="K245" s="42">
        <v>45096</v>
      </c>
      <c r="L245" s="42">
        <v>45098</v>
      </c>
      <c r="M245" s="42">
        <v>45072</v>
      </c>
      <c r="N245" s="42">
        <v>45099</v>
      </c>
      <c r="O245" s="40" t="s">
        <v>122</v>
      </c>
      <c r="P245" s="42" t="s">
        <v>122</v>
      </c>
      <c r="AA245" s="40" t="str">
        <f t="shared" si="3"/>
        <v/>
      </c>
    </row>
    <row r="246" spans="1:27" ht="15" customHeight="1" x14ac:dyDescent="0.25">
      <c r="A246" s="43" t="s">
        <v>626</v>
      </c>
      <c r="B246" s="41" t="s">
        <v>627</v>
      </c>
      <c r="C246" s="41" t="s">
        <v>628</v>
      </c>
      <c r="D246" s="40" t="s">
        <v>629</v>
      </c>
      <c r="E246" s="40" t="s">
        <v>86</v>
      </c>
      <c r="F246" s="40" t="s">
        <v>67</v>
      </c>
      <c r="G246" s="77" t="s">
        <v>86</v>
      </c>
      <c r="H246" s="40" t="s">
        <v>168</v>
      </c>
      <c r="I246" s="40" t="s">
        <v>161</v>
      </c>
      <c r="J246" s="42">
        <v>45056</v>
      </c>
      <c r="K246" s="42">
        <v>45091</v>
      </c>
      <c r="L246" s="42">
        <v>45092</v>
      </c>
      <c r="M246" s="42">
        <v>45090</v>
      </c>
      <c r="N246" s="42">
        <v>45092</v>
      </c>
      <c r="O246" s="40" t="s">
        <v>122</v>
      </c>
      <c r="P246" s="42" t="s">
        <v>122</v>
      </c>
      <c r="S246" s="49"/>
      <c r="T246" s="49"/>
      <c r="W246" s="49"/>
      <c r="X246" s="49"/>
      <c r="AA246" s="40" t="str">
        <f t="shared" si="3"/>
        <v/>
      </c>
    </row>
    <row r="247" spans="1:27" ht="15" customHeight="1" x14ac:dyDescent="0.25">
      <c r="A247" s="43" t="s">
        <v>630</v>
      </c>
      <c r="B247" s="41" t="s">
        <v>401</v>
      </c>
      <c r="C247" s="41" t="s">
        <v>631</v>
      </c>
      <c r="D247" s="40" t="s">
        <v>103</v>
      </c>
      <c r="E247" s="40" t="s">
        <v>69</v>
      </c>
      <c r="F247" s="40" t="s">
        <v>67</v>
      </c>
      <c r="G247" s="40" t="s">
        <v>89</v>
      </c>
      <c r="H247" s="40" t="s">
        <v>155</v>
      </c>
      <c r="I247" s="40" t="s">
        <v>156</v>
      </c>
      <c r="J247" s="42">
        <v>45076</v>
      </c>
      <c r="K247" s="42">
        <v>45098</v>
      </c>
      <c r="L247" s="42">
        <v>45100</v>
      </c>
      <c r="M247" s="42">
        <v>45098</v>
      </c>
      <c r="N247" s="42">
        <v>45099</v>
      </c>
      <c r="O247" s="40" t="s">
        <v>122</v>
      </c>
      <c r="P247" s="42" t="s">
        <v>122</v>
      </c>
      <c r="AA247" s="40" t="str">
        <f t="shared" si="3"/>
        <v/>
      </c>
    </row>
    <row r="248" spans="1:27" ht="15" customHeight="1" x14ac:dyDescent="0.25">
      <c r="A248" s="43" t="s">
        <v>632</v>
      </c>
      <c r="B248" s="41" t="s">
        <v>633</v>
      </c>
      <c r="C248" s="41" t="s">
        <v>634</v>
      </c>
      <c r="D248" s="40" t="s">
        <v>635</v>
      </c>
      <c r="E248" s="40" t="s">
        <v>71</v>
      </c>
      <c r="F248" s="40" t="s">
        <v>67</v>
      </c>
      <c r="G248" s="77" t="s">
        <v>89</v>
      </c>
      <c r="H248" s="40" t="s">
        <v>139</v>
      </c>
      <c r="I248" s="40" t="s">
        <v>161</v>
      </c>
      <c r="J248" s="42">
        <v>45083</v>
      </c>
      <c r="K248" s="42">
        <v>45105</v>
      </c>
      <c r="L248" s="42">
        <v>45107</v>
      </c>
      <c r="M248" s="42">
        <v>45098</v>
      </c>
      <c r="N248" s="42">
        <v>45107</v>
      </c>
      <c r="O248" s="40" t="s">
        <v>122</v>
      </c>
      <c r="P248" s="42" t="s">
        <v>122</v>
      </c>
      <c r="S248" s="49"/>
      <c r="T248" s="49"/>
      <c r="W248" s="49"/>
      <c r="X248" s="49"/>
      <c r="AA248" s="40" t="str">
        <f t="shared" si="3"/>
        <v/>
      </c>
    </row>
    <row r="249" spans="1:27" ht="15" customHeight="1" x14ac:dyDescent="0.25">
      <c r="A249" s="43" t="s">
        <v>636</v>
      </c>
      <c r="B249" s="41" t="s">
        <v>633</v>
      </c>
      <c r="C249" s="41" t="s">
        <v>637</v>
      </c>
      <c r="D249" s="40" t="s">
        <v>635</v>
      </c>
      <c r="E249" s="40" t="s">
        <v>71</v>
      </c>
      <c r="F249" s="40" t="s">
        <v>67</v>
      </c>
      <c r="G249" s="40" t="s">
        <v>89</v>
      </c>
      <c r="H249" s="40" t="s">
        <v>139</v>
      </c>
      <c r="I249" s="40" t="s">
        <v>161</v>
      </c>
      <c r="J249" s="42">
        <v>45083</v>
      </c>
      <c r="K249" s="42">
        <v>45105</v>
      </c>
      <c r="L249" s="42">
        <v>45107</v>
      </c>
      <c r="M249" s="42">
        <v>45098</v>
      </c>
      <c r="N249" s="42">
        <v>45107</v>
      </c>
      <c r="O249" s="40" t="s">
        <v>122</v>
      </c>
      <c r="P249" s="42" t="s">
        <v>122</v>
      </c>
      <c r="AA249" s="40" t="str">
        <f t="shared" si="3"/>
        <v/>
      </c>
    </row>
    <row r="250" spans="1:27" ht="15" customHeight="1" x14ac:dyDescent="0.25">
      <c r="A250" s="43" t="s">
        <v>638</v>
      </c>
      <c r="B250" s="41" t="s">
        <v>633</v>
      </c>
      <c r="C250" s="41" t="s">
        <v>639</v>
      </c>
      <c r="D250" s="40" t="s">
        <v>635</v>
      </c>
      <c r="E250" s="40" t="s">
        <v>71</v>
      </c>
      <c r="F250" s="40" t="s">
        <v>67</v>
      </c>
      <c r="G250" s="77" t="s">
        <v>89</v>
      </c>
      <c r="H250" s="40" t="s">
        <v>139</v>
      </c>
      <c r="I250" s="40" t="s">
        <v>161</v>
      </c>
      <c r="J250" s="42">
        <v>45083</v>
      </c>
      <c r="K250" s="42">
        <v>45105</v>
      </c>
      <c r="L250" s="42">
        <v>45107</v>
      </c>
      <c r="M250" s="42">
        <v>45098</v>
      </c>
      <c r="N250" s="42">
        <v>45107</v>
      </c>
      <c r="O250" s="40" t="s">
        <v>122</v>
      </c>
      <c r="P250" s="42" t="s">
        <v>122</v>
      </c>
      <c r="S250" s="49"/>
      <c r="T250" s="49"/>
      <c r="W250" s="49"/>
      <c r="X250" s="49"/>
      <c r="AA250" s="40" t="str">
        <f t="shared" si="3"/>
        <v/>
      </c>
    </row>
    <row r="251" spans="1:27" ht="15" customHeight="1" x14ac:dyDescent="0.25">
      <c r="A251" s="43" t="s">
        <v>640</v>
      </c>
      <c r="B251" s="41" t="s">
        <v>633</v>
      </c>
      <c r="C251" s="41" t="s">
        <v>641</v>
      </c>
      <c r="D251" s="40" t="s">
        <v>642</v>
      </c>
      <c r="E251" s="40" t="s">
        <v>71</v>
      </c>
      <c r="F251" s="40" t="s">
        <v>67</v>
      </c>
      <c r="G251" s="40" t="s">
        <v>89</v>
      </c>
      <c r="H251" s="40" t="s">
        <v>139</v>
      </c>
      <c r="I251" s="40" t="s">
        <v>161</v>
      </c>
      <c r="J251" s="42">
        <v>45083</v>
      </c>
      <c r="K251" s="42">
        <v>45105</v>
      </c>
      <c r="L251" s="42">
        <v>45107</v>
      </c>
      <c r="M251" s="42">
        <v>45106</v>
      </c>
      <c r="N251" s="42">
        <v>45107</v>
      </c>
      <c r="O251" s="40" t="s">
        <v>123</v>
      </c>
      <c r="P251" s="42" t="s">
        <v>122</v>
      </c>
      <c r="AA251" s="40" t="str">
        <f t="shared" si="3"/>
        <v/>
      </c>
    </row>
    <row r="252" spans="1:27" ht="15" customHeight="1" x14ac:dyDescent="0.25">
      <c r="A252" s="43" t="s">
        <v>643</v>
      </c>
      <c r="B252" s="41" t="s">
        <v>633</v>
      </c>
      <c r="C252" s="41" t="s">
        <v>644</v>
      </c>
      <c r="D252" s="40" t="s">
        <v>642</v>
      </c>
      <c r="E252" s="40" t="s">
        <v>71</v>
      </c>
      <c r="F252" s="40" t="s">
        <v>67</v>
      </c>
      <c r="G252" s="77" t="s">
        <v>89</v>
      </c>
      <c r="H252" s="40" t="s">
        <v>139</v>
      </c>
      <c r="I252" s="40" t="s">
        <v>161</v>
      </c>
      <c r="J252" s="42">
        <v>45083</v>
      </c>
      <c r="K252" s="42">
        <v>45105</v>
      </c>
      <c r="L252" s="42">
        <v>45107</v>
      </c>
      <c r="M252" s="42">
        <v>45106</v>
      </c>
      <c r="N252" s="42">
        <v>45107</v>
      </c>
      <c r="O252" s="40" t="s">
        <v>123</v>
      </c>
      <c r="P252" s="42" t="s">
        <v>122</v>
      </c>
      <c r="S252" s="49"/>
      <c r="T252" s="49"/>
      <c r="W252" s="49"/>
      <c r="X252" s="49"/>
      <c r="AA252" s="40" t="str">
        <f t="shared" si="3"/>
        <v/>
      </c>
    </row>
    <row r="253" spans="1:27" ht="15" customHeight="1" x14ac:dyDescent="0.25">
      <c r="A253" s="43" t="s">
        <v>645</v>
      </c>
      <c r="B253" s="41" t="s">
        <v>633</v>
      </c>
      <c r="C253" s="41" t="s">
        <v>646</v>
      </c>
      <c r="D253" s="40" t="s">
        <v>647</v>
      </c>
      <c r="E253" s="40" t="s">
        <v>71</v>
      </c>
      <c r="F253" s="40" t="s">
        <v>67</v>
      </c>
      <c r="G253" s="40" t="s">
        <v>89</v>
      </c>
      <c r="H253" s="40" t="s">
        <v>139</v>
      </c>
      <c r="I253" s="40" t="s">
        <v>161</v>
      </c>
      <c r="J253" s="42">
        <v>45083</v>
      </c>
      <c r="K253" s="42">
        <v>45105</v>
      </c>
      <c r="L253" s="42">
        <v>45107</v>
      </c>
      <c r="M253" s="42">
        <v>45106</v>
      </c>
      <c r="N253" s="42">
        <v>45107</v>
      </c>
      <c r="O253" s="40" t="s">
        <v>123</v>
      </c>
      <c r="P253" s="42" t="s">
        <v>122</v>
      </c>
      <c r="AA253" s="40" t="str">
        <f t="shared" si="3"/>
        <v/>
      </c>
    </row>
    <row r="254" spans="1:27" ht="15" customHeight="1" x14ac:dyDescent="0.25">
      <c r="A254" s="43" t="s">
        <v>648</v>
      </c>
      <c r="B254" s="41" t="s">
        <v>633</v>
      </c>
      <c r="C254" s="41" t="s">
        <v>649</v>
      </c>
      <c r="D254" s="40" t="s">
        <v>647</v>
      </c>
      <c r="E254" s="40" t="s">
        <v>71</v>
      </c>
      <c r="F254" s="40" t="s">
        <v>67</v>
      </c>
      <c r="G254" s="77" t="s">
        <v>89</v>
      </c>
      <c r="H254" s="40" t="s">
        <v>139</v>
      </c>
      <c r="I254" s="40" t="s">
        <v>161</v>
      </c>
      <c r="J254" s="42">
        <v>45083</v>
      </c>
      <c r="K254" s="42">
        <v>45105</v>
      </c>
      <c r="L254" s="42">
        <v>45107</v>
      </c>
      <c r="M254" s="42">
        <v>45106</v>
      </c>
      <c r="N254" s="42">
        <v>45107</v>
      </c>
      <c r="O254" s="40" t="s">
        <v>123</v>
      </c>
      <c r="P254" s="42" t="s">
        <v>122</v>
      </c>
      <c r="S254" s="49"/>
      <c r="T254" s="49"/>
      <c r="W254" s="49"/>
      <c r="X254" s="49"/>
      <c r="AA254" s="40" t="str">
        <f t="shared" si="3"/>
        <v/>
      </c>
    </row>
    <row r="255" spans="1:27" s="75" customFormat="1" ht="15" customHeight="1" x14ac:dyDescent="0.25">
      <c r="A255" s="60" t="s">
        <v>650</v>
      </c>
      <c r="B255" s="57" t="s">
        <v>651</v>
      </c>
      <c r="C255" s="57" t="s">
        <v>652</v>
      </c>
      <c r="D255" s="56" t="s">
        <v>653</v>
      </c>
      <c r="E255" s="56" t="s">
        <v>66</v>
      </c>
      <c r="F255" s="56" t="s">
        <v>67</v>
      </c>
      <c r="G255" s="56" t="s">
        <v>89</v>
      </c>
      <c r="H255" s="56" t="s">
        <v>155</v>
      </c>
      <c r="I255" s="56" t="s">
        <v>313</v>
      </c>
      <c r="J255" s="58">
        <v>45078</v>
      </c>
      <c r="K255" s="58">
        <v>45091</v>
      </c>
      <c r="L255" s="58">
        <v>45093</v>
      </c>
      <c r="M255" s="58">
        <v>45091</v>
      </c>
      <c r="N255" s="58">
        <v>45096</v>
      </c>
      <c r="O255" s="56" t="s">
        <v>122</v>
      </c>
      <c r="P255" s="58" t="s">
        <v>123</v>
      </c>
      <c r="Q255" s="58"/>
      <c r="R255" s="58"/>
      <c r="S255" s="56"/>
      <c r="T255" s="56"/>
      <c r="U255" s="58"/>
      <c r="V255" s="58"/>
      <c r="W255" s="56"/>
      <c r="X255" s="56"/>
      <c r="Y255" s="56"/>
      <c r="Z255" s="56"/>
      <c r="AA255" s="56" t="str">
        <f t="shared" si="3"/>
        <v/>
      </c>
    </row>
    <row r="256" spans="1:27" s="75" customFormat="1" ht="15" customHeight="1" x14ac:dyDescent="0.25">
      <c r="A256" s="60" t="s">
        <v>654</v>
      </c>
      <c r="B256" s="57" t="s">
        <v>655</v>
      </c>
      <c r="C256" s="57" t="s">
        <v>656</v>
      </c>
      <c r="D256" s="56" t="s">
        <v>440</v>
      </c>
      <c r="E256" s="56" t="s">
        <v>86</v>
      </c>
      <c r="F256" s="56" t="s">
        <v>67</v>
      </c>
      <c r="G256" s="76" t="s">
        <v>89</v>
      </c>
      <c r="H256" s="56" t="s">
        <v>168</v>
      </c>
      <c r="I256" s="56" t="s">
        <v>140</v>
      </c>
      <c r="J256" s="58">
        <v>45057</v>
      </c>
      <c r="K256" s="58">
        <v>45082</v>
      </c>
      <c r="L256" s="58">
        <v>45084</v>
      </c>
      <c r="M256" s="58">
        <v>45092</v>
      </c>
      <c r="N256" s="58">
        <v>45097</v>
      </c>
      <c r="O256" s="56" t="s">
        <v>123</v>
      </c>
      <c r="P256" s="58" t="s">
        <v>123</v>
      </c>
      <c r="Q256" s="58"/>
      <c r="R256" s="58"/>
      <c r="S256" s="59"/>
      <c r="T256" s="59"/>
      <c r="U256" s="58"/>
      <c r="V256" s="58"/>
      <c r="W256" s="59"/>
      <c r="X256" s="59"/>
      <c r="Y256" s="56"/>
      <c r="Z256" s="56"/>
      <c r="AA256" s="56" t="str">
        <f t="shared" si="3"/>
        <v/>
      </c>
    </row>
    <row r="257" spans="1:27" ht="15" customHeight="1" x14ac:dyDescent="0.25">
      <c r="A257" s="43" t="s">
        <v>657</v>
      </c>
      <c r="B257" s="41" t="s">
        <v>658</v>
      </c>
      <c r="C257" s="41" t="s">
        <v>659</v>
      </c>
      <c r="D257" s="40" t="s">
        <v>90</v>
      </c>
      <c r="E257" s="40" t="s">
        <v>86</v>
      </c>
      <c r="F257" s="40" t="s">
        <v>67</v>
      </c>
      <c r="G257" s="40" t="s">
        <v>68</v>
      </c>
      <c r="H257" s="40" t="s">
        <v>160</v>
      </c>
      <c r="I257" s="40" t="s">
        <v>140</v>
      </c>
      <c r="J257" s="42">
        <v>45064</v>
      </c>
      <c r="K257" s="42">
        <v>45104</v>
      </c>
      <c r="L257" s="42">
        <v>45106</v>
      </c>
      <c r="M257" s="42">
        <v>45100</v>
      </c>
      <c r="N257" s="42">
        <v>45104</v>
      </c>
      <c r="O257" s="40" t="s">
        <v>122</v>
      </c>
      <c r="P257" s="42" t="s">
        <v>122</v>
      </c>
      <c r="AA257" s="40" t="str">
        <f t="shared" si="3"/>
        <v/>
      </c>
    </row>
    <row r="258" spans="1:27" ht="15" customHeight="1" x14ac:dyDescent="0.25">
      <c r="A258" s="43" t="s">
        <v>660</v>
      </c>
      <c r="B258" s="41" t="s">
        <v>661</v>
      </c>
      <c r="C258" s="41" t="s">
        <v>662</v>
      </c>
      <c r="D258" s="40" t="s">
        <v>663</v>
      </c>
      <c r="E258" s="40" t="s">
        <v>89</v>
      </c>
      <c r="F258" s="40" t="s">
        <v>67</v>
      </c>
      <c r="G258" s="77" t="s">
        <v>89</v>
      </c>
      <c r="H258" s="40" t="s">
        <v>139</v>
      </c>
      <c r="I258" s="40" t="s">
        <v>140</v>
      </c>
      <c r="J258" s="42">
        <v>45075</v>
      </c>
      <c r="K258" s="42">
        <v>45097</v>
      </c>
      <c r="L258" s="42">
        <v>45099</v>
      </c>
      <c r="M258" s="42">
        <v>45092</v>
      </c>
      <c r="N258" s="42">
        <v>45098</v>
      </c>
      <c r="O258" s="40" t="s">
        <v>122</v>
      </c>
      <c r="P258" s="42" t="s">
        <v>122</v>
      </c>
      <c r="S258" s="49"/>
      <c r="T258" s="49"/>
      <c r="W258" s="49"/>
      <c r="X258" s="49"/>
      <c r="AA258" s="40" t="str">
        <f t="shared" si="3"/>
        <v/>
      </c>
    </row>
    <row r="259" spans="1:27" ht="15" customHeight="1" x14ac:dyDescent="0.25">
      <c r="A259" s="43" t="s">
        <v>664</v>
      </c>
      <c r="B259" s="41" t="s">
        <v>661</v>
      </c>
      <c r="C259" s="41" t="s">
        <v>665</v>
      </c>
      <c r="D259" s="40" t="s">
        <v>666</v>
      </c>
      <c r="E259" s="40" t="s">
        <v>89</v>
      </c>
      <c r="F259" s="40" t="s">
        <v>67</v>
      </c>
      <c r="G259" s="40" t="s">
        <v>89</v>
      </c>
      <c r="H259" s="40" t="s">
        <v>139</v>
      </c>
      <c r="I259" s="40" t="s">
        <v>140</v>
      </c>
      <c r="J259" s="42">
        <v>45075</v>
      </c>
      <c r="K259" s="42">
        <v>45097</v>
      </c>
      <c r="L259" s="42">
        <v>45099</v>
      </c>
      <c r="M259" s="42">
        <v>45091</v>
      </c>
      <c r="N259" s="42">
        <v>45097</v>
      </c>
      <c r="O259" s="40" t="s">
        <v>122</v>
      </c>
      <c r="P259" s="42" t="s">
        <v>122</v>
      </c>
      <c r="AA259" s="40" t="str">
        <f t="shared" si="3"/>
        <v/>
      </c>
    </row>
    <row r="260" spans="1:27" s="75" customFormat="1" ht="15" customHeight="1" x14ac:dyDescent="0.25">
      <c r="A260" s="60" t="s">
        <v>667</v>
      </c>
      <c r="B260" s="57" t="s">
        <v>668</v>
      </c>
      <c r="C260" s="57" t="s">
        <v>669</v>
      </c>
      <c r="D260" s="56" t="s">
        <v>670</v>
      </c>
      <c r="E260" s="56" t="s">
        <v>69</v>
      </c>
      <c r="F260" s="56" t="s">
        <v>67</v>
      </c>
      <c r="G260" s="76" t="s">
        <v>68</v>
      </c>
      <c r="H260" s="56" t="s">
        <v>155</v>
      </c>
      <c r="I260" s="56" t="s">
        <v>156</v>
      </c>
      <c r="J260" s="58">
        <v>45069</v>
      </c>
      <c r="K260" s="58">
        <v>45089</v>
      </c>
      <c r="L260" s="58">
        <v>45091</v>
      </c>
      <c r="M260" s="58">
        <v>45090</v>
      </c>
      <c r="N260" s="58">
        <v>45097</v>
      </c>
      <c r="O260" s="56" t="s">
        <v>123</v>
      </c>
      <c r="P260" s="58" t="s">
        <v>123</v>
      </c>
      <c r="Q260" s="58"/>
      <c r="R260" s="58"/>
      <c r="S260" s="59"/>
      <c r="T260" s="59"/>
      <c r="U260" s="58"/>
      <c r="V260" s="58"/>
      <c r="W260" s="59"/>
      <c r="X260" s="59"/>
      <c r="Y260" s="56"/>
      <c r="Z260" s="56"/>
      <c r="AA260" s="56" t="str">
        <f t="shared" si="3"/>
        <v/>
      </c>
    </row>
    <row r="261" spans="1:27" ht="15" customHeight="1" x14ac:dyDescent="0.25">
      <c r="A261" s="43" t="s">
        <v>667</v>
      </c>
      <c r="B261" s="41" t="s">
        <v>668</v>
      </c>
      <c r="C261" s="41" t="s">
        <v>669</v>
      </c>
      <c r="D261" s="40" t="s">
        <v>670</v>
      </c>
      <c r="E261" s="40" t="s">
        <v>69</v>
      </c>
      <c r="F261" s="40" t="s">
        <v>67</v>
      </c>
      <c r="G261" s="40" t="s">
        <v>68</v>
      </c>
      <c r="H261" s="40" t="s">
        <v>155</v>
      </c>
      <c r="I261" s="40" t="s">
        <v>188</v>
      </c>
      <c r="J261" s="42">
        <v>45069</v>
      </c>
      <c r="K261" s="42">
        <v>45096</v>
      </c>
      <c r="L261" s="42">
        <v>45098</v>
      </c>
      <c r="M261" s="42">
        <v>45090</v>
      </c>
      <c r="N261" s="42">
        <v>45097</v>
      </c>
      <c r="O261" s="40" t="s">
        <v>122</v>
      </c>
      <c r="P261" s="42" t="s">
        <v>122</v>
      </c>
      <c r="AA261" s="40" t="str">
        <f t="shared" si="3"/>
        <v/>
      </c>
    </row>
    <row r="262" spans="1:27" ht="15" customHeight="1" x14ac:dyDescent="0.25">
      <c r="A262" s="43" t="s">
        <v>667</v>
      </c>
      <c r="B262" s="41" t="s">
        <v>668</v>
      </c>
      <c r="C262" s="41" t="s">
        <v>669</v>
      </c>
      <c r="D262" s="40" t="s">
        <v>670</v>
      </c>
      <c r="E262" s="40" t="s">
        <v>69</v>
      </c>
      <c r="F262" s="40" t="s">
        <v>67</v>
      </c>
      <c r="G262" s="77" t="s">
        <v>68</v>
      </c>
      <c r="H262" s="40" t="s">
        <v>155</v>
      </c>
      <c r="I262" s="40" t="s">
        <v>156</v>
      </c>
      <c r="J262" s="42">
        <v>45069</v>
      </c>
      <c r="K262" s="42">
        <v>45096</v>
      </c>
      <c r="L262" s="42">
        <v>45098</v>
      </c>
      <c r="M262" s="42">
        <v>45092</v>
      </c>
      <c r="N262" s="42">
        <v>45097</v>
      </c>
      <c r="O262" s="40" t="s">
        <v>122</v>
      </c>
      <c r="P262" s="42" t="s">
        <v>122</v>
      </c>
      <c r="S262" s="49"/>
      <c r="T262" s="49"/>
      <c r="W262" s="49"/>
      <c r="X262" s="49"/>
      <c r="AA262" s="40" t="str">
        <f t="shared" si="3"/>
        <v/>
      </c>
    </row>
    <row r="263" spans="1:27" ht="15" customHeight="1" x14ac:dyDescent="0.25">
      <c r="A263" s="43" t="s">
        <v>671</v>
      </c>
      <c r="B263" s="41" t="s">
        <v>672</v>
      </c>
      <c r="C263" s="41" t="s">
        <v>673</v>
      </c>
      <c r="D263" s="40" t="s">
        <v>674</v>
      </c>
      <c r="E263" s="40" t="s">
        <v>89</v>
      </c>
      <c r="F263" s="40" t="s">
        <v>67</v>
      </c>
      <c r="G263" s="40" t="s">
        <v>89</v>
      </c>
      <c r="H263" s="40" t="s">
        <v>155</v>
      </c>
      <c r="I263" s="40" t="s">
        <v>140</v>
      </c>
      <c r="J263" s="42">
        <v>45069</v>
      </c>
      <c r="K263" s="42">
        <v>45096</v>
      </c>
      <c r="L263" s="42">
        <v>45098</v>
      </c>
      <c r="M263" s="42">
        <v>45097</v>
      </c>
      <c r="N263" s="42">
        <v>45099</v>
      </c>
      <c r="O263" s="40" t="s">
        <v>123</v>
      </c>
      <c r="P263" s="42" t="s">
        <v>122</v>
      </c>
      <c r="AA263" s="40" t="str">
        <f t="shared" si="3"/>
        <v/>
      </c>
    </row>
    <row r="264" spans="1:27" s="75" customFormat="1" ht="15" customHeight="1" x14ac:dyDescent="0.25">
      <c r="A264" s="60" t="s">
        <v>111</v>
      </c>
      <c r="B264" s="57" t="s">
        <v>112</v>
      </c>
      <c r="C264" s="57" t="s">
        <v>186</v>
      </c>
      <c r="D264" s="56" t="s">
        <v>98</v>
      </c>
      <c r="E264" s="56" t="s">
        <v>86</v>
      </c>
      <c r="F264" s="56" t="s">
        <v>67</v>
      </c>
      <c r="G264" s="76" t="s">
        <v>68</v>
      </c>
      <c r="H264" s="56" t="s">
        <v>187</v>
      </c>
      <c r="I264" s="56" t="s">
        <v>188</v>
      </c>
      <c r="J264" s="58">
        <v>45071</v>
      </c>
      <c r="K264" s="58">
        <v>45077</v>
      </c>
      <c r="L264" s="58">
        <v>45079</v>
      </c>
      <c r="M264" s="58">
        <v>45079</v>
      </c>
      <c r="N264" s="58">
        <v>45082</v>
      </c>
      <c r="O264" s="56" t="s">
        <v>123</v>
      </c>
      <c r="P264" s="58" t="s">
        <v>123</v>
      </c>
      <c r="Q264" s="58"/>
      <c r="R264" s="58"/>
      <c r="S264" s="59"/>
      <c r="T264" s="59"/>
      <c r="U264" s="58"/>
      <c r="V264" s="58"/>
      <c r="W264" s="59"/>
      <c r="X264" s="59"/>
      <c r="Y264" s="56"/>
      <c r="Z264" s="56"/>
      <c r="AA264" s="56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43" t="s">
        <v>113</v>
      </c>
      <c r="B265" s="41" t="s">
        <v>114</v>
      </c>
      <c r="C265" s="41" t="s">
        <v>189</v>
      </c>
      <c r="D265" s="40" t="s">
        <v>98</v>
      </c>
      <c r="E265" s="40" t="s">
        <v>86</v>
      </c>
      <c r="F265" s="40" t="s">
        <v>67</v>
      </c>
      <c r="G265" s="40" t="s">
        <v>68</v>
      </c>
      <c r="H265" s="40" t="s">
        <v>155</v>
      </c>
      <c r="I265" s="40" t="s">
        <v>188</v>
      </c>
      <c r="J265" s="42">
        <v>45071</v>
      </c>
      <c r="K265" s="42">
        <v>45082</v>
      </c>
      <c r="L265" s="42">
        <v>45084</v>
      </c>
      <c r="M265" s="42">
        <v>45082</v>
      </c>
      <c r="N265" s="42">
        <v>45084</v>
      </c>
      <c r="O265" s="40" t="s">
        <v>122</v>
      </c>
      <c r="P265" s="42" t="s">
        <v>122</v>
      </c>
      <c r="AA265" s="40" t="str">
        <f t="shared" si="4"/>
        <v/>
      </c>
    </row>
    <row r="266" spans="1:27" ht="15" customHeight="1" x14ac:dyDescent="0.25">
      <c r="A266" s="43" t="s">
        <v>115</v>
      </c>
      <c r="B266" s="41" t="s">
        <v>116</v>
      </c>
      <c r="C266" s="41" t="s">
        <v>190</v>
      </c>
      <c r="D266" s="40" t="s">
        <v>98</v>
      </c>
      <c r="E266" s="40" t="s">
        <v>86</v>
      </c>
      <c r="F266" s="40" t="s">
        <v>67</v>
      </c>
      <c r="G266" s="77" t="s">
        <v>68</v>
      </c>
      <c r="H266" s="40" t="s">
        <v>168</v>
      </c>
      <c r="I266" s="40" t="s">
        <v>188</v>
      </c>
      <c r="J266" s="42">
        <v>45071</v>
      </c>
      <c r="K266" s="42">
        <v>45082</v>
      </c>
      <c r="L266" s="42">
        <v>45084</v>
      </c>
      <c r="M266" s="42">
        <v>45082</v>
      </c>
      <c r="N266" s="42">
        <v>45084</v>
      </c>
      <c r="O266" s="40" t="s">
        <v>122</v>
      </c>
      <c r="P266" s="42" t="s">
        <v>122</v>
      </c>
      <c r="S266" s="49"/>
      <c r="T266" s="49"/>
      <c r="W266" s="49"/>
      <c r="X266" s="49"/>
      <c r="AA266" s="40" t="str">
        <f t="shared" si="4"/>
        <v/>
      </c>
    </row>
    <row r="267" spans="1:27" s="75" customFormat="1" ht="15" customHeight="1" x14ac:dyDescent="0.25">
      <c r="A267" s="60" t="s">
        <v>675</v>
      </c>
      <c r="B267" s="57" t="s">
        <v>676</v>
      </c>
      <c r="C267" s="57" t="s">
        <v>677</v>
      </c>
      <c r="D267" s="56" t="s">
        <v>98</v>
      </c>
      <c r="E267" s="56" t="s">
        <v>86</v>
      </c>
      <c r="F267" s="56" t="s">
        <v>67</v>
      </c>
      <c r="G267" s="56" t="s">
        <v>89</v>
      </c>
      <c r="H267" s="56" t="s">
        <v>155</v>
      </c>
      <c r="I267" s="56" t="s">
        <v>188</v>
      </c>
      <c r="J267" s="58">
        <v>45078</v>
      </c>
      <c r="K267" s="58">
        <v>45086</v>
      </c>
      <c r="L267" s="58">
        <v>45090</v>
      </c>
      <c r="M267" s="58">
        <v>45091</v>
      </c>
      <c r="N267" s="58">
        <v>45097</v>
      </c>
      <c r="O267" s="56" t="s">
        <v>123</v>
      </c>
      <c r="P267" s="58" t="s">
        <v>123</v>
      </c>
      <c r="Q267" s="58"/>
      <c r="R267" s="58"/>
      <c r="S267" s="56"/>
      <c r="T267" s="56"/>
      <c r="U267" s="58"/>
      <c r="V267" s="58"/>
      <c r="W267" s="56"/>
      <c r="X267" s="56"/>
      <c r="Y267" s="56"/>
      <c r="Z267" s="56"/>
      <c r="AA267" s="56" t="str">
        <f t="shared" si="4"/>
        <v/>
      </c>
    </row>
    <row r="268" spans="1:27" ht="15" customHeight="1" x14ac:dyDescent="0.25">
      <c r="A268" s="43" t="s">
        <v>678</v>
      </c>
      <c r="B268" s="41" t="s">
        <v>679</v>
      </c>
      <c r="C268" s="41" t="s">
        <v>680</v>
      </c>
      <c r="D268" s="40" t="s">
        <v>98</v>
      </c>
      <c r="E268" s="40" t="s">
        <v>86</v>
      </c>
      <c r="F268" s="40" t="s">
        <v>67</v>
      </c>
      <c r="G268" s="77" t="s">
        <v>89</v>
      </c>
      <c r="H268" s="40" t="s">
        <v>160</v>
      </c>
      <c r="I268" s="40" t="s">
        <v>188</v>
      </c>
      <c r="J268" s="42">
        <v>45078</v>
      </c>
      <c r="K268" s="42">
        <v>45091</v>
      </c>
      <c r="L268" s="42">
        <v>45093</v>
      </c>
      <c r="M268" s="42">
        <v>45090</v>
      </c>
      <c r="N268" s="42">
        <v>45093</v>
      </c>
      <c r="O268" s="40" t="s">
        <v>122</v>
      </c>
      <c r="P268" s="42" t="s">
        <v>122</v>
      </c>
      <c r="S268" s="49"/>
      <c r="T268" s="49"/>
      <c r="W268" s="49"/>
      <c r="X268" s="49"/>
      <c r="AA268" s="40" t="str">
        <f t="shared" si="4"/>
        <v/>
      </c>
    </row>
    <row r="269" spans="1:27" ht="15" customHeight="1" x14ac:dyDescent="0.25">
      <c r="A269" s="43" t="s">
        <v>681</v>
      </c>
      <c r="B269" s="41" t="s">
        <v>114</v>
      </c>
      <c r="C269" s="41" t="s">
        <v>682</v>
      </c>
      <c r="D269" s="40" t="s">
        <v>210</v>
      </c>
      <c r="E269" s="40" t="s">
        <v>86</v>
      </c>
      <c r="F269" s="40" t="s">
        <v>67</v>
      </c>
      <c r="G269" s="40" t="s">
        <v>89</v>
      </c>
      <c r="H269" s="40" t="s">
        <v>160</v>
      </c>
      <c r="I269" s="40" t="s">
        <v>188</v>
      </c>
      <c r="J269" s="42">
        <v>45078</v>
      </c>
      <c r="K269" s="42">
        <v>45091</v>
      </c>
      <c r="L269" s="42">
        <v>45093</v>
      </c>
      <c r="M269" s="42">
        <v>45090</v>
      </c>
      <c r="N269" s="42">
        <v>45093</v>
      </c>
      <c r="O269" s="40" t="s">
        <v>122</v>
      </c>
      <c r="P269" s="42" t="s">
        <v>122</v>
      </c>
      <c r="AA269" s="40" t="str">
        <f t="shared" si="4"/>
        <v/>
      </c>
    </row>
    <row r="270" spans="1:27" s="75" customFormat="1" ht="15" customHeight="1" x14ac:dyDescent="0.25">
      <c r="A270" s="60" t="s">
        <v>683</v>
      </c>
      <c r="B270" s="57" t="s">
        <v>684</v>
      </c>
      <c r="C270" s="57" t="s">
        <v>685</v>
      </c>
      <c r="D270" s="56" t="s">
        <v>686</v>
      </c>
      <c r="E270" s="56" t="s">
        <v>86</v>
      </c>
      <c r="F270" s="56" t="s">
        <v>67</v>
      </c>
      <c r="G270" s="76" t="s">
        <v>68</v>
      </c>
      <c r="H270" s="56" t="s">
        <v>155</v>
      </c>
      <c r="I270" s="56" t="s">
        <v>140</v>
      </c>
      <c r="J270" s="58">
        <v>45062</v>
      </c>
      <c r="K270" s="58">
        <v>45082</v>
      </c>
      <c r="L270" s="58">
        <v>45084</v>
      </c>
      <c r="M270" s="58">
        <v>45072</v>
      </c>
      <c r="N270" s="58">
        <v>45090</v>
      </c>
      <c r="O270" s="56" t="s">
        <v>122</v>
      </c>
      <c r="P270" s="58" t="s">
        <v>123</v>
      </c>
      <c r="Q270" s="58"/>
      <c r="R270" s="58"/>
      <c r="S270" s="59"/>
      <c r="T270" s="59"/>
      <c r="U270" s="58"/>
      <c r="V270" s="58"/>
      <c r="W270" s="59"/>
      <c r="X270" s="59"/>
      <c r="Y270" s="56"/>
      <c r="Z270" s="56"/>
      <c r="AA270" s="56" t="str">
        <f t="shared" si="4"/>
        <v/>
      </c>
    </row>
    <row r="271" spans="1:27" s="75" customFormat="1" ht="15" customHeight="1" x14ac:dyDescent="0.25">
      <c r="A271" s="60" t="s">
        <v>683</v>
      </c>
      <c r="B271" s="57" t="s">
        <v>684</v>
      </c>
      <c r="C271" s="57" t="s">
        <v>685</v>
      </c>
      <c r="D271" s="56" t="s">
        <v>686</v>
      </c>
      <c r="E271" s="56" t="s">
        <v>86</v>
      </c>
      <c r="F271" s="56" t="s">
        <v>67</v>
      </c>
      <c r="G271" s="56" t="s">
        <v>68</v>
      </c>
      <c r="H271" s="56" t="s">
        <v>155</v>
      </c>
      <c r="I271" s="56" t="s">
        <v>188</v>
      </c>
      <c r="J271" s="58">
        <v>45062</v>
      </c>
      <c r="K271" s="58">
        <v>45082</v>
      </c>
      <c r="L271" s="58">
        <v>45084</v>
      </c>
      <c r="M271" s="58">
        <v>45085</v>
      </c>
      <c r="N271" s="58">
        <v>45090</v>
      </c>
      <c r="O271" s="56" t="s">
        <v>123</v>
      </c>
      <c r="P271" s="58" t="s">
        <v>123</v>
      </c>
      <c r="Q271" s="58"/>
      <c r="R271" s="58"/>
      <c r="S271" s="56"/>
      <c r="T271" s="56"/>
      <c r="U271" s="58"/>
      <c r="V271" s="58"/>
      <c r="W271" s="56"/>
      <c r="X271" s="56"/>
      <c r="Y271" s="56"/>
      <c r="Z271" s="56"/>
      <c r="AA271" s="56" t="str">
        <f t="shared" si="4"/>
        <v/>
      </c>
    </row>
    <row r="272" spans="1:27" ht="15" customHeight="1" x14ac:dyDescent="0.25">
      <c r="A272" s="43" t="s">
        <v>687</v>
      </c>
      <c r="B272" s="41" t="s">
        <v>688</v>
      </c>
      <c r="C272" s="41" t="s">
        <v>689</v>
      </c>
      <c r="D272" s="40" t="s">
        <v>538</v>
      </c>
      <c r="E272" s="40" t="s">
        <v>86</v>
      </c>
      <c r="F272" s="40" t="s">
        <v>67</v>
      </c>
      <c r="G272" s="77" t="s">
        <v>68</v>
      </c>
      <c r="H272" s="40" t="s">
        <v>168</v>
      </c>
      <c r="I272" s="40" t="s">
        <v>539</v>
      </c>
      <c r="J272" s="42">
        <v>45061</v>
      </c>
      <c r="K272" s="42">
        <v>45089</v>
      </c>
      <c r="L272" s="42">
        <v>45091</v>
      </c>
      <c r="M272" s="42">
        <v>45075</v>
      </c>
      <c r="N272" s="42">
        <v>45079</v>
      </c>
      <c r="O272" s="40" t="s">
        <v>122</v>
      </c>
      <c r="P272" s="42" t="s">
        <v>122</v>
      </c>
      <c r="S272" s="49"/>
      <c r="T272" s="49"/>
      <c r="W272" s="49"/>
      <c r="X272" s="49"/>
      <c r="AA272" s="40" t="str">
        <f t="shared" si="4"/>
        <v/>
      </c>
    </row>
    <row r="273" spans="1:27" ht="15" customHeight="1" x14ac:dyDescent="0.25">
      <c r="A273" s="43" t="s">
        <v>690</v>
      </c>
      <c r="B273" s="41" t="s">
        <v>688</v>
      </c>
      <c r="C273" s="41" t="s">
        <v>691</v>
      </c>
      <c r="D273" s="40" t="s">
        <v>538</v>
      </c>
      <c r="E273" s="40" t="s">
        <v>86</v>
      </c>
      <c r="F273" s="40" t="s">
        <v>67</v>
      </c>
      <c r="G273" s="40" t="s">
        <v>68</v>
      </c>
      <c r="H273" s="40" t="s">
        <v>168</v>
      </c>
      <c r="I273" s="40" t="s">
        <v>539</v>
      </c>
      <c r="J273" s="42">
        <v>45061</v>
      </c>
      <c r="K273" s="42">
        <v>45089</v>
      </c>
      <c r="L273" s="42">
        <v>45091</v>
      </c>
      <c r="M273" s="42">
        <v>45076</v>
      </c>
      <c r="N273" s="42">
        <v>45079</v>
      </c>
      <c r="O273" s="40" t="s">
        <v>122</v>
      </c>
      <c r="P273" s="42" t="s">
        <v>122</v>
      </c>
      <c r="AA273" s="40" t="str">
        <f t="shared" si="4"/>
        <v/>
      </c>
    </row>
    <row r="274" spans="1:27" ht="15" customHeight="1" x14ac:dyDescent="0.25">
      <c r="A274" s="43" t="s">
        <v>692</v>
      </c>
      <c r="B274" s="41" t="s">
        <v>688</v>
      </c>
      <c r="C274" s="41" t="s">
        <v>693</v>
      </c>
      <c r="D274" s="40" t="s">
        <v>538</v>
      </c>
      <c r="E274" s="40" t="s">
        <v>86</v>
      </c>
      <c r="F274" s="40" t="s">
        <v>67</v>
      </c>
      <c r="G274" s="77" t="s">
        <v>68</v>
      </c>
      <c r="H274" s="40" t="s">
        <v>168</v>
      </c>
      <c r="I274" s="40" t="s">
        <v>539</v>
      </c>
      <c r="J274" s="42">
        <v>45061</v>
      </c>
      <c r="K274" s="42">
        <v>45089</v>
      </c>
      <c r="L274" s="42">
        <v>45091</v>
      </c>
      <c r="M274" s="42">
        <v>45076</v>
      </c>
      <c r="N274" s="42">
        <v>45079</v>
      </c>
      <c r="O274" s="40" t="s">
        <v>122</v>
      </c>
      <c r="P274" s="42" t="s">
        <v>122</v>
      </c>
      <c r="S274" s="49"/>
      <c r="T274" s="49"/>
      <c r="W274" s="49"/>
      <c r="X274" s="49"/>
      <c r="AA274" s="40" t="str">
        <f t="shared" si="4"/>
        <v/>
      </c>
    </row>
    <row r="275" spans="1:27" ht="15" customHeight="1" x14ac:dyDescent="0.25">
      <c r="A275" s="43" t="s">
        <v>694</v>
      </c>
      <c r="B275" s="41" t="s">
        <v>688</v>
      </c>
      <c r="C275" s="41" t="s">
        <v>695</v>
      </c>
      <c r="D275" s="40" t="s">
        <v>538</v>
      </c>
      <c r="E275" s="40" t="s">
        <v>86</v>
      </c>
      <c r="F275" s="40" t="s">
        <v>67</v>
      </c>
      <c r="G275" s="40" t="s">
        <v>68</v>
      </c>
      <c r="H275" s="40" t="s">
        <v>168</v>
      </c>
      <c r="I275" s="40" t="s">
        <v>539</v>
      </c>
      <c r="J275" s="42">
        <v>45061</v>
      </c>
      <c r="K275" s="42">
        <v>45089</v>
      </c>
      <c r="L275" s="42">
        <v>45091</v>
      </c>
      <c r="M275" s="42">
        <v>45075</v>
      </c>
      <c r="N275" s="42">
        <v>45079</v>
      </c>
      <c r="O275" s="40" t="s">
        <v>122</v>
      </c>
      <c r="P275" s="42" t="s">
        <v>122</v>
      </c>
      <c r="AA275" s="40" t="str">
        <f t="shared" si="4"/>
        <v/>
      </c>
    </row>
    <row r="276" spans="1:27" ht="15" customHeight="1" x14ac:dyDescent="0.25">
      <c r="A276" s="43" t="s">
        <v>696</v>
      </c>
      <c r="B276" s="41" t="s">
        <v>688</v>
      </c>
      <c r="C276" s="41" t="s">
        <v>697</v>
      </c>
      <c r="D276" s="40" t="s">
        <v>538</v>
      </c>
      <c r="E276" s="40" t="s">
        <v>86</v>
      </c>
      <c r="F276" s="40" t="s">
        <v>67</v>
      </c>
      <c r="G276" s="77" t="s">
        <v>68</v>
      </c>
      <c r="H276" s="40" t="s">
        <v>168</v>
      </c>
      <c r="I276" s="40" t="s">
        <v>539</v>
      </c>
      <c r="J276" s="42">
        <v>45061</v>
      </c>
      <c r="K276" s="42">
        <v>45089</v>
      </c>
      <c r="L276" s="42">
        <v>45091</v>
      </c>
      <c r="M276" s="42">
        <v>45076</v>
      </c>
      <c r="N276" s="42">
        <v>45079</v>
      </c>
      <c r="O276" s="40" t="s">
        <v>122</v>
      </c>
      <c r="P276" s="42" t="s">
        <v>122</v>
      </c>
      <c r="S276" s="49"/>
      <c r="T276" s="49"/>
      <c r="W276" s="49"/>
      <c r="X276" s="49"/>
      <c r="AA276" s="40" t="str">
        <f t="shared" si="4"/>
        <v/>
      </c>
    </row>
    <row r="277" spans="1:27" ht="15" customHeight="1" x14ac:dyDescent="0.25">
      <c r="A277" s="43" t="s">
        <v>698</v>
      </c>
      <c r="B277" s="41" t="s">
        <v>688</v>
      </c>
      <c r="C277" s="41" t="s">
        <v>699</v>
      </c>
      <c r="D277" s="40" t="s">
        <v>538</v>
      </c>
      <c r="E277" s="40" t="s">
        <v>86</v>
      </c>
      <c r="F277" s="40" t="s">
        <v>67</v>
      </c>
      <c r="G277" s="40" t="s">
        <v>68</v>
      </c>
      <c r="H277" s="40" t="s">
        <v>168</v>
      </c>
      <c r="I277" s="40" t="s">
        <v>539</v>
      </c>
      <c r="J277" s="42">
        <v>45061</v>
      </c>
      <c r="K277" s="42">
        <v>45089</v>
      </c>
      <c r="L277" s="42">
        <v>45091</v>
      </c>
      <c r="M277" s="42">
        <v>45079</v>
      </c>
      <c r="N277" s="42">
        <v>45079</v>
      </c>
      <c r="O277" s="40" t="s">
        <v>122</v>
      </c>
      <c r="P277" s="42" t="s">
        <v>122</v>
      </c>
      <c r="AA277" s="40" t="str">
        <f t="shared" si="4"/>
        <v/>
      </c>
    </row>
    <row r="278" spans="1:27" ht="15" customHeight="1" x14ac:dyDescent="0.25">
      <c r="A278" s="43" t="s">
        <v>700</v>
      </c>
      <c r="B278" s="41" t="s">
        <v>688</v>
      </c>
      <c r="C278" s="41" t="s">
        <v>701</v>
      </c>
      <c r="D278" s="40" t="s">
        <v>538</v>
      </c>
      <c r="E278" s="40" t="s">
        <v>86</v>
      </c>
      <c r="F278" s="40" t="s">
        <v>67</v>
      </c>
      <c r="G278" s="77" t="s">
        <v>68</v>
      </c>
      <c r="H278" s="40" t="s">
        <v>168</v>
      </c>
      <c r="I278" s="40" t="s">
        <v>539</v>
      </c>
      <c r="J278" s="42">
        <v>45061</v>
      </c>
      <c r="K278" s="42">
        <v>45089</v>
      </c>
      <c r="L278" s="42">
        <v>45091</v>
      </c>
      <c r="M278" s="42">
        <v>45075</v>
      </c>
      <c r="N278" s="42">
        <v>45079</v>
      </c>
      <c r="O278" s="40" t="s">
        <v>122</v>
      </c>
      <c r="P278" s="42" t="s">
        <v>122</v>
      </c>
      <c r="S278" s="49"/>
      <c r="T278" s="49"/>
      <c r="W278" s="49"/>
      <c r="X278" s="49"/>
      <c r="AA278" s="40" t="str">
        <f t="shared" si="4"/>
        <v/>
      </c>
    </row>
    <row r="279" spans="1:27" ht="15" customHeight="1" x14ac:dyDescent="0.25">
      <c r="A279" s="43" t="s">
        <v>702</v>
      </c>
      <c r="B279" s="41" t="s">
        <v>688</v>
      </c>
      <c r="C279" s="41" t="s">
        <v>703</v>
      </c>
      <c r="D279" s="40" t="s">
        <v>538</v>
      </c>
      <c r="E279" s="40" t="s">
        <v>86</v>
      </c>
      <c r="F279" s="40" t="s">
        <v>67</v>
      </c>
      <c r="G279" s="40" t="s">
        <v>68</v>
      </c>
      <c r="H279" s="40" t="s">
        <v>168</v>
      </c>
      <c r="I279" s="40" t="s">
        <v>539</v>
      </c>
      <c r="J279" s="42">
        <v>45061</v>
      </c>
      <c r="K279" s="42">
        <v>45089</v>
      </c>
      <c r="L279" s="42">
        <v>45091</v>
      </c>
      <c r="M279" s="42">
        <v>45075</v>
      </c>
      <c r="N279" s="42">
        <v>45079</v>
      </c>
      <c r="O279" s="40" t="s">
        <v>122</v>
      </c>
      <c r="P279" s="42" t="s">
        <v>122</v>
      </c>
      <c r="AA279" s="40" t="str">
        <f t="shared" si="4"/>
        <v/>
      </c>
    </row>
    <row r="280" spans="1:27" ht="15" customHeight="1" x14ac:dyDescent="0.25">
      <c r="A280" s="43" t="s">
        <v>704</v>
      </c>
      <c r="B280" s="41" t="s">
        <v>688</v>
      </c>
      <c r="C280" s="41" t="s">
        <v>705</v>
      </c>
      <c r="D280" s="40" t="s">
        <v>538</v>
      </c>
      <c r="E280" s="40" t="s">
        <v>86</v>
      </c>
      <c r="F280" s="40" t="s">
        <v>67</v>
      </c>
      <c r="G280" s="40" t="s">
        <v>68</v>
      </c>
      <c r="H280" s="40" t="s">
        <v>168</v>
      </c>
      <c r="I280" s="40" t="s">
        <v>539</v>
      </c>
      <c r="J280" s="42">
        <v>45061</v>
      </c>
      <c r="K280" s="42">
        <v>45089</v>
      </c>
      <c r="L280" s="42">
        <v>45091</v>
      </c>
      <c r="M280" s="42">
        <v>45075</v>
      </c>
      <c r="N280" s="42">
        <v>45079</v>
      </c>
      <c r="O280" s="40" t="s">
        <v>122</v>
      </c>
      <c r="P280" s="42" t="s">
        <v>122</v>
      </c>
      <c r="S280" s="49"/>
      <c r="T280" s="49"/>
      <c r="W280" s="49"/>
      <c r="X280" s="49"/>
      <c r="AA280" s="40" t="str">
        <f t="shared" si="4"/>
        <v/>
      </c>
    </row>
    <row r="281" spans="1:27" ht="15" customHeight="1" x14ac:dyDescent="0.25">
      <c r="A281" s="43" t="s">
        <v>706</v>
      </c>
      <c r="B281" s="41" t="s">
        <v>688</v>
      </c>
      <c r="C281" s="41" t="s">
        <v>707</v>
      </c>
      <c r="D281" s="40" t="s">
        <v>538</v>
      </c>
      <c r="E281" s="40" t="s">
        <v>86</v>
      </c>
      <c r="F281" s="40" t="s">
        <v>67</v>
      </c>
      <c r="G281" s="40" t="s">
        <v>68</v>
      </c>
      <c r="H281" s="40" t="s">
        <v>168</v>
      </c>
      <c r="I281" s="40" t="s">
        <v>539</v>
      </c>
      <c r="J281" s="42">
        <v>45061</v>
      </c>
      <c r="K281" s="42">
        <v>45089</v>
      </c>
      <c r="L281" s="42">
        <v>45091</v>
      </c>
      <c r="M281" s="42">
        <v>45076</v>
      </c>
      <c r="N281" s="42">
        <v>45079</v>
      </c>
      <c r="O281" s="40" t="s">
        <v>122</v>
      </c>
      <c r="P281" s="42" t="s">
        <v>122</v>
      </c>
      <c r="AA281" s="40" t="str">
        <f t="shared" si="4"/>
        <v/>
      </c>
    </row>
    <row r="282" spans="1:27" s="75" customFormat="1" ht="15" customHeight="1" x14ac:dyDescent="0.25">
      <c r="A282" s="60" t="s">
        <v>708</v>
      </c>
      <c r="B282" s="57" t="s">
        <v>709</v>
      </c>
      <c r="C282" s="57" t="s">
        <v>710</v>
      </c>
      <c r="D282" s="56" t="s">
        <v>711</v>
      </c>
      <c r="E282" s="56" t="s">
        <v>86</v>
      </c>
      <c r="F282" s="56" t="s">
        <v>67</v>
      </c>
      <c r="G282" s="76" t="s">
        <v>89</v>
      </c>
      <c r="H282" s="56" t="s">
        <v>168</v>
      </c>
      <c r="I282" s="56" t="s">
        <v>188</v>
      </c>
      <c r="J282" s="58">
        <v>45068</v>
      </c>
      <c r="K282" s="58">
        <v>45089</v>
      </c>
      <c r="L282" s="58">
        <v>45091</v>
      </c>
      <c r="M282" s="58">
        <v>45096</v>
      </c>
      <c r="N282" s="58">
        <v>45096</v>
      </c>
      <c r="O282" s="56" t="s">
        <v>123</v>
      </c>
      <c r="P282" s="58" t="s">
        <v>123</v>
      </c>
      <c r="Q282" s="58"/>
      <c r="R282" s="58"/>
      <c r="S282" s="59"/>
      <c r="T282" s="59"/>
      <c r="U282" s="58"/>
      <c r="V282" s="58"/>
      <c r="W282" s="59"/>
      <c r="X282" s="59"/>
      <c r="Y282" s="56"/>
      <c r="Z282" s="56"/>
      <c r="AA282" s="56" t="str">
        <f t="shared" si="4"/>
        <v/>
      </c>
    </row>
    <row r="283" spans="1:27" ht="15" customHeight="1" x14ac:dyDescent="0.25">
      <c r="A283" s="43" t="s">
        <v>712</v>
      </c>
      <c r="B283" s="41" t="s">
        <v>713</v>
      </c>
      <c r="C283" s="41" t="s">
        <v>714</v>
      </c>
      <c r="D283" s="40" t="s">
        <v>72</v>
      </c>
      <c r="E283" s="40" t="s">
        <v>71</v>
      </c>
      <c r="F283" s="40" t="s">
        <v>67</v>
      </c>
      <c r="G283" s="40" t="s">
        <v>68</v>
      </c>
      <c r="H283" s="40" t="s">
        <v>168</v>
      </c>
      <c r="I283" s="40" t="s">
        <v>176</v>
      </c>
      <c r="J283" s="42">
        <v>45070</v>
      </c>
      <c r="K283" s="42">
        <v>45118</v>
      </c>
      <c r="L283" s="42">
        <v>45120</v>
      </c>
      <c r="M283" s="42">
        <v>45106</v>
      </c>
      <c r="N283" s="42">
        <v>45107</v>
      </c>
      <c r="O283" s="40" t="s">
        <v>122</v>
      </c>
      <c r="P283" s="42" t="s">
        <v>122</v>
      </c>
      <c r="AA283" s="40" t="str">
        <f t="shared" si="4"/>
        <v/>
      </c>
    </row>
    <row r="284" spans="1:27" ht="15" customHeight="1" x14ac:dyDescent="0.25">
      <c r="A284" s="43" t="s">
        <v>715</v>
      </c>
      <c r="B284" s="41" t="s">
        <v>713</v>
      </c>
      <c r="C284" s="41" t="s">
        <v>716</v>
      </c>
      <c r="D284" s="40" t="s">
        <v>75</v>
      </c>
      <c r="E284" s="40" t="s">
        <v>71</v>
      </c>
      <c r="F284" s="40" t="s">
        <v>67</v>
      </c>
      <c r="G284" s="77" t="s">
        <v>68</v>
      </c>
      <c r="H284" s="40" t="s">
        <v>168</v>
      </c>
      <c r="I284" s="40" t="s">
        <v>176</v>
      </c>
      <c r="J284" s="42">
        <v>45070</v>
      </c>
      <c r="K284" s="42">
        <v>45118</v>
      </c>
      <c r="L284" s="42">
        <v>45120</v>
      </c>
      <c r="M284" s="42">
        <v>45105</v>
      </c>
      <c r="N284" s="42">
        <v>45106</v>
      </c>
      <c r="O284" s="40" t="s">
        <v>122</v>
      </c>
      <c r="P284" s="42" t="s">
        <v>122</v>
      </c>
      <c r="S284" s="49"/>
      <c r="T284" s="49"/>
      <c r="W284" s="49"/>
      <c r="X284" s="49"/>
      <c r="AA284" s="40" t="str">
        <f t="shared" si="4"/>
        <v/>
      </c>
    </row>
    <row r="285" spans="1:27" ht="15" customHeight="1" x14ac:dyDescent="0.25">
      <c r="A285" s="43" t="s">
        <v>717</v>
      </c>
      <c r="B285" s="41" t="s">
        <v>713</v>
      </c>
      <c r="C285" s="41" t="s">
        <v>718</v>
      </c>
      <c r="D285" s="40" t="s">
        <v>72</v>
      </c>
      <c r="E285" s="40" t="s">
        <v>71</v>
      </c>
      <c r="F285" s="40" t="s">
        <v>67</v>
      </c>
      <c r="G285" s="40" t="s">
        <v>68</v>
      </c>
      <c r="H285" s="40" t="s">
        <v>139</v>
      </c>
      <c r="I285" s="40" t="s">
        <v>176</v>
      </c>
      <c r="J285" s="42">
        <v>45070</v>
      </c>
      <c r="K285" s="42">
        <v>45118</v>
      </c>
      <c r="L285" s="42">
        <v>45120</v>
      </c>
      <c r="M285" s="42">
        <v>45103</v>
      </c>
      <c r="N285" s="42">
        <v>45105</v>
      </c>
      <c r="O285" s="40" t="s">
        <v>122</v>
      </c>
      <c r="P285" s="42" t="s">
        <v>122</v>
      </c>
      <c r="AA285" s="40" t="str">
        <f t="shared" si="4"/>
        <v/>
      </c>
    </row>
    <row r="286" spans="1:27" s="75" customFormat="1" ht="15" customHeight="1" x14ac:dyDescent="0.25">
      <c r="A286" s="60" t="s">
        <v>719</v>
      </c>
      <c r="B286" s="57" t="s">
        <v>720</v>
      </c>
      <c r="C286" s="57" t="s">
        <v>721</v>
      </c>
      <c r="D286" s="56" t="s">
        <v>722</v>
      </c>
      <c r="E286" s="56" t="s">
        <v>66</v>
      </c>
      <c r="F286" s="56" t="s">
        <v>67</v>
      </c>
      <c r="G286" s="76" t="s">
        <v>68</v>
      </c>
      <c r="H286" s="56" t="s">
        <v>155</v>
      </c>
      <c r="I286" s="56" t="s">
        <v>313</v>
      </c>
      <c r="J286" s="58">
        <v>45070</v>
      </c>
      <c r="K286" s="58">
        <v>45091</v>
      </c>
      <c r="L286" s="58">
        <v>45093</v>
      </c>
      <c r="M286" s="58">
        <v>45082</v>
      </c>
      <c r="N286" s="58">
        <v>45097</v>
      </c>
      <c r="O286" s="56" t="s">
        <v>122</v>
      </c>
      <c r="P286" s="58" t="s">
        <v>123</v>
      </c>
      <c r="Q286" s="58"/>
      <c r="R286" s="58"/>
      <c r="S286" s="59"/>
      <c r="T286" s="59"/>
      <c r="U286" s="58"/>
      <c r="V286" s="58"/>
      <c r="W286" s="59"/>
      <c r="X286" s="59"/>
      <c r="Y286" s="56"/>
      <c r="Z286" s="56"/>
      <c r="AA286" s="56" t="str">
        <f t="shared" si="4"/>
        <v/>
      </c>
    </row>
    <row r="287" spans="1:27" s="75" customFormat="1" ht="15" customHeight="1" x14ac:dyDescent="0.25">
      <c r="A287" s="60" t="s">
        <v>723</v>
      </c>
      <c r="B287" s="57" t="s">
        <v>720</v>
      </c>
      <c r="C287" s="57" t="s">
        <v>721</v>
      </c>
      <c r="D287" s="56" t="s">
        <v>722</v>
      </c>
      <c r="E287" s="56" t="s">
        <v>66</v>
      </c>
      <c r="F287" s="56" t="s">
        <v>67</v>
      </c>
      <c r="G287" s="76" t="s">
        <v>68</v>
      </c>
      <c r="H287" s="56" t="s">
        <v>155</v>
      </c>
      <c r="I287" s="56" t="s">
        <v>313</v>
      </c>
      <c r="J287" s="58">
        <v>45070</v>
      </c>
      <c r="K287" s="58">
        <v>45091</v>
      </c>
      <c r="L287" s="58">
        <v>45093</v>
      </c>
      <c r="M287" s="58">
        <v>45082</v>
      </c>
      <c r="N287" s="58">
        <v>45097</v>
      </c>
      <c r="O287" s="56" t="s">
        <v>122</v>
      </c>
      <c r="P287" s="58" t="s">
        <v>123</v>
      </c>
      <c r="Q287" s="58"/>
      <c r="R287" s="58"/>
      <c r="S287" s="59"/>
      <c r="T287" s="59"/>
      <c r="U287" s="58"/>
      <c r="V287" s="58"/>
      <c r="W287" s="59"/>
      <c r="X287" s="59"/>
      <c r="Y287" s="56"/>
      <c r="Z287" s="56"/>
      <c r="AA287" s="56" t="str">
        <f t="shared" si="4"/>
        <v/>
      </c>
    </row>
    <row r="288" spans="1:27" ht="15" customHeight="1" x14ac:dyDescent="0.25">
      <c r="A288" s="43" t="s">
        <v>724</v>
      </c>
      <c r="B288" s="41" t="s">
        <v>725</v>
      </c>
      <c r="C288" s="41" t="s">
        <v>726</v>
      </c>
      <c r="D288" s="40" t="s">
        <v>727</v>
      </c>
      <c r="E288" s="40" t="s">
        <v>69</v>
      </c>
      <c r="F288" s="40" t="s">
        <v>67</v>
      </c>
      <c r="G288" s="40" t="s">
        <v>68</v>
      </c>
      <c r="H288" s="40" t="s">
        <v>139</v>
      </c>
      <c r="I288" s="40" t="s">
        <v>156</v>
      </c>
      <c r="J288" s="42">
        <v>45068</v>
      </c>
      <c r="K288" s="42">
        <v>45096</v>
      </c>
      <c r="L288" s="42">
        <v>45098</v>
      </c>
      <c r="M288" s="42">
        <v>45098</v>
      </c>
      <c r="N288" s="42">
        <v>45100</v>
      </c>
      <c r="O288" s="40" t="s">
        <v>123</v>
      </c>
      <c r="P288" s="42" t="s">
        <v>122</v>
      </c>
      <c r="AA288" s="40" t="str">
        <f t="shared" si="4"/>
        <v/>
      </c>
    </row>
    <row r="289" spans="1:27" ht="15" customHeight="1" x14ac:dyDescent="0.25">
      <c r="A289" s="43" t="s">
        <v>728</v>
      </c>
      <c r="B289" s="41" t="s">
        <v>729</v>
      </c>
      <c r="C289" s="41" t="s">
        <v>730</v>
      </c>
      <c r="D289" s="40" t="s">
        <v>731</v>
      </c>
      <c r="E289" s="40" t="s">
        <v>69</v>
      </c>
      <c r="F289" s="40" t="s">
        <v>67</v>
      </c>
      <c r="G289" s="77" t="s">
        <v>68</v>
      </c>
      <c r="H289" s="40" t="s">
        <v>168</v>
      </c>
      <c r="I289" s="40" t="s">
        <v>156</v>
      </c>
      <c r="J289" s="42">
        <v>45068</v>
      </c>
      <c r="K289" s="42">
        <v>45096</v>
      </c>
      <c r="L289" s="42">
        <v>45098</v>
      </c>
      <c r="M289" s="42">
        <v>45098</v>
      </c>
      <c r="N289" s="42">
        <v>45100</v>
      </c>
      <c r="O289" s="40" t="s">
        <v>123</v>
      </c>
      <c r="P289" s="42" t="s">
        <v>122</v>
      </c>
      <c r="S289" s="49"/>
      <c r="T289" s="49"/>
      <c r="W289" s="49"/>
      <c r="X289" s="49"/>
      <c r="AA289" s="40" t="str">
        <f t="shared" si="4"/>
        <v/>
      </c>
    </row>
    <row r="290" spans="1:27" ht="15" customHeight="1" x14ac:dyDescent="0.25">
      <c r="A290" s="43" t="s">
        <v>732</v>
      </c>
      <c r="B290" s="41" t="s">
        <v>729</v>
      </c>
      <c r="C290" s="41" t="s">
        <v>733</v>
      </c>
      <c r="D290" s="40" t="s">
        <v>727</v>
      </c>
      <c r="E290" s="40" t="s">
        <v>69</v>
      </c>
      <c r="F290" s="40" t="s">
        <v>67</v>
      </c>
      <c r="G290" s="40" t="s">
        <v>68</v>
      </c>
      <c r="H290" s="40" t="s">
        <v>139</v>
      </c>
      <c r="I290" s="40" t="s">
        <v>156</v>
      </c>
      <c r="J290" s="42">
        <v>45068</v>
      </c>
      <c r="K290" s="42">
        <v>45096</v>
      </c>
      <c r="L290" s="42">
        <v>45098</v>
      </c>
      <c r="M290" s="42">
        <v>45098</v>
      </c>
      <c r="N290" s="42">
        <v>45100</v>
      </c>
      <c r="O290" s="40" t="s">
        <v>123</v>
      </c>
      <c r="P290" s="42" t="s">
        <v>122</v>
      </c>
      <c r="AA290" s="40" t="str">
        <f t="shared" si="4"/>
        <v/>
      </c>
    </row>
    <row r="291" spans="1:27" ht="15" customHeight="1" x14ac:dyDescent="0.25">
      <c r="A291" s="43" t="s">
        <v>734</v>
      </c>
      <c r="B291" s="41" t="s">
        <v>735</v>
      </c>
      <c r="C291" s="41" t="s">
        <v>736</v>
      </c>
      <c r="D291" s="40" t="s">
        <v>731</v>
      </c>
      <c r="E291" s="40" t="s">
        <v>69</v>
      </c>
      <c r="F291" s="40" t="s">
        <v>67</v>
      </c>
      <c r="G291" s="77" t="s">
        <v>68</v>
      </c>
      <c r="H291" s="40" t="s">
        <v>139</v>
      </c>
      <c r="I291" s="40" t="s">
        <v>156</v>
      </c>
      <c r="J291" s="42">
        <v>45068</v>
      </c>
      <c r="K291" s="42">
        <v>45096</v>
      </c>
      <c r="L291" s="42">
        <v>45098</v>
      </c>
      <c r="M291" s="42">
        <v>45099</v>
      </c>
      <c r="N291" s="42">
        <v>45100</v>
      </c>
      <c r="O291" s="40" t="s">
        <v>123</v>
      </c>
      <c r="P291" s="42" t="s">
        <v>122</v>
      </c>
      <c r="S291" s="49"/>
      <c r="T291" s="49"/>
      <c r="W291" s="49"/>
      <c r="X291" s="49"/>
      <c r="AA291" s="40" t="str">
        <f t="shared" si="4"/>
        <v/>
      </c>
    </row>
    <row r="292" spans="1:27" ht="15" customHeight="1" x14ac:dyDescent="0.25">
      <c r="A292" s="43" t="s">
        <v>737</v>
      </c>
      <c r="B292" s="41" t="s">
        <v>738</v>
      </c>
      <c r="C292" s="41" t="s">
        <v>739</v>
      </c>
      <c r="D292" s="40" t="s">
        <v>727</v>
      </c>
      <c r="E292" s="40" t="s">
        <v>69</v>
      </c>
      <c r="F292" s="40" t="s">
        <v>67</v>
      </c>
      <c r="G292" s="40" t="s">
        <v>68</v>
      </c>
      <c r="H292" s="40" t="s">
        <v>139</v>
      </c>
      <c r="I292" s="40" t="s">
        <v>156</v>
      </c>
      <c r="J292" s="42">
        <v>45068</v>
      </c>
      <c r="K292" s="42">
        <v>45096</v>
      </c>
      <c r="L292" s="42">
        <v>45098</v>
      </c>
      <c r="M292" s="42">
        <v>45099</v>
      </c>
      <c r="N292" s="42">
        <v>45100</v>
      </c>
      <c r="O292" s="40" t="s">
        <v>123</v>
      </c>
      <c r="P292" s="42" t="s">
        <v>122</v>
      </c>
      <c r="AA292" s="40" t="str">
        <f t="shared" si="4"/>
        <v/>
      </c>
    </row>
    <row r="293" spans="1:27" ht="15" customHeight="1" x14ac:dyDescent="0.25">
      <c r="A293" s="43" t="s">
        <v>740</v>
      </c>
      <c r="B293" s="41" t="s">
        <v>729</v>
      </c>
      <c r="C293" s="41" t="s">
        <v>741</v>
      </c>
      <c r="D293" s="40" t="s">
        <v>731</v>
      </c>
      <c r="E293" s="40" t="s">
        <v>69</v>
      </c>
      <c r="F293" s="40" t="s">
        <v>67</v>
      </c>
      <c r="G293" s="77" t="s">
        <v>68</v>
      </c>
      <c r="H293" s="40" t="s">
        <v>168</v>
      </c>
      <c r="I293" s="40" t="s">
        <v>156</v>
      </c>
      <c r="J293" s="42">
        <v>45068</v>
      </c>
      <c r="K293" s="42">
        <v>45096</v>
      </c>
      <c r="L293" s="42">
        <v>45098</v>
      </c>
      <c r="M293" s="42">
        <v>45099</v>
      </c>
      <c r="N293" s="42">
        <v>45100</v>
      </c>
      <c r="O293" s="40" t="s">
        <v>123</v>
      </c>
      <c r="P293" s="42" t="s">
        <v>122</v>
      </c>
      <c r="S293" s="49"/>
      <c r="T293" s="49"/>
      <c r="W293" s="49"/>
      <c r="X293" s="49"/>
      <c r="AA293" s="40" t="str">
        <f t="shared" si="4"/>
        <v/>
      </c>
    </row>
    <row r="294" spans="1:27" ht="15" customHeight="1" x14ac:dyDescent="0.25">
      <c r="A294" s="43" t="s">
        <v>742</v>
      </c>
      <c r="B294" s="41" t="s">
        <v>743</v>
      </c>
      <c r="C294" s="41" t="s">
        <v>744</v>
      </c>
      <c r="D294" s="40" t="s">
        <v>731</v>
      </c>
      <c r="E294" s="40" t="s">
        <v>69</v>
      </c>
      <c r="F294" s="40" t="s">
        <v>67</v>
      </c>
      <c r="G294" s="40" t="s">
        <v>68</v>
      </c>
      <c r="H294" s="40" t="s">
        <v>168</v>
      </c>
      <c r="I294" s="40" t="s">
        <v>156</v>
      </c>
      <c r="J294" s="42">
        <v>45068</v>
      </c>
      <c r="K294" s="42">
        <v>45096</v>
      </c>
      <c r="L294" s="42">
        <v>45098</v>
      </c>
      <c r="M294" s="42">
        <v>45098</v>
      </c>
      <c r="N294" s="42">
        <v>45100</v>
      </c>
      <c r="O294" s="40" t="s">
        <v>123</v>
      </c>
      <c r="P294" s="42" t="s">
        <v>122</v>
      </c>
      <c r="AA294" s="40" t="str">
        <f t="shared" si="4"/>
        <v/>
      </c>
    </row>
    <row r="295" spans="1:27" ht="15" customHeight="1" x14ac:dyDescent="0.25">
      <c r="A295" s="43" t="s">
        <v>745</v>
      </c>
      <c r="B295" s="41" t="s">
        <v>746</v>
      </c>
      <c r="C295" s="41" t="s">
        <v>747</v>
      </c>
      <c r="D295" s="40" t="s">
        <v>731</v>
      </c>
      <c r="E295" s="40" t="s">
        <v>69</v>
      </c>
      <c r="F295" s="40" t="s">
        <v>67</v>
      </c>
      <c r="G295" s="77" t="s">
        <v>68</v>
      </c>
      <c r="H295" s="40" t="s">
        <v>168</v>
      </c>
      <c r="I295" s="40" t="s">
        <v>156</v>
      </c>
      <c r="J295" s="42">
        <v>45068</v>
      </c>
      <c r="K295" s="42">
        <v>45096</v>
      </c>
      <c r="L295" s="42">
        <v>45098</v>
      </c>
      <c r="M295" s="42">
        <v>45098</v>
      </c>
      <c r="N295" s="42">
        <v>45100</v>
      </c>
      <c r="O295" s="40" t="s">
        <v>123</v>
      </c>
      <c r="P295" s="42" t="s">
        <v>122</v>
      </c>
      <c r="S295" s="49"/>
      <c r="T295" s="49"/>
      <c r="W295" s="49"/>
      <c r="X295" s="49"/>
      <c r="AA295" s="40" t="str">
        <f t="shared" si="4"/>
        <v/>
      </c>
    </row>
    <row r="296" spans="1:27" ht="15" customHeight="1" x14ac:dyDescent="0.25">
      <c r="A296" s="43" t="s">
        <v>748</v>
      </c>
      <c r="B296" s="41" t="s">
        <v>749</v>
      </c>
      <c r="C296" s="41" t="s">
        <v>750</v>
      </c>
      <c r="D296" s="40" t="s">
        <v>731</v>
      </c>
      <c r="E296" s="40" t="s">
        <v>69</v>
      </c>
      <c r="F296" s="40" t="s">
        <v>67</v>
      </c>
      <c r="G296" s="40" t="s">
        <v>68</v>
      </c>
      <c r="H296" s="40" t="s">
        <v>139</v>
      </c>
      <c r="I296" s="40" t="s">
        <v>156</v>
      </c>
      <c r="J296" s="42">
        <v>45068</v>
      </c>
      <c r="K296" s="42">
        <v>45096</v>
      </c>
      <c r="L296" s="42">
        <v>45098</v>
      </c>
      <c r="M296" s="42">
        <v>45098</v>
      </c>
      <c r="N296" s="42">
        <v>45100</v>
      </c>
      <c r="O296" s="40" t="s">
        <v>123</v>
      </c>
      <c r="P296" s="42" t="s">
        <v>122</v>
      </c>
      <c r="AA296" s="40" t="str">
        <f t="shared" si="4"/>
        <v/>
      </c>
    </row>
    <row r="297" spans="1:27" ht="15" customHeight="1" x14ac:dyDescent="0.25">
      <c r="A297" s="43" t="s">
        <v>751</v>
      </c>
      <c r="B297" s="41" t="s">
        <v>738</v>
      </c>
      <c r="C297" s="41" t="s">
        <v>752</v>
      </c>
      <c r="D297" s="40" t="s">
        <v>731</v>
      </c>
      <c r="E297" s="40" t="s">
        <v>69</v>
      </c>
      <c r="F297" s="40" t="s">
        <v>67</v>
      </c>
      <c r="G297" s="77" t="s">
        <v>68</v>
      </c>
      <c r="H297" s="40" t="s">
        <v>168</v>
      </c>
      <c r="I297" s="40" t="s">
        <v>156</v>
      </c>
      <c r="J297" s="42">
        <v>45068</v>
      </c>
      <c r="K297" s="42">
        <v>45096</v>
      </c>
      <c r="L297" s="42">
        <v>45098</v>
      </c>
      <c r="M297" s="42">
        <v>45099</v>
      </c>
      <c r="N297" s="42">
        <v>45100</v>
      </c>
      <c r="O297" s="40" t="s">
        <v>123</v>
      </c>
      <c r="P297" s="42" t="s">
        <v>122</v>
      </c>
      <c r="S297" s="49"/>
      <c r="T297" s="49"/>
      <c r="W297" s="49"/>
      <c r="X297" s="49"/>
      <c r="AA297" s="40" t="str">
        <f t="shared" si="4"/>
        <v/>
      </c>
    </row>
    <row r="298" spans="1:27" ht="15" customHeight="1" x14ac:dyDescent="0.25">
      <c r="A298" s="43" t="s">
        <v>753</v>
      </c>
      <c r="B298" s="41" t="s">
        <v>746</v>
      </c>
      <c r="C298" s="41" t="s">
        <v>754</v>
      </c>
      <c r="D298" s="40" t="s">
        <v>731</v>
      </c>
      <c r="E298" s="40" t="s">
        <v>69</v>
      </c>
      <c r="F298" s="40" t="s">
        <v>67</v>
      </c>
      <c r="G298" s="40" t="s">
        <v>68</v>
      </c>
      <c r="H298" s="40" t="s">
        <v>168</v>
      </c>
      <c r="I298" s="40" t="s">
        <v>156</v>
      </c>
      <c r="J298" s="42">
        <v>45068</v>
      </c>
      <c r="K298" s="42">
        <v>45096</v>
      </c>
      <c r="L298" s="42">
        <v>45098</v>
      </c>
      <c r="M298" s="42">
        <v>45099</v>
      </c>
      <c r="N298" s="42">
        <v>45100</v>
      </c>
      <c r="O298" s="40" t="s">
        <v>123</v>
      </c>
      <c r="P298" s="42" t="s">
        <v>122</v>
      </c>
      <c r="AA298" s="40" t="str">
        <f t="shared" si="4"/>
        <v/>
      </c>
    </row>
    <row r="299" spans="1:27" ht="15" customHeight="1" x14ac:dyDescent="0.25">
      <c r="A299" s="43" t="s">
        <v>755</v>
      </c>
      <c r="B299" s="41" t="s">
        <v>756</v>
      </c>
      <c r="C299" s="41" t="s">
        <v>757</v>
      </c>
      <c r="D299" s="40" t="s">
        <v>758</v>
      </c>
      <c r="E299" s="40" t="s">
        <v>66</v>
      </c>
      <c r="F299" s="40" t="s">
        <v>67</v>
      </c>
      <c r="G299" s="77" t="s">
        <v>89</v>
      </c>
      <c r="H299" s="40" t="s">
        <v>155</v>
      </c>
      <c r="I299" s="40" t="s">
        <v>313</v>
      </c>
      <c r="J299" s="42">
        <v>45076</v>
      </c>
      <c r="K299" s="42">
        <v>45089</v>
      </c>
      <c r="L299" s="42">
        <v>45091</v>
      </c>
      <c r="M299" s="42">
        <v>45089</v>
      </c>
      <c r="N299" s="42">
        <v>45092</v>
      </c>
      <c r="O299" s="40" t="s">
        <v>122</v>
      </c>
      <c r="P299" s="42" t="s">
        <v>122</v>
      </c>
      <c r="S299" s="49"/>
      <c r="T299" s="49"/>
      <c r="W299" s="49"/>
      <c r="X299" s="49"/>
      <c r="AA299" s="40" t="str">
        <f t="shared" si="4"/>
        <v/>
      </c>
    </row>
    <row r="300" spans="1:27" s="75" customFormat="1" ht="15" customHeight="1" x14ac:dyDescent="0.25">
      <c r="A300" s="60" t="s">
        <v>759</v>
      </c>
      <c r="B300" s="57" t="s">
        <v>760</v>
      </c>
      <c r="C300" s="57" t="s">
        <v>761</v>
      </c>
      <c r="D300" s="56" t="s">
        <v>762</v>
      </c>
      <c r="E300" s="56" t="s">
        <v>71</v>
      </c>
      <c r="F300" s="56" t="s">
        <v>67</v>
      </c>
      <c r="G300" s="56" t="s">
        <v>89</v>
      </c>
      <c r="H300" s="56" t="s">
        <v>155</v>
      </c>
      <c r="I300" s="56" t="s">
        <v>161</v>
      </c>
      <c r="J300" s="58">
        <v>45071</v>
      </c>
      <c r="K300" s="58">
        <v>45089</v>
      </c>
      <c r="L300" s="58">
        <v>45091</v>
      </c>
      <c r="M300" s="58">
        <v>45097</v>
      </c>
      <c r="N300" s="58">
        <v>45097</v>
      </c>
      <c r="O300" s="56" t="s">
        <v>123</v>
      </c>
      <c r="P300" s="58" t="s">
        <v>123</v>
      </c>
      <c r="Q300" s="58"/>
      <c r="R300" s="58"/>
      <c r="S300" s="56"/>
      <c r="T300" s="56"/>
      <c r="U300" s="58"/>
      <c r="V300" s="58"/>
      <c r="W300" s="56"/>
      <c r="X300" s="56"/>
      <c r="Y300" s="56"/>
      <c r="Z300" s="56"/>
      <c r="AA300" s="56" t="str">
        <f t="shared" si="4"/>
        <v/>
      </c>
    </row>
    <row r="301" spans="1:27" ht="15" customHeight="1" x14ac:dyDescent="0.25">
      <c r="A301" s="43" t="s">
        <v>117</v>
      </c>
      <c r="B301" s="41" t="s">
        <v>118</v>
      </c>
      <c r="C301" s="41" t="s">
        <v>119</v>
      </c>
      <c r="D301" s="40" t="s">
        <v>87</v>
      </c>
      <c r="E301" s="40" t="s">
        <v>66</v>
      </c>
      <c r="F301" s="40" t="s">
        <v>67</v>
      </c>
      <c r="G301" s="77" t="s">
        <v>68</v>
      </c>
      <c r="H301" s="40" t="s">
        <v>155</v>
      </c>
      <c r="I301" s="40" t="s">
        <v>140</v>
      </c>
      <c r="J301" s="42">
        <v>45062</v>
      </c>
      <c r="K301" s="42">
        <v>45082</v>
      </c>
      <c r="L301" s="42">
        <v>45084</v>
      </c>
      <c r="M301" s="42">
        <v>45072</v>
      </c>
      <c r="N301" s="42">
        <v>45084</v>
      </c>
      <c r="O301" s="40" t="s">
        <v>122</v>
      </c>
      <c r="P301" s="42" t="s">
        <v>122</v>
      </c>
      <c r="S301" s="49"/>
      <c r="T301" s="49"/>
      <c r="W301" s="49"/>
      <c r="X301" s="49"/>
      <c r="AA301" s="40" t="str">
        <f t="shared" si="4"/>
        <v/>
      </c>
    </row>
    <row r="302" spans="1:27" ht="15" customHeight="1" x14ac:dyDescent="0.25">
      <c r="A302" s="43" t="s">
        <v>763</v>
      </c>
      <c r="B302" s="41" t="s">
        <v>764</v>
      </c>
      <c r="C302" s="41" t="s">
        <v>765</v>
      </c>
      <c r="D302" s="40" t="s">
        <v>766</v>
      </c>
      <c r="E302" s="40" t="s">
        <v>71</v>
      </c>
      <c r="F302" s="40" t="s">
        <v>67</v>
      </c>
      <c r="G302" s="40" t="s">
        <v>68</v>
      </c>
      <c r="H302" s="40" t="s">
        <v>155</v>
      </c>
      <c r="I302" s="40" t="s">
        <v>161</v>
      </c>
      <c r="J302" s="42">
        <v>45070</v>
      </c>
      <c r="K302" s="42">
        <v>45082</v>
      </c>
      <c r="L302" s="42">
        <v>45084</v>
      </c>
      <c r="M302" s="42">
        <v>45077</v>
      </c>
      <c r="N302" s="42">
        <v>45085</v>
      </c>
      <c r="O302" s="40" t="s">
        <v>122</v>
      </c>
      <c r="P302" s="42" t="s">
        <v>122</v>
      </c>
      <c r="AA302" s="40" t="str">
        <f t="shared" si="4"/>
        <v/>
      </c>
    </row>
    <row r="303" spans="1:27" ht="15" customHeight="1" x14ac:dyDescent="0.25">
      <c r="A303" s="43" t="s">
        <v>767</v>
      </c>
      <c r="B303" s="41" t="s">
        <v>768</v>
      </c>
      <c r="C303" s="41" t="s">
        <v>769</v>
      </c>
      <c r="D303" s="40" t="s">
        <v>770</v>
      </c>
      <c r="E303" s="40" t="s">
        <v>71</v>
      </c>
      <c r="F303" s="40" t="s">
        <v>67</v>
      </c>
      <c r="G303" s="77" t="s">
        <v>89</v>
      </c>
      <c r="H303" s="40" t="s">
        <v>139</v>
      </c>
      <c r="I303" s="40" t="s">
        <v>188</v>
      </c>
      <c r="J303" s="42">
        <v>45090</v>
      </c>
      <c r="K303" s="42">
        <v>45103</v>
      </c>
      <c r="L303" s="42">
        <v>45105</v>
      </c>
      <c r="M303" s="42">
        <v>45103</v>
      </c>
      <c r="N303" s="42">
        <v>45105</v>
      </c>
      <c r="O303" s="40" t="s">
        <v>122</v>
      </c>
      <c r="P303" s="42" t="s">
        <v>122</v>
      </c>
      <c r="S303" s="49"/>
      <c r="T303" s="49"/>
      <c r="W303" s="49"/>
      <c r="X303" s="49"/>
      <c r="AA303" s="40" t="str">
        <f t="shared" si="4"/>
        <v/>
      </c>
    </row>
    <row r="304" spans="1:27" ht="15" customHeight="1" x14ac:dyDescent="0.25">
      <c r="A304" s="43" t="s">
        <v>771</v>
      </c>
      <c r="B304" s="41" t="s">
        <v>772</v>
      </c>
      <c r="C304" s="41" t="s">
        <v>773</v>
      </c>
      <c r="D304" s="40" t="s">
        <v>774</v>
      </c>
      <c r="E304" s="40" t="s">
        <v>86</v>
      </c>
      <c r="F304" s="40" t="s">
        <v>67</v>
      </c>
      <c r="G304" s="40" t="s">
        <v>89</v>
      </c>
      <c r="H304" s="40" t="s">
        <v>168</v>
      </c>
      <c r="I304" s="40" t="s">
        <v>176</v>
      </c>
      <c r="J304" s="42">
        <v>45083</v>
      </c>
      <c r="K304" s="42">
        <v>45100</v>
      </c>
      <c r="L304" s="42">
        <v>45104</v>
      </c>
      <c r="M304" s="42">
        <v>45090</v>
      </c>
      <c r="N304" s="42">
        <v>45092</v>
      </c>
      <c r="O304" s="40" t="s">
        <v>122</v>
      </c>
      <c r="P304" s="42" t="s">
        <v>122</v>
      </c>
      <c r="AA304" s="40" t="str">
        <f t="shared" si="4"/>
        <v/>
      </c>
    </row>
    <row r="305" spans="1:27" ht="15" customHeight="1" x14ac:dyDescent="0.25">
      <c r="A305" s="43" t="s">
        <v>775</v>
      </c>
      <c r="B305" s="41" t="s">
        <v>575</v>
      </c>
      <c r="C305" s="41" t="s">
        <v>776</v>
      </c>
      <c r="D305" s="40" t="s">
        <v>777</v>
      </c>
      <c r="E305" s="40" t="s">
        <v>66</v>
      </c>
      <c r="F305" s="40" t="s">
        <v>67</v>
      </c>
      <c r="G305" s="77" t="s">
        <v>68</v>
      </c>
      <c r="H305" s="40" t="s">
        <v>139</v>
      </c>
      <c r="I305" s="40" t="s">
        <v>140</v>
      </c>
      <c r="J305" s="42">
        <v>45068</v>
      </c>
      <c r="K305" s="42">
        <v>45096</v>
      </c>
      <c r="L305" s="42">
        <v>45098</v>
      </c>
      <c r="M305" s="42">
        <v>45097</v>
      </c>
      <c r="N305" s="42">
        <v>45098</v>
      </c>
      <c r="O305" s="40" t="s">
        <v>123</v>
      </c>
      <c r="P305" s="42" t="s">
        <v>122</v>
      </c>
      <c r="S305" s="49"/>
      <c r="T305" s="49"/>
      <c r="W305" s="49"/>
      <c r="X305" s="49"/>
      <c r="AA305" s="40" t="str">
        <f t="shared" si="4"/>
        <v/>
      </c>
    </row>
    <row r="306" spans="1:27" ht="15" customHeight="1" x14ac:dyDescent="0.25">
      <c r="A306" s="43" t="s">
        <v>778</v>
      </c>
      <c r="B306" s="41" t="s">
        <v>575</v>
      </c>
      <c r="C306" s="41" t="s">
        <v>779</v>
      </c>
      <c r="D306" s="40" t="s">
        <v>780</v>
      </c>
      <c r="E306" s="40" t="s">
        <v>66</v>
      </c>
      <c r="F306" s="40" t="s">
        <v>67</v>
      </c>
      <c r="G306" s="40" t="s">
        <v>68</v>
      </c>
      <c r="H306" s="40" t="s">
        <v>139</v>
      </c>
      <c r="I306" s="40" t="s">
        <v>140</v>
      </c>
      <c r="J306" s="42">
        <v>45068</v>
      </c>
      <c r="K306" s="42">
        <v>45096</v>
      </c>
      <c r="L306" s="42">
        <v>45098</v>
      </c>
      <c r="M306" s="42">
        <v>45097</v>
      </c>
      <c r="N306" s="42">
        <v>45098</v>
      </c>
      <c r="O306" s="40" t="s">
        <v>123</v>
      </c>
      <c r="P306" s="42" t="s">
        <v>122</v>
      </c>
      <c r="AA306" s="40" t="str">
        <f t="shared" si="4"/>
        <v/>
      </c>
    </row>
    <row r="307" spans="1:27" ht="15" customHeight="1" x14ac:dyDescent="0.25">
      <c r="A307" s="43" t="s">
        <v>781</v>
      </c>
      <c r="B307" s="41" t="s">
        <v>575</v>
      </c>
      <c r="C307" s="41" t="s">
        <v>782</v>
      </c>
      <c r="D307" s="40" t="s">
        <v>780</v>
      </c>
      <c r="E307" s="40" t="s">
        <v>66</v>
      </c>
      <c r="F307" s="40" t="s">
        <v>67</v>
      </c>
      <c r="G307" s="77" t="s">
        <v>68</v>
      </c>
      <c r="H307" s="40" t="s">
        <v>139</v>
      </c>
      <c r="I307" s="40" t="s">
        <v>140</v>
      </c>
      <c r="J307" s="42">
        <v>45068</v>
      </c>
      <c r="K307" s="42">
        <v>45096</v>
      </c>
      <c r="L307" s="42">
        <v>45098</v>
      </c>
      <c r="M307" s="42">
        <v>45097</v>
      </c>
      <c r="N307" s="42">
        <v>45098</v>
      </c>
      <c r="O307" s="40" t="s">
        <v>123</v>
      </c>
      <c r="P307" s="42" t="s">
        <v>122</v>
      </c>
      <c r="S307" s="49"/>
      <c r="T307" s="49"/>
      <c r="W307" s="49"/>
      <c r="X307" s="49"/>
      <c r="AA307" s="40" t="str">
        <f t="shared" si="4"/>
        <v/>
      </c>
    </row>
    <row r="308" spans="1:27" ht="15" customHeight="1" x14ac:dyDescent="0.25">
      <c r="A308" s="43" t="s">
        <v>783</v>
      </c>
      <c r="B308" s="41" t="s">
        <v>764</v>
      </c>
      <c r="C308" s="41" t="s">
        <v>784</v>
      </c>
      <c r="D308" s="40" t="s">
        <v>766</v>
      </c>
      <c r="E308" s="40" t="s">
        <v>71</v>
      </c>
      <c r="F308" s="40" t="s">
        <v>67</v>
      </c>
      <c r="G308" s="40" t="s">
        <v>68</v>
      </c>
      <c r="H308" s="40" t="s">
        <v>155</v>
      </c>
      <c r="I308" s="40" t="s">
        <v>156</v>
      </c>
      <c r="J308" s="42">
        <v>45070</v>
      </c>
      <c r="K308" s="42">
        <v>45082</v>
      </c>
      <c r="L308" s="42">
        <v>45084</v>
      </c>
      <c r="M308" s="42">
        <v>45077</v>
      </c>
      <c r="N308" s="42">
        <v>45085</v>
      </c>
      <c r="O308" s="40" t="s">
        <v>122</v>
      </c>
      <c r="P308" s="42" t="s">
        <v>122</v>
      </c>
      <c r="AA308" s="40" t="str">
        <f t="shared" si="4"/>
        <v/>
      </c>
    </row>
    <row r="309" spans="1:27" ht="15" customHeight="1" x14ac:dyDescent="0.25">
      <c r="A309" s="43" t="s">
        <v>785</v>
      </c>
      <c r="B309" s="41" t="s">
        <v>764</v>
      </c>
      <c r="C309" s="41" t="s">
        <v>786</v>
      </c>
      <c r="D309" s="40" t="s">
        <v>766</v>
      </c>
      <c r="E309" s="40" t="s">
        <v>71</v>
      </c>
      <c r="F309" s="40" t="s">
        <v>67</v>
      </c>
      <c r="G309" s="77" t="s">
        <v>68</v>
      </c>
      <c r="H309" s="40" t="s">
        <v>155</v>
      </c>
      <c r="I309" s="40" t="s">
        <v>161</v>
      </c>
      <c r="J309" s="42">
        <v>45070</v>
      </c>
      <c r="K309" s="42">
        <v>45082</v>
      </c>
      <c r="L309" s="42">
        <v>45084</v>
      </c>
      <c r="M309" s="42">
        <v>45077</v>
      </c>
      <c r="N309" s="42">
        <v>45085</v>
      </c>
      <c r="O309" s="40" t="s">
        <v>122</v>
      </c>
      <c r="P309" s="42" t="s">
        <v>122</v>
      </c>
      <c r="S309" s="49"/>
      <c r="T309" s="49"/>
      <c r="W309" s="49"/>
      <c r="X309" s="49"/>
      <c r="AA309" s="40" t="str">
        <f t="shared" si="4"/>
        <v/>
      </c>
    </row>
    <row r="310" spans="1:27" ht="15" customHeight="1" x14ac:dyDescent="0.25">
      <c r="A310" s="43" t="s">
        <v>787</v>
      </c>
      <c r="B310" s="41" t="s">
        <v>788</v>
      </c>
      <c r="C310" s="41" t="s">
        <v>789</v>
      </c>
      <c r="D310" s="40" t="s">
        <v>204</v>
      </c>
      <c r="E310" s="40" t="s">
        <v>86</v>
      </c>
      <c r="F310" s="40" t="s">
        <v>67</v>
      </c>
      <c r="G310" s="40" t="s">
        <v>68</v>
      </c>
      <c r="H310" s="40" t="s">
        <v>160</v>
      </c>
      <c r="I310" s="40" t="s">
        <v>156</v>
      </c>
      <c r="J310" s="42">
        <v>45070</v>
      </c>
      <c r="K310" s="42">
        <v>45093</v>
      </c>
      <c r="L310" s="42">
        <v>45097</v>
      </c>
      <c r="M310" s="42">
        <v>45096</v>
      </c>
      <c r="N310" s="42">
        <v>45097</v>
      </c>
      <c r="O310" s="40" t="s">
        <v>123</v>
      </c>
      <c r="P310" s="42" t="s">
        <v>122</v>
      </c>
      <c r="AA310" s="40" t="str">
        <f t="shared" si="4"/>
        <v/>
      </c>
    </row>
    <row r="311" spans="1:27" ht="15" customHeight="1" x14ac:dyDescent="0.25">
      <c r="A311" s="43" t="s">
        <v>790</v>
      </c>
      <c r="B311" s="41" t="s">
        <v>788</v>
      </c>
      <c r="C311" s="41" t="s">
        <v>791</v>
      </c>
      <c r="D311" s="40" t="s">
        <v>204</v>
      </c>
      <c r="E311" s="40" t="s">
        <v>86</v>
      </c>
      <c r="F311" s="40" t="s">
        <v>67</v>
      </c>
      <c r="G311" s="77" t="s">
        <v>68</v>
      </c>
      <c r="H311" s="40" t="s">
        <v>160</v>
      </c>
      <c r="I311" s="40" t="s">
        <v>156</v>
      </c>
      <c r="J311" s="42">
        <v>45070</v>
      </c>
      <c r="K311" s="42">
        <v>45093</v>
      </c>
      <c r="L311" s="42">
        <v>45097</v>
      </c>
      <c r="M311" s="42">
        <v>45096</v>
      </c>
      <c r="N311" s="42">
        <v>45097</v>
      </c>
      <c r="O311" s="40" t="s">
        <v>123</v>
      </c>
      <c r="P311" s="42" t="s">
        <v>122</v>
      </c>
      <c r="S311" s="49"/>
      <c r="T311" s="49"/>
      <c r="W311" s="49"/>
      <c r="X311" s="49"/>
      <c r="AA311" s="40" t="str">
        <f t="shared" si="4"/>
        <v/>
      </c>
    </row>
    <row r="312" spans="1:27" ht="15" customHeight="1" x14ac:dyDescent="0.25">
      <c r="A312" s="43" t="s">
        <v>792</v>
      </c>
      <c r="B312" s="41" t="s">
        <v>788</v>
      </c>
      <c r="C312" s="41" t="s">
        <v>793</v>
      </c>
      <c r="D312" s="40" t="s">
        <v>204</v>
      </c>
      <c r="E312" s="40" t="s">
        <v>86</v>
      </c>
      <c r="F312" s="40" t="s">
        <v>67</v>
      </c>
      <c r="G312" s="40" t="s">
        <v>68</v>
      </c>
      <c r="H312" s="40" t="s">
        <v>160</v>
      </c>
      <c r="I312" s="40" t="s">
        <v>156</v>
      </c>
      <c r="J312" s="42">
        <v>45070</v>
      </c>
      <c r="K312" s="42">
        <v>45093</v>
      </c>
      <c r="L312" s="42">
        <v>45097</v>
      </c>
      <c r="M312" s="42">
        <v>45096</v>
      </c>
      <c r="N312" s="42">
        <v>45097</v>
      </c>
      <c r="O312" s="40" t="s">
        <v>123</v>
      </c>
      <c r="P312" s="42" t="s">
        <v>122</v>
      </c>
      <c r="AA312" s="40" t="str">
        <f t="shared" si="4"/>
        <v/>
      </c>
    </row>
    <row r="313" spans="1:27" ht="15" customHeight="1" x14ac:dyDescent="0.25">
      <c r="A313" s="43" t="s">
        <v>794</v>
      </c>
      <c r="B313" s="41" t="s">
        <v>788</v>
      </c>
      <c r="C313" s="41" t="s">
        <v>795</v>
      </c>
      <c r="D313" s="40" t="s">
        <v>204</v>
      </c>
      <c r="E313" s="40" t="s">
        <v>86</v>
      </c>
      <c r="F313" s="40" t="s">
        <v>67</v>
      </c>
      <c r="G313" s="77" t="s">
        <v>68</v>
      </c>
      <c r="H313" s="40" t="s">
        <v>160</v>
      </c>
      <c r="I313" s="40" t="s">
        <v>156</v>
      </c>
      <c r="J313" s="42">
        <v>45070</v>
      </c>
      <c r="K313" s="42">
        <v>45093</v>
      </c>
      <c r="L313" s="42">
        <v>45097</v>
      </c>
      <c r="M313" s="42">
        <v>45096</v>
      </c>
      <c r="N313" s="42">
        <v>45097</v>
      </c>
      <c r="O313" s="40" t="s">
        <v>123</v>
      </c>
      <c r="P313" s="42" t="s">
        <v>122</v>
      </c>
      <c r="S313" s="49"/>
      <c r="T313" s="49"/>
      <c r="W313" s="49"/>
      <c r="X313" s="49"/>
      <c r="AA313" s="40" t="str">
        <f t="shared" si="4"/>
        <v/>
      </c>
    </row>
    <row r="314" spans="1:27" ht="15" customHeight="1" x14ac:dyDescent="0.25">
      <c r="A314" s="43" t="s">
        <v>796</v>
      </c>
      <c r="B314" s="41" t="s">
        <v>788</v>
      </c>
      <c r="C314" s="41" t="s">
        <v>797</v>
      </c>
      <c r="D314" s="40" t="s">
        <v>204</v>
      </c>
      <c r="E314" s="40" t="s">
        <v>86</v>
      </c>
      <c r="F314" s="40" t="s">
        <v>67</v>
      </c>
      <c r="G314" s="40" t="s">
        <v>68</v>
      </c>
      <c r="H314" s="40" t="s">
        <v>168</v>
      </c>
      <c r="I314" s="40" t="s">
        <v>156</v>
      </c>
      <c r="J314" s="42">
        <v>45070</v>
      </c>
      <c r="K314" s="42">
        <v>45093</v>
      </c>
      <c r="L314" s="42">
        <v>45097</v>
      </c>
      <c r="M314" s="42">
        <v>45097</v>
      </c>
      <c r="N314" s="42">
        <v>45099</v>
      </c>
      <c r="O314" s="40" t="s">
        <v>123</v>
      </c>
      <c r="P314" s="42" t="s">
        <v>122</v>
      </c>
      <c r="AA314" s="40" t="str">
        <f t="shared" si="4"/>
        <v/>
      </c>
    </row>
    <row r="315" spans="1:27" ht="15" customHeight="1" x14ac:dyDescent="0.25">
      <c r="A315" s="43" t="s">
        <v>798</v>
      </c>
      <c r="B315" s="41" t="s">
        <v>788</v>
      </c>
      <c r="C315" s="41" t="s">
        <v>799</v>
      </c>
      <c r="D315" s="40" t="s">
        <v>204</v>
      </c>
      <c r="E315" s="40" t="s">
        <v>86</v>
      </c>
      <c r="F315" s="40" t="s">
        <v>67</v>
      </c>
      <c r="G315" s="77" t="s">
        <v>68</v>
      </c>
      <c r="H315" s="40" t="s">
        <v>168</v>
      </c>
      <c r="I315" s="40" t="s">
        <v>156</v>
      </c>
      <c r="J315" s="42">
        <v>45070</v>
      </c>
      <c r="K315" s="42">
        <v>45093</v>
      </c>
      <c r="L315" s="42">
        <v>45097</v>
      </c>
      <c r="M315" s="42">
        <v>45097</v>
      </c>
      <c r="N315" s="42">
        <v>45099</v>
      </c>
      <c r="O315" s="40" t="s">
        <v>123</v>
      </c>
      <c r="P315" s="42" t="s">
        <v>122</v>
      </c>
      <c r="S315" s="49"/>
      <c r="T315" s="49"/>
      <c r="W315" s="49"/>
      <c r="X315" s="49"/>
      <c r="AA315" s="40" t="str">
        <f t="shared" si="4"/>
        <v/>
      </c>
    </row>
    <row r="316" spans="1:27" ht="15" customHeight="1" x14ac:dyDescent="0.25">
      <c r="A316" s="43" t="s">
        <v>800</v>
      </c>
      <c r="B316" s="41" t="s">
        <v>788</v>
      </c>
      <c r="C316" s="41" t="s">
        <v>801</v>
      </c>
      <c r="D316" s="40" t="s">
        <v>204</v>
      </c>
      <c r="E316" s="40" t="s">
        <v>86</v>
      </c>
      <c r="F316" s="40" t="s">
        <v>67</v>
      </c>
      <c r="G316" s="40" t="s">
        <v>68</v>
      </c>
      <c r="H316" s="40" t="s">
        <v>168</v>
      </c>
      <c r="I316" s="40" t="s">
        <v>156</v>
      </c>
      <c r="J316" s="42">
        <v>45070</v>
      </c>
      <c r="K316" s="42">
        <v>45093</v>
      </c>
      <c r="L316" s="42">
        <v>45097</v>
      </c>
      <c r="M316" s="42">
        <v>45097</v>
      </c>
      <c r="N316" s="42">
        <v>45099</v>
      </c>
      <c r="O316" s="40" t="s">
        <v>123</v>
      </c>
      <c r="P316" s="42" t="s">
        <v>122</v>
      </c>
      <c r="AA316" s="40" t="str">
        <f t="shared" si="4"/>
        <v/>
      </c>
    </row>
    <row r="317" spans="1:27" ht="15" customHeight="1" x14ac:dyDescent="0.25">
      <c r="A317" s="43" t="s">
        <v>802</v>
      </c>
      <c r="B317" s="41" t="s">
        <v>788</v>
      </c>
      <c r="C317" s="41" t="s">
        <v>803</v>
      </c>
      <c r="D317" s="40" t="s">
        <v>204</v>
      </c>
      <c r="E317" s="40" t="s">
        <v>86</v>
      </c>
      <c r="F317" s="40" t="s">
        <v>67</v>
      </c>
      <c r="G317" s="77" t="s">
        <v>68</v>
      </c>
      <c r="H317" s="40" t="s">
        <v>168</v>
      </c>
      <c r="I317" s="40" t="s">
        <v>156</v>
      </c>
      <c r="J317" s="42">
        <v>45070</v>
      </c>
      <c r="K317" s="42">
        <v>45093</v>
      </c>
      <c r="L317" s="42">
        <v>45097</v>
      </c>
      <c r="M317" s="42">
        <v>45097</v>
      </c>
      <c r="N317" s="42">
        <v>45099</v>
      </c>
      <c r="O317" s="40" t="s">
        <v>123</v>
      </c>
      <c r="P317" s="42" t="s">
        <v>122</v>
      </c>
      <c r="S317" s="49"/>
      <c r="T317" s="49"/>
      <c r="W317" s="49"/>
      <c r="X317" s="49"/>
      <c r="AA317" s="40" t="str">
        <f t="shared" si="4"/>
        <v/>
      </c>
    </row>
    <row r="318" spans="1:27" s="75" customFormat="1" ht="15" customHeight="1" x14ac:dyDescent="0.25">
      <c r="A318" s="60" t="s">
        <v>804</v>
      </c>
      <c r="B318" s="57" t="s">
        <v>805</v>
      </c>
      <c r="C318" s="57" t="s">
        <v>119</v>
      </c>
      <c r="D318" s="56" t="s">
        <v>87</v>
      </c>
      <c r="E318" s="56" t="s">
        <v>66</v>
      </c>
      <c r="F318" s="56" t="s">
        <v>67</v>
      </c>
      <c r="G318" s="56" t="s">
        <v>68</v>
      </c>
      <c r="H318" s="56" t="s">
        <v>160</v>
      </c>
      <c r="I318" s="56" t="s">
        <v>140</v>
      </c>
      <c r="J318" s="58">
        <v>45069</v>
      </c>
      <c r="K318" s="58">
        <v>45089</v>
      </c>
      <c r="L318" s="58">
        <v>45091</v>
      </c>
      <c r="M318" s="58">
        <v>45073</v>
      </c>
      <c r="N318" s="58">
        <v>45097</v>
      </c>
      <c r="O318" s="56" t="s">
        <v>122</v>
      </c>
      <c r="P318" s="58" t="s">
        <v>123</v>
      </c>
      <c r="Q318" s="58"/>
      <c r="R318" s="58"/>
      <c r="S318" s="56"/>
      <c r="T318" s="56"/>
      <c r="U318" s="58"/>
      <c r="V318" s="58"/>
      <c r="W318" s="56"/>
      <c r="X318" s="56"/>
      <c r="Y318" s="56"/>
      <c r="Z318" s="56"/>
      <c r="AA318" s="56" t="str">
        <f t="shared" si="4"/>
        <v/>
      </c>
    </row>
    <row r="319" spans="1:27" ht="15" customHeight="1" x14ac:dyDescent="0.25">
      <c r="A319" s="43" t="s">
        <v>806</v>
      </c>
      <c r="B319" s="41" t="s">
        <v>807</v>
      </c>
      <c r="C319" s="41" t="s">
        <v>808</v>
      </c>
      <c r="D319" s="40" t="s">
        <v>809</v>
      </c>
      <c r="E319" s="40" t="s">
        <v>71</v>
      </c>
      <c r="F319" s="40" t="s">
        <v>67</v>
      </c>
      <c r="G319" s="77" t="s">
        <v>89</v>
      </c>
      <c r="H319" s="40" t="s">
        <v>155</v>
      </c>
      <c r="I319" s="40" t="s">
        <v>140</v>
      </c>
      <c r="J319" s="42">
        <v>45084</v>
      </c>
      <c r="K319" s="42">
        <v>45103</v>
      </c>
      <c r="L319" s="42">
        <v>45105</v>
      </c>
      <c r="M319" s="42">
        <v>45098</v>
      </c>
      <c r="N319" s="42">
        <v>45105</v>
      </c>
      <c r="O319" s="40" t="s">
        <v>122</v>
      </c>
      <c r="P319" s="42" t="s">
        <v>122</v>
      </c>
      <c r="S319" s="49"/>
      <c r="T319" s="49"/>
      <c r="W319" s="49"/>
      <c r="X319" s="49"/>
      <c r="AA319" s="40" t="str">
        <f t="shared" si="4"/>
        <v/>
      </c>
    </row>
    <row r="320" spans="1:27" ht="15" customHeight="1" x14ac:dyDescent="0.25">
      <c r="A320" s="43" t="s">
        <v>810</v>
      </c>
      <c r="B320" s="41" t="s">
        <v>811</v>
      </c>
      <c r="C320" s="41" t="s">
        <v>812</v>
      </c>
      <c r="D320" s="40" t="s">
        <v>813</v>
      </c>
      <c r="E320" s="40" t="s">
        <v>71</v>
      </c>
      <c r="F320" s="40" t="s">
        <v>67</v>
      </c>
      <c r="G320" s="40" t="s">
        <v>89</v>
      </c>
      <c r="H320" s="40" t="s">
        <v>168</v>
      </c>
      <c r="I320" s="40" t="s">
        <v>539</v>
      </c>
      <c r="J320" s="42">
        <v>45086</v>
      </c>
      <c r="K320" s="42">
        <v>45092</v>
      </c>
      <c r="L320" s="42">
        <v>45096</v>
      </c>
      <c r="M320" s="42">
        <v>45091</v>
      </c>
      <c r="N320" s="42">
        <v>45096</v>
      </c>
      <c r="O320" s="40" t="s">
        <v>122</v>
      </c>
      <c r="P320" s="42" t="s">
        <v>122</v>
      </c>
      <c r="AA320" s="40" t="str">
        <f t="shared" si="4"/>
        <v/>
      </c>
    </row>
    <row r="321" spans="1:27" ht="15" customHeight="1" x14ac:dyDescent="0.25">
      <c r="A321" s="43" t="s">
        <v>814</v>
      </c>
      <c r="B321" s="41" t="s">
        <v>811</v>
      </c>
      <c r="C321" s="41" t="s">
        <v>815</v>
      </c>
      <c r="D321" s="40" t="s">
        <v>813</v>
      </c>
      <c r="E321" s="40" t="s">
        <v>71</v>
      </c>
      <c r="F321" s="40" t="s">
        <v>67</v>
      </c>
      <c r="G321" s="77" t="s">
        <v>89</v>
      </c>
      <c r="H321" s="40" t="s">
        <v>168</v>
      </c>
      <c r="I321" s="40" t="s">
        <v>539</v>
      </c>
      <c r="J321" s="42">
        <v>45086</v>
      </c>
      <c r="K321" s="42">
        <v>45092</v>
      </c>
      <c r="L321" s="42">
        <v>45096</v>
      </c>
      <c r="M321" s="42">
        <v>45091</v>
      </c>
      <c r="N321" s="42">
        <v>45096</v>
      </c>
      <c r="O321" s="40" t="s">
        <v>122</v>
      </c>
      <c r="P321" s="42" t="s">
        <v>122</v>
      </c>
      <c r="S321" s="49"/>
      <c r="T321" s="49"/>
      <c r="W321" s="49"/>
      <c r="X321" s="49"/>
      <c r="AA321" s="40" t="str">
        <f t="shared" si="4"/>
        <v/>
      </c>
    </row>
    <row r="322" spans="1:27" ht="15" customHeight="1" x14ac:dyDescent="0.25">
      <c r="A322" s="43" t="s">
        <v>816</v>
      </c>
      <c r="B322" s="41" t="s">
        <v>817</v>
      </c>
      <c r="C322" s="41" t="s">
        <v>818</v>
      </c>
      <c r="D322" s="40" t="s">
        <v>663</v>
      </c>
      <c r="E322" s="40" t="s">
        <v>89</v>
      </c>
      <c r="F322" s="40" t="s">
        <v>67</v>
      </c>
      <c r="G322" s="40" t="s">
        <v>89</v>
      </c>
      <c r="H322" s="40" t="s">
        <v>139</v>
      </c>
      <c r="I322" s="40" t="s">
        <v>140</v>
      </c>
      <c r="J322" s="42">
        <v>45070</v>
      </c>
      <c r="K322" s="42">
        <v>45098</v>
      </c>
      <c r="L322" s="42">
        <v>45100</v>
      </c>
      <c r="M322" s="42">
        <v>45084</v>
      </c>
      <c r="N322" s="42">
        <v>45097</v>
      </c>
      <c r="O322" s="40" t="s">
        <v>122</v>
      </c>
      <c r="P322" s="42" t="s">
        <v>122</v>
      </c>
      <c r="AA322" s="40" t="str">
        <f t="shared" si="4"/>
        <v/>
      </c>
    </row>
    <row r="323" spans="1:27" ht="15" customHeight="1" x14ac:dyDescent="0.25">
      <c r="A323" s="43" t="s">
        <v>819</v>
      </c>
      <c r="B323" s="41" t="s">
        <v>817</v>
      </c>
      <c r="C323" s="41" t="s">
        <v>93</v>
      </c>
      <c r="D323" s="40" t="s">
        <v>820</v>
      </c>
      <c r="E323" s="40" t="s">
        <v>89</v>
      </c>
      <c r="F323" s="40" t="s">
        <v>67</v>
      </c>
      <c r="G323" s="77" t="s">
        <v>89</v>
      </c>
      <c r="H323" s="40" t="s">
        <v>139</v>
      </c>
      <c r="I323" s="40" t="s">
        <v>140</v>
      </c>
      <c r="J323" s="42">
        <v>45070</v>
      </c>
      <c r="K323" s="42">
        <v>45098</v>
      </c>
      <c r="L323" s="42">
        <v>45100</v>
      </c>
      <c r="M323" s="42">
        <v>45083</v>
      </c>
      <c r="N323" s="42">
        <v>45097</v>
      </c>
      <c r="O323" s="40" t="s">
        <v>122</v>
      </c>
      <c r="P323" s="42" t="s">
        <v>122</v>
      </c>
      <c r="S323" s="49"/>
      <c r="T323" s="49"/>
      <c r="W323" s="49"/>
      <c r="X323" s="49"/>
      <c r="AA323" s="40" t="str">
        <f t="shared" si="4"/>
        <v/>
      </c>
    </row>
    <row r="324" spans="1:27" ht="15" customHeight="1" x14ac:dyDescent="0.25">
      <c r="A324" s="43" t="s">
        <v>821</v>
      </c>
      <c r="B324" s="41" t="s">
        <v>822</v>
      </c>
      <c r="C324" s="41" t="s">
        <v>823</v>
      </c>
      <c r="D324" s="40" t="s">
        <v>774</v>
      </c>
      <c r="E324" s="40" t="s">
        <v>71</v>
      </c>
      <c r="F324" s="40" t="s">
        <v>67</v>
      </c>
      <c r="G324" s="40" t="s">
        <v>89</v>
      </c>
      <c r="H324" s="40" t="s">
        <v>160</v>
      </c>
      <c r="I324" s="40" t="s">
        <v>539</v>
      </c>
      <c r="J324" s="42">
        <v>45071</v>
      </c>
      <c r="K324" s="42">
        <v>45096</v>
      </c>
      <c r="L324" s="42">
        <v>45098</v>
      </c>
      <c r="M324" s="42">
        <v>45083</v>
      </c>
      <c r="N324" s="42">
        <v>45099</v>
      </c>
      <c r="O324" s="40" t="s">
        <v>122</v>
      </c>
      <c r="P324" s="42" t="s">
        <v>122</v>
      </c>
      <c r="AA324" s="40" t="str">
        <f t="shared" si="4"/>
        <v/>
      </c>
    </row>
    <row r="325" spans="1:27" ht="15" customHeight="1" x14ac:dyDescent="0.25">
      <c r="A325" s="43" t="s">
        <v>824</v>
      </c>
      <c r="B325" s="41" t="s">
        <v>825</v>
      </c>
      <c r="C325" s="41" t="s">
        <v>826</v>
      </c>
      <c r="D325" s="40" t="s">
        <v>534</v>
      </c>
      <c r="E325" s="40" t="s">
        <v>86</v>
      </c>
      <c r="F325" s="40" t="s">
        <v>67</v>
      </c>
      <c r="G325" s="77" t="s">
        <v>89</v>
      </c>
      <c r="H325" s="40" t="s">
        <v>139</v>
      </c>
      <c r="I325" s="40" t="s">
        <v>188</v>
      </c>
      <c r="J325" s="42">
        <v>45079</v>
      </c>
      <c r="K325" s="42">
        <v>45093</v>
      </c>
      <c r="L325" s="42">
        <v>45097</v>
      </c>
      <c r="M325" s="42">
        <v>45097</v>
      </c>
      <c r="N325" s="42">
        <v>45099</v>
      </c>
      <c r="O325" s="40" t="s">
        <v>123</v>
      </c>
      <c r="P325" s="42" t="s">
        <v>122</v>
      </c>
      <c r="S325" s="49"/>
      <c r="T325" s="49"/>
      <c r="W325" s="49"/>
      <c r="X325" s="49"/>
      <c r="AA325" s="40" t="str">
        <f t="shared" si="4"/>
        <v/>
      </c>
    </row>
    <row r="326" spans="1:27" ht="15" customHeight="1" x14ac:dyDescent="0.25">
      <c r="A326" s="43" t="s">
        <v>824</v>
      </c>
      <c r="B326" s="41" t="s">
        <v>825</v>
      </c>
      <c r="C326" s="41" t="s">
        <v>826</v>
      </c>
      <c r="D326" s="40" t="s">
        <v>534</v>
      </c>
      <c r="E326" s="40" t="s">
        <v>86</v>
      </c>
      <c r="F326" s="40" t="s">
        <v>67</v>
      </c>
      <c r="G326" s="40" t="s">
        <v>89</v>
      </c>
      <c r="H326" s="40" t="s">
        <v>139</v>
      </c>
      <c r="I326" s="40" t="s">
        <v>161</v>
      </c>
      <c r="J326" s="42">
        <v>45079</v>
      </c>
      <c r="K326" s="42">
        <v>45093</v>
      </c>
      <c r="L326" s="42">
        <v>45097</v>
      </c>
      <c r="M326" s="42">
        <v>45097</v>
      </c>
      <c r="N326" s="42">
        <v>45099</v>
      </c>
      <c r="O326" s="40" t="s">
        <v>123</v>
      </c>
      <c r="P326" s="42" t="s">
        <v>122</v>
      </c>
      <c r="AA326" s="40" t="str">
        <f t="shared" si="4"/>
        <v/>
      </c>
    </row>
    <row r="327" spans="1:27" s="75" customFormat="1" ht="15" customHeight="1" x14ac:dyDescent="0.25">
      <c r="A327" s="60" t="s">
        <v>827</v>
      </c>
      <c r="B327" s="57" t="s">
        <v>828</v>
      </c>
      <c r="C327" s="57" t="s">
        <v>829</v>
      </c>
      <c r="D327" s="56" t="s">
        <v>830</v>
      </c>
      <c r="E327" s="56" t="s">
        <v>66</v>
      </c>
      <c r="F327" s="56" t="s">
        <v>67</v>
      </c>
      <c r="G327" s="76" t="s">
        <v>89</v>
      </c>
      <c r="H327" s="56" t="s">
        <v>155</v>
      </c>
      <c r="I327" s="56" t="s">
        <v>313</v>
      </c>
      <c r="J327" s="58">
        <v>45082</v>
      </c>
      <c r="K327" s="58">
        <v>45097</v>
      </c>
      <c r="L327" s="58">
        <v>45099</v>
      </c>
      <c r="M327" s="58">
        <v>45096</v>
      </c>
      <c r="N327" s="58">
        <v>45103</v>
      </c>
      <c r="O327" s="56" t="s">
        <v>122</v>
      </c>
      <c r="P327" s="58" t="s">
        <v>123</v>
      </c>
      <c r="Q327" s="58"/>
      <c r="R327" s="58"/>
      <c r="S327" s="59"/>
      <c r="T327" s="59"/>
      <c r="U327" s="58"/>
      <c r="V327" s="58"/>
      <c r="W327" s="59"/>
      <c r="X327" s="59"/>
      <c r="Y327" s="56"/>
      <c r="Z327" s="56"/>
      <c r="AA327" s="56" t="str">
        <f t="shared" si="4"/>
        <v/>
      </c>
    </row>
    <row r="328" spans="1:27" s="75" customFormat="1" ht="15" customHeight="1" x14ac:dyDescent="0.25">
      <c r="A328" s="60" t="s">
        <v>831</v>
      </c>
      <c r="B328" s="57" t="s">
        <v>832</v>
      </c>
      <c r="C328" s="57" t="s">
        <v>833</v>
      </c>
      <c r="D328" s="56" t="s">
        <v>834</v>
      </c>
      <c r="E328" s="56" t="s">
        <v>71</v>
      </c>
      <c r="F328" s="56" t="s">
        <v>67</v>
      </c>
      <c r="G328" s="56" t="s">
        <v>89</v>
      </c>
      <c r="H328" s="56" t="s">
        <v>139</v>
      </c>
      <c r="I328" s="56" t="s">
        <v>188</v>
      </c>
      <c r="J328" s="58">
        <v>45077</v>
      </c>
      <c r="K328" s="58">
        <v>45098</v>
      </c>
      <c r="L328" s="58">
        <v>45100</v>
      </c>
      <c r="M328" s="58">
        <v>45103</v>
      </c>
      <c r="N328" s="58">
        <v>45105</v>
      </c>
      <c r="O328" s="56" t="s">
        <v>123</v>
      </c>
      <c r="P328" s="58" t="s">
        <v>123</v>
      </c>
      <c r="Q328" s="58"/>
      <c r="R328" s="58"/>
      <c r="S328" s="56"/>
      <c r="T328" s="56"/>
      <c r="U328" s="58"/>
      <c r="V328" s="58"/>
      <c r="W328" s="56"/>
      <c r="X328" s="56"/>
      <c r="Y328" s="56"/>
      <c r="Z328" s="56"/>
      <c r="AA328" s="56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43" t="s">
        <v>835</v>
      </c>
      <c r="B329" s="41" t="s">
        <v>836</v>
      </c>
      <c r="C329" s="41" t="s">
        <v>837</v>
      </c>
      <c r="D329" s="40" t="s">
        <v>838</v>
      </c>
      <c r="E329" s="40" t="s">
        <v>86</v>
      </c>
      <c r="F329" s="40" t="s">
        <v>67</v>
      </c>
      <c r="G329" s="77" t="s">
        <v>89</v>
      </c>
      <c r="H329" s="40" t="s">
        <v>160</v>
      </c>
      <c r="I329" s="40" t="s">
        <v>161</v>
      </c>
      <c r="J329" s="42">
        <v>45076</v>
      </c>
      <c r="K329" s="42">
        <v>45096</v>
      </c>
      <c r="L329" s="42">
        <v>45098</v>
      </c>
      <c r="M329" s="42">
        <v>45083</v>
      </c>
      <c r="N329" s="42">
        <v>45100</v>
      </c>
      <c r="O329" s="40" t="s">
        <v>122</v>
      </c>
      <c r="P329" s="42" t="s">
        <v>122</v>
      </c>
      <c r="S329" s="49"/>
      <c r="T329" s="49"/>
      <c r="W329" s="49"/>
      <c r="X329" s="49"/>
      <c r="AA329" s="40" t="str">
        <f t="shared" si="5"/>
        <v/>
      </c>
    </row>
    <row r="330" spans="1:27" ht="15" customHeight="1" x14ac:dyDescent="0.25">
      <c r="A330" s="43" t="s">
        <v>839</v>
      </c>
      <c r="B330" s="41" t="s">
        <v>840</v>
      </c>
      <c r="C330" s="41" t="s">
        <v>841</v>
      </c>
      <c r="D330" s="40" t="s">
        <v>595</v>
      </c>
      <c r="E330" s="40" t="s">
        <v>71</v>
      </c>
      <c r="F330" s="40" t="s">
        <v>67</v>
      </c>
      <c r="G330" s="40" t="s">
        <v>89</v>
      </c>
      <c r="H330" s="40" t="s">
        <v>139</v>
      </c>
      <c r="I330" s="40" t="s">
        <v>539</v>
      </c>
      <c r="J330" s="42">
        <v>45078</v>
      </c>
      <c r="K330" s="42">
        <v>45103</v>
      </c>
      <c r="L330" s="42">
        <v>45105</v>
      </c>
      <c r="M330" s="42">
        <v>45085</v>
      </c>
      <c r="N330" s="42">
        <v>45096</v>
      </c>
      <c r="O330" s="40" t="s">
        <v>122</v>
      </c>
      <c r="P330" s="42" t="s">
        <v>122</v>
      </c>
      <c r="AA330" s="40" t="str">
        <f t="shared" si="5"/>
        <v/>
      </c>
    </row>
    <row r="331" spans="1:27" ht="15" customHeight="1" x14ac:dyDescent="0.25">
      <c r="A331" s="43" t="s">
        <v>839</v>
      </c>
      <c r="B331" s="41" t="s">
        <v>840</v>
      </c>
      <c r="C331" s="41" t="s">
        <v>841</v>
      </c>
      <c r="D331" s="40" t="s">
        <v>595</v>
      </c>
      <c r="E331" s="40" t="s">
        <v>71</v>
      </c>
      <c r="F331" s="40" t="s">
        <v>67</v>
      </c>
      <c r="G331" s="77" t="s">
        <v>89</v>
      </c>
      <c r="H331" s="40" t="s">
        <v>139</v>
      </c>
      <c r="I331" s="40" t="s">
        <v>539</v>
      </c>
      <c r="J331" s="42">
        <v>45078</v>
      </c>
      <c r="K331" s="42">
        <v>45103</v>
      </c>
      <c r="L331" s="42">
        <v>45105</v>
      </c>
      <c r="M331" s="42">
        <v>45085</v>
      </c>
      <c r="N331" s="42">
        <v>45096</v>
      </c>
      <c r="O331" s="40" t="s">
        <v>122</v>
      </c>
      <c r="P331" s="42" t="s">
        <v>122</v>
      </c>
      <c r="S331" s="49"/>
      <c r="T331" s="49"/>
      <c r="W331" s="49"/>
      <c r="X331" s="49"/>
      <c r="AA331" s="40" t="str">
        <f t="shared" si="5"/>
        <v/>
      </c>
    </row>
    <row r="332" spans="1:27" ht="15" customHeight="1" x14ac:dyDescent="0.25">
      <c r="A332" s="43" t="s">
        <v>842</v>
      </c>
      <c r="B332" s="41" t="s">
        <v>840</v>
      </c>
      <c r="C332" s="41" t="s">
        <v>843</v>
      </c>
      <c r="D332" s="40" t="s">
        <v>595</v>
      </c>
      <c r="E332" s="40" t="s">
        <v>71</v>
      </c>
      <c r="F332" s="40" t="s">
        <v>67</v>
      </c>
      <c r="G332" s="40" t="s">
        <v>89</v>
      </c>
      <c r="H332" s="40" t="s">
        <v>139</v>
      </c>
      <c r="I332" s="40" t="s">
        <v>539</v>
      </c>
      <c r="J332" s="42">
        <v>45078</v>
      </c>
      <c r="K332" s="42">
        <v>45103</v>
      </c>
      <c r="L332" s="42">
        <v>45105</v>
      </c>
      <c r="M332" s="42">
        <v>45096</v>
      </c>
      <c r="N332" s="42">
        <v>45096</v>
      </c>
      <c r="O332" s="40" t="s">
        <v>122</v>
      </c>
      <c r="P332" s="42" t="s">
        <v>122</v>
      </c>
      <c r="AA332" s="40" t="str">
        <f t="shared" si="5"/>
        <v/>
      </c>
    </row>
    <row r="333" spans="1:27" ht="15" customHeight="1" x14ac:dyDescent="0.25">
      <c r="A333" s="43" t="s">
        <v>842</v>
      </c>
      <c r="B333" s="41" t="s">
        <v>840</v>
      </c>
      <c r="C333" s="41" t="s">
        <v>843</v>
      </c>
      <c r="D333" s="40" t="s">
        <v>595</v>
      </c>
      <c r="E333" s="40" t="s">
        <v>71</v>
      </c>
      <c r="F333" s="40" t="s">
        <v>67</v>
      </c>
      <c r="G333" s="77" t="s">
        <v>89</v>
      </c>
      <c r="H333" s="40" t="s">
        <v>139</v>
      </c>
      <c r="I333" s="40" t="s">
        <v>539</v>
      </c>
      <c r="J333" s="42">
        <v>45078</v>
      </c>
      <c r="K333" s="42">
        <v>45103</v>
      </c>
      <c r="L333" s="42">
        <v>45105</v>
      </c>
      <c r="M333" s="42">
        <v>45096</v>
      </c>
      <c r="N333" s="42">
        <v>45096</v>
      </c>
      <c r="O333" s="40" t="s">
        <v>122</v>
      </c>
      <c r="P333" s="42" t="s">
        <v>122</v>
      </c>
      <c r="S333" s="49"/>
      <c r="T333" s="49"/>
      <c r="W333" s="49"/>
      <c r="X333" s="49"/>
      <c r="AA333" s="40" t="str">
        <f t="shared" si="5"/>
        <v/>
      </c>
    </row>
    <row r="334" spans="1:27" ht="15" customHeight="1" x14ac:dyDescent="0.25">
      <c r="A334" s="43" t="s">
        <v>844</v>
      </c>
      <c r="B334" s="41" t="s">
        <v>840</v>
      </c>
      <c r="C334" s="41" t="s">
        <v>845</v>
      </c>
      <c r="D334" s="40" t="s">
        <v>595</v>
      </c>
      <c r="E334" s="40" t="s">
        <v>71</v>
      </c>
      <c r="F334" s="40" t="s">
        <v>67</v>
      </c>
      <c r="G334" s="40" t="s">
        <v>89</v>
      </c>
      <c r="H334" s="40" t="s">
        <v>139</v>
      </c>
      <c r="I334" s="40" t="s">
        <v>539</v>
      </c>
      <c r="J334" s="42">
        <v>45078</v>
      </c>
      <c r="K334" s="42">
        <v>45103</v>
      </c>
      <c r="L334" s="42">
        <v>45105</v>
      </c>
      <c r="M334" s="42">
        <v>45085</v>
      </c>
      <c r="N334" s="42">
        <v>45096</v>
      </c>
      <c r="O334" s="40" t="s">
        <v>122</v>
      </c>
      <c r="P334" s="42" t="s">
        <v>122</v>
      </c>
      <c r="AA334" s="40" t="str">
        <f t="shared" si="5"/>
        <v/>
      </c>
    </row>
    <row r="335" spans="1:27" ht="15" customHeight="1" x14ac:dyDescent="0.25">
      <c r="A335" s="43" t="s">
        <v>844</v>
      </c>
      <c r="B335" s="41" t="s">
        <v>840</v>
      </c>
      <c r="C335" s="41" t="s">
        <v>845</v>
      </c>
      <c r="D335" s="40" t="s">
        <v>595</v>
      </c>
      <c r="E335" s="40" t="s">
        <v>71</v>
      </c>
      <c r="F335" s="40" t="s">
        <v>67</v>
      </c>
      <c r="G335" s="77" t="s">
        <v>89</v>
      </c>
      <c r="H335" s="40" t="s">
        <v>139</v>
      </c>
      <c r="I335" s="40" t="s">
        <v>539</v>
      </c>
      <c r="J335" s="42">
        <v>45078</v>
      </c>
      <c r="K335" s="42">
        <v>45103</v>
      </c>
      <c r="L335" s="42">
        <v>45105</v>
      </c>
      <c r="M335" s="42">
        <v>45096</v>
      </c>
      <c r="N335" s="42">
        <v>45096</v>
      </c>
      <c r="O335" s="40" t="s">
        <v>122</v>
      </c>
      <c r="P335" s="42" t="s">
        <v>122</v>
      </c>
      <c r="S335" s="49"/>
      <c r="T335" s="49"/>
      <c r="W335" s="49"/>
      <c r="X335" s="49"/>
      <c r="AA335" s="40" t="str">
        <f t="shared" si="5"/>
        <v/>
      </c>
    </row>
    <row r="336" spans="1:27" ht="15" customHeight="1" x14ac:dyDescent="0.25">
      <c r="A336" s="43" t="s">
        <v>846</v>
      </c>
      <c r="B336" s="41" t="s">
        <v>847</v>
      </c>
      <c r="C336" s="41" t="s">
        <v>848</v>
      </c>
      <c r="D336" s="40" t="s">
        <v>849</v>
      </c>
      <c r="E336" s="40" t="s">
        <v>71</v>
      </c>
      <c r="F336" s="40" t="s">
        <v>67</v>
      </c>
      <c r="G336" s="40" t="s">
        <v>89</v>
      </c>
      <c r="H336" s="40" t="s">
        <v>168</v>
      </c>
      <c r="I336" s="40" t="s">
        <v>140</v>
      </c>
      <c r="J336" s="42">
        <v>45084</v>
      </c>
      <c r="K336" s="42">
        <v>45098</v>
      </c>
      <c r="L336" s="42">
        <v>45100</v>
      </c>
      <c r="M336" s="42">
        <v>45099</v>
      </c>
      <c r="N336" s="42">
        <v>45100</v>
      </c>
      <c r="O336" s="40" t="s">
        <v>123</v>
      </c>
      <c r="P336" s="42" t="s">
        <v>122</v>
      </c>
      <c r="AA336" s="40" t="str">
        <f t="shared" si="5"/>
        <v/>
      </c>
    </row>
    <row r="337" spans="1:27" ht="15" customHeight="1" x14ac:dyDescent="0.25">
      <c r="A337" s="43" t="s">
        <v>850</v>
      </c>
      <c r="B337" s="41" t="s">
        <v>851</v>
      </c>
      <c r="C337" s="41" t="s">
        <v>852</v>
      </c>
      <c r="D337" s="40" t="s">
        <v>853</v>
      </c>
      <c r="E337" s="40" t="s">
        <v>71</v>
      </c>
      <c r="F337" s="40" t="s">
        <v>67</v>
      </c>
      <c r="G337" s="77" t="s">
        <v>89</v>
      </c>
      <c r="H337" s="40" t="s">
        <v>168</v>
      </c>
      <c r="I337" s="40" t="s">
        <v>539</v>
      </c>
      <c r="J337" s="42">
        <v>45075</v>
      </c>
      <c r="K337" s="42">
        <v>45103</v>
      </c>
      <c r="L337" s="42">
        <v>45105</v>
      </c>
      <c r="M337" s="42">
        <v>45084</v>
      </c>
      <c r="N337" s="42">
        <v>45096</v>
      </c>
      <c r="O337" s="40" t="s">
        <v>122</v>
      </c>
      <c r="P337" s="42" t="s">
        <v>122</v>
      </c>
      <c r="S337" s="49"/>
      <c r="T337" s="49"/>
      <c r="W337" s="49"/>
      <c r="X337" s="49"/>
      <c r="AA337" s="40" t="str">
        <f t="shared" si="5"/>
        <v/>
      </c>
    </row>
    <row r="338" spans="1:27" ht="15" customHeight="1" x14ac:dyDescent="0.25">
      <c r="A338" s="43" t="s">
        <v>854</v>
      </c>
      <c r="B338" s="41" t="s">
        <v>855</v>
      </c>
      <c r="C338" s="41" t="s">
        <v>856</v>
      </c>
      <c r="D338" s="40" t="s">
        <v>857</v>
      </c>
      <c r="E338" s="40" t="s">
        <v>86</v>
      </c>
      <c r="F338" s="40" t="s">
        <v>67</v>
      </c>
      <c r="G338" s="40" t="s">
        <v>86</v>
      </c>
      <c r="H338" s="40" t="s">
        <v>139</v>
      </c>
      <c r="I338" s="40" t="s">
        <v>140</v>
      </c>
      <c r="J338" s="42">
        <v>45078</v>
      </c>
      <c r="K338" s="42">
        <v>45096</v>
      </c>
      <c r="L338" s="42">
        <v>45098</v>
      </c>
      <c r="M338" s="42">
        <v>45098</v>
      </c>
      <c r="N338" s="42">
        <v>45098</v>
      </c>
      <c r="O338" s="40" t="s">
        <v>123</v>
      </c>
      <c r="P338" s="42" t="s">
        <v>122</v>
      </c>
      <c r="AA338" s="40" t="str">
        <f t="shared" si="5"/>
        <v/>
      </c>
    </row>
    <row r="339" spans="1:27" ht="15" customHeight="1" x14ac:dyDescent="0.25">
      <c r="A339" s="43" t="s">
        <v>858</v>
      </c>
      <c r="B339" s="41" t="s">
        <v>855</v>
      </c>
      <c r="C339" s="41" t="s">
        <v>859</v>
      </c>
      <c r="D339" s="40" t="s">
        <v>857</v>
      </c>
      <c r="E339" s="40" t="s">
        <v>86</v>
      </c>
      <c r="F339" s="40" t="s">
        <v>67</v>
      </c>
      <c r="G339" s="77" t="s">
        <v>86</v>
      </c>
      <c r="H339" s="40" t="s">
        <v>139</v>
      </c>
      <c r="I339" s="40" t="s">
        <v>140</v>
      </c>
      <c r="J339" s="42">
        <v>45078</v>
      </c>
      <c r="K339" s="42">
        <v>45096</v>
      </c>
      <c r="L339" s="42">
        <v>45098</v>
      </c>
      <c r="M339" s="42">
        <v>45098</v>
      </c>
      <c r="N339" s="42">
        <v>45098</v>
      </c>
      <c r="O339" s="40" t="s">
        <v>123</v>
      </c>
      <c r="P339" s="42" t="s">
        <v>122</v>
      </c>
      <c r="S339" s="49"/>
      <c r="T339" s="49"/>
      <c r="W339" s="49"/>
      <c r="X339" s="49"/>
      <c r="AA339" s="40" t="str">
        <f t="shared" si="5"/>
        <v/>
      </c>
    </row>
    <row r="340" spans="1:27" ht="15" customHeight="1" x14ac:dyDescent="0.25">
      <c r="A340" s="43" t="s">
        <v>860</v>
      </c>
      <c r="B340" s="41" t="s">
        <v>855</v>
      </c>
      <c r="C340" s="41" t="s">
        <v>861</v>
      </c>
      <c r="D340" s="40" t="s">
        <v>857</v>
      </c>
      <c r="E340" s="40" t="s">
        <v>86</v>
      </c>
      <c r="F340" s="40" t="s">
        <v>67</v>
      </c>
      <c r="G340" s="40" t="s">
        <v>86</v>
      </c>
      <c r="H340" s="40" t="s">
        <v>168</v>
      </c>
      <c r="I340" s="40" t="s">
        <v>140</v>
      </c>
      <c r="J340" s="42">
        <v>45078</v>
      </c>
      <c r="K340" s="42">
        <v>45096</v>
      </c>
      <c r="L340" s="42">
        <v>45098</v>
      </c>
      <c r="M340" s="42">
        <v>45098</v>
      </c>
      <c r="N340" s="42">
        <v>45098</v>
      </c>
      <c r="O340" s="40" t="s">
        <v>123</v>
      </c>
      <c r="P340" s="42" t="s">
        <v>122</v>
      </c>
      <c r="AA340" s="40" t="str">
        <f t="shared" si="5"/>
        <v/>
      </c>
    </row>
    <row r="341" spans="1:27" ht="15" customHeight="1" x14ac:dyDescent="0.25">
      <c r="A341" s="43" t="s">
        <v>862</v>
      </c>
      <c r="B341" s="41" t="s">
        <v>855</v>
      </c>
      <c r="C341" s="41" t="s">
        <v>863</v>
      </c>
      <c r="D341" s="40" t="s">
        <v>857</v>
      </c>
      <c r="E341" s="40" t="s">
        <v>86</v>
      </c>
      <c r="F341" s="40" t="s">
        <v>67</v>
      </c>
      <c r="G341" s="77" t="s">
        <v>86</v>
      </c>
      <c r="H341" s="40" t="s">
        <v>139</v>
      </c>
      <c r="I341" s="40" t="s">
        <v>140</v>
      </c>
      <c r="J341" s="42">
        <v>45078</v>
      </c>
      <c r="K341" s="42">
        <v>45096</v>
      </c>
      <c r="L341" s="42">
        <v>45098</v>
      </c>
      <c r="M341" s="42">
        <v>45099</v>
      </c>
      <c r="N341" s="42">
        <v>45099</v>
      </c>
      <c r="O341" s="40" t="s">
        <v>123</v>
      </c>
      <c r="P341" s="42" t="s">
        <v>122</v>
      </c>
      <c r="S341" s="49"/>
      <c r="T341" s="49"/>
      <c r="W341" s="49"/>
      <c r="X341" s="49"/>
      <c r="AA341" s="40" t="str">
        <f t="shared" si="5"/>
        <v/>
      </c>
    </row>
    <row r="342" spans="1:27" ht="15" customHeight="1" x14ac:dyDescent="0.25">
      <c r="A342" s="43" t="s">
        <v>864</v>
      </c>
      <c r="B342" s="41" t="s">
        <v>855</v>
      </c>
      <c r="C342" s="41" t="s">
        <v>865</v>
      </c>
      <c r="D342" s="40" t="s">
        <v>857</v>
      </c>
      <c r="E342" s="40" t="s">
        <v>86</v>
      </c>
      <c r="F342" s="40" t="s">
        <v>67</v>
      </c>
      <c r="G342" s="40" t="s">
        <v>86</v>
      </c>
      <c r="H342" s="40" t="s">
        <v>139</v>
      </c>
      <c r="I342" s="40" t="s">
        <v>140</v>
      </c>
      <c r="J342" s="42">
        <v>45078</v>
      </c>
      <c r="K342" s="42">
        <v>45096</v>
      </c>
      <c r="L342" s="42">
        <v>45098</v>
      </c>
      <c r="M342" s="42">
        <v>45099</v>
      </c>
      <c r="N342" s="42">
        <v>45099</v>
      </c>
      <c r="O342" s="40" t="s">
        <v>123</v>
      </c>
      <c r="P342" s="42" t="s">
        <v>122</v>
      </c>
      <c r="AA342" s="40" t="str">
        <f t="shared" si="5"/>
        <v/>
      </c>
    </row>
    <row r="343" spans="1:27" ht="15" customHeight="1" x14ac:dyDescent="0.25">
      <c r="A343" s="43" t="s">
        <v>866</v>
      </c>
      <c r="B343" s="41" t="s">
        <v>855</v>
      </c>
      <c r="C343" s="41" t="s">
        <v>867</v>
      </c>
      <c r="D343" s="40" t="s">
        <v>857</v>
      </c>
      <c r="E343" s="40" t="s">
        <v>86</v>
      </c>
      <c r="F343" s="40" t="s">
        <v>67</v>
      </c>
      <c r="G343" s="77" t="s">
        <v>86</v>
      </c>
      <c r="H343" s="40" t="s">
        <v>168</v>
      </c>
      <c r="I343" s="40" t="s">
        <v>140</v>
      </c>
      <c r="J343" s="42">
        <v>45078</v>
      </c>
      <c r="K343" s="42">
        <v>45096</v>
      </c>
      <c r="L343" s="42">
        <v>45098</v>
      </c>
      <c r="M343" s="42">
        <v>45099</v>
      </c>
      <c r="N343" s="42">
        <v>45099</v>
      </c>
      <c r="O343" s="40" t="s">
        <v>123</v>
      </c>
      <c r="P343" s="42" t="s">
        <v>122</v>
      </c>
      <c r="S343" s="49"/>
      <c r="T343" s="49"/>
      <c r="W343" s="49"/>
      <c r="X343" s="49"/>
      <c r="AA343" s="40" t="str">
        <f t="shared" si="5"/>
        <v/>
      </c>
    </row>
    <row r="344" spans="1:27" ht="15" customHeight="1" x14ac:dyDescent="0.25">
      <c r="A344" s="43" t="s">
        <v>868</v>
      </c>
      <c r="B344" s="41" t="s">
        <v>855</v>
      </c>
      <c r="C344" s="41" t="s">
        <v>869</v>
      </c>
      <c r="D344" s="40" t="s">
        <v>857</v>
      </c>
      <c r="E344" s="40" t="s">
        <v>86</v>
      </c>
      <c r="F344" s="40" t="s">
        <v>67</v>
      </c>
      <c r="G344" s="40" t="s">
        <v>86</v>
      </c>
      <c r="H344" s="40" t="s">
        <v>168</v>
      </c>
      <c r="I344" s="40" t="s">
        <v>140</v>
      </c>
      <c r="J344" s="42">
        <v>45078</v>
      </c>
      <c r="K344" s="42">
        <v>45096</v>
      </c>
      <c r="L344" s="42">
        <v>45098</v>
      </c>
      <c r="M344" s="42">
        <v>45099</v>
      </c>
      <c r="N344" s="42">
        <v>45099</v>
      </c>
      <c r="O344" s="40" t="s">
        <v>123</v>
      </c>
      <c r="P344" s="42" t="s">
        <v>122</v>
      </c>
      <c r="AA344" s="40" t="str">
        <f t="shared" si="5"/>
        <v/>
      </c>
    </row>
    <row r="345" spans="1:27" ht="15" customHeight="1" x14ac:dyDescent="0.25">
      <c r="A345" s="43" t="s">
        <v>870</v>
      </c>
      <c r="B345" s="41" t="s">
        <v>871</v>
      </c>
      <c r="C345" s="41" t="s">
        <v>856</v>
      </c>
      <c r="D345" s="40" t="s">
        <v>857</v>
      </c>
      <c r="E345" s="40" t="s">
        <v>89</v>
      </c>
      <c r="F345" s="40" t="s">
        <v>67</v>
      </c>
      <c r="G345" s="77" t="s">
        <v>86</v>
      </c>
      <c r="H345" s="40" t="s">
        <v>139</v>
      </c>
      <c r="I345" s="40" t="s">
        <v>140</v>
      </c>
      <c r="J345" s="42">
        <v>45078</v>
      </c>
      <c r="K345" s="42">
        <v>45096</v>
      </c>
      <c r="L345" s="42">
        <v>45098</v>
      </c>
      <c r="M345" s="42">
        <v>45085</v>
      </c>
      <c r="N345" s="42">
        <v>45089</v>
      </c>
      <c r="O345" s="40" t="s">
        <v>122</v>
      </c>
      <c r="P345" s="42" t="s">
        <v>122</v>
      </c>
      <c r="S345" s="49"/>
      <c r="T345" s="49"/>
      <c r="W345" s="49"/>
      <c r="X345" s="49"/>
      <c r="AA345" s="40" t="str">
        <f t="shared" si="5"/>
        <v/>
      </c>
    </row>
    <row r="346" spans="1:27" ht="15" customHeight="1" x14ac:dyDescent="0.25">
      <c r="A346" s="43" t="s">
        <v>872</v>
      </c>
      <c r="B346" s="41" t="s">
        <v>871</v>
      </c>
      <c r="C346" s="41" t="s">
        <v>859</v>
      </c>
      <c r="D346" s="40" t="s">
        <v>857</v>
      </c>
      <c r="E346" s="40" t="s">
        <v>89</v>
      </c>
      <c r="F346" s="40" t="s">
        <v>67</v>
      </c>
      <c r="G346" s="40" t="s">
        <v>86</v>
      </c>
      <c r="H346" s="40" t="s">
        <v>139</v>
      </c>
      <c r="I346" s="40" t="s">
        <v>140</v>
      </c>
      <c r="J346" s="42">
        <v>45078</v>
      </c>
      <c r="K346" s="42">
        <v>45096</v>
      </c>
      <c r="L346" s="42">
        <v>45098</v>
      </c>
      <c r="M346" s="42">
        <v>45085</v>
      </c>
      <c r="N346" s="42">
        <v>45089</v>
      </c>
      <c r="O346" s="40" t="s">
        <v>122</v>
      </c>
      <c r="P346" s="42" t="s">
        <v>122</v>
      </c>
      <c r="AA346" s="40" t="str">
        <f t="shared" si="5"/>
        <v/>
      </c>
    </row>
    <row r="347" spans="1:27" ht="15" customHeight="1" x14ac:dyDescent="0.25">
      <c r="A347" s="43" t="s">
        <v>873</v>
      </c>
      <c r="B347" s="41" t="s">
        <v>871</v>
      </c>
      <c r="C347" s="41" t="s">
        <v>861</v>
      </c>
      <c r="D347" s="40" t="s">
        <v>857</v>
      </c>
      <c r="E347" s="40" t="s">
        <v>89</v>
      </c>
      <c r="F347" s="40" t="s">
        <v>67</v>
      </c>
      <c r="G347" s="77" t="s">
        <v>86</v>
      </c>
      <c r="H347" s="40" t="s">
        <v>139</v>
      </c>
      <c r="I347" s="40" t="s">
        <v>140</v>
      </c>
      <c r="J347" s="42">
        <v>45078</v>
      </c>
      <c r="K347" s="42">
        <v>45096</v>
      </c>
      <c r="L347" s="42">
        <v>45098</v>
      </c>
      <c r="M347" s="42">
        <v>45085</v>
      </c>
      <c r="N347" s="42">
        <v>45089</v>
      </c>
      <c r="O347" s="40" t="s">
        <v>122</v>
      </c>
      <c r="P347" s="42" t="s">
        <v>122</v>
      </c>
      <c r="S347" s="49"/>
      <c r="T347" s="49"/>
      <c r="W347" s="49"/>
      <c r="X347" s="49"/>
      <c r="AA347" s="40" t="str">
        <f t="shared" si="5"/>
        <v/>
      </c>
    </row>
    <row r="348" spans="1:27" ht="15" customHeight="1" x14ac:dyDescent="0.25">
      <c r="A348" s="43" t="s">
        <v>874</v>
      </c>
      <c r="B348" s="41" t="s">
        <v>871</v>
      </c>
      <c r="C348" s="41" t="s">
        <v>863</v>
      </c>
      <c r="D348" s="40" t="s">
        <v>857</v>
      </c>
      <c r="E348" s="40" t="s">
        <v>89</v>
      </c>
      <c r="F348" s="40" t="s">
        <v>67</v>
      </c>
      <c r="G348" s="40" t="s">
        <v>86</v>
      </c>
      <c r="H348" s="40" t="s">
        <v>155</v>
      </c>
      <c r="I348" s="40" t="s">
        <v>140</v>
      </c>
      <c r="J348" s="42">
        <v>45078</v>
      </c>
      <c r="K348" s="42">
        <v>45096</v>
      </c>
      <c r="L348" s="42">
        <v>45098</v>
      </c>
      <c r="M348" s="42">
        <v>45085</v>
      </c>
      <c r="N348" s="42">
        <v>45100</v>
      </c>
      <c r="O348" s="40" t="s">
        <v>122</v>
      </c>
      <c r="P348" s="42" t="s">
        <v>122</v>
      </c>
      <c r="AA348" s="40" t="str">
        <f t="shared" si="5"/>
        <v/>
      </c>
    </row>
    <row r="349" spans="1:27" ht="15" customHeight="1" x14ac:dyDescent="0.25">
      <c r="A349" s="43" t="s">
        <v>875</v>
      </c>
      <c r="B349" s="41" t="s">
        <v>871</v>
      </c>
      <c r="C349" s="41" t="s">
        <v>867</v>
      </c>
      <c r="D349" s="40" t="s">
        <v>857</v>
      </c>
      <c r="E349" s="40" t="s">
        <v>89</v>
      </c>
      <c r="F349" s="40" t="s">
        <v>67</v>
      </c>
      <c r="G349" s="77" t="s">
        <v>86</v>
      </c>
      <c r="H349" s="40" t="s">
        <v>139</v>
      </c>
      <c r="I349" s="40" t="s">
        <v>140</v>
      </c>
      <c r="J349" s="42">
        <v>45078</v>
      </c>
      <c r="K349" s="42">
        <v>45096</v>
      </c>
      <c r="L349" s="42">
        <v>45098</v>
      </c>
      <c r="M349" s="42">
        <v>45085</v>
      </c>
      <c r="N349" s="42">
        <v>45089</v>
      </c>
      <c r="O349" s="40" t="s">
        <v>122</v>
      </c>
      <c r="P349" s="42" t="s">
        <v>122</v>
      </c>
      <c r="S349" s="49"/>
      <c r="T349" s="49"/>
      <c r="W349" s="49"/>
      <c r="X349" s="49"/>
      <c r="AA349" s="40" t="str">
        <f t="shared" si="5"/>
        <v/>
      </c>
    </row>
    <row r="350" spans="1:27" ht="15" customHeight="1" x14ac:dyDescent="0.25">
      <c r="A350" s="43" t="s">
        <v>876</v>
      </c>
      <c r="B350" s="41" t="s">
        <v>871</v>
      </c>
      <c r="C350" s="41" t="s">
        <v>865</v>
      </c>
      <c r="D350" s="40" t="s">
        <v>857</v>
      </c>
      <c r="E350" s="40" t="s">
        <v>89</v>
      </c>
      <c r="F350" s="40" t="s">
        <v>67</v>
      </c>
      <c r="G350" s="40" t="s">
        <v>86</v>
      </c>
      <c r="H350" s="40" t="s">
        <v>139</v>
      </c>
      <c r="I350" s="40" t="s">
        <v>140</v>
      </c>
      <c r="J350" s="42">
        <v>45078</v>
      </c>
      <c r="K350" s="42">
        <v>45096</v>
      </c>
      <c r="L350" s="42">
        <v>45098</v>
      </c>
      <c r="M350" s="42">
        <v>45085</v>
      </c>
      <c r="N350" s="42">
        <v>45089</v>
      </c>
      <c r="O350" s="40" t="s">
        <v>122</v>
      </c>
      <c r="P350" s="42" t="s">
        <v>122</v>
      </c>
      <c r="AA350" s="40" t="str">
        <f t="shared" si="5"/>
        <v/>
      </c>
    </row>
    <row r="351" spans="1:27" ht="15" customHeight="1" x14ac:dyDescent="0.25">
      <c r="A351" s="43" t="s">
        <v>877</v>
      </c>
      <c r="B351" s="41" t="s">
        <v>871</v>
      </c>
      <c r="C351" s="41" t="s">
        <v>869</v>
      </c>
      <c r="D351" s="40" t="s">
        <v>878</v>
      </c>
      <c r="E351" s="40" t="s">
        <v>89</v>
      </c>
      <c r="F351" s="40" t="s">
        <v>67</v>
      </c>
      <c r="G351" s="77" t="s">
        <v>86</v>
      </c>
      <c r="H351" s="40" t="s">
        <v>139</v>
      </c>
      <c r="I351" s="40" t="s">
        <v>140</v>
      </c>
      <c r="J351" s="42">
        <v>45078</v>
      </c>
      <c r="K351" s="42">
        <v>45096</v>
      </c>
      <c r="L351" s="42">
        <v>45098</v>
      </c>
      <c r="M351" s="42">
        <v>45085</v>
      </c>
      <c r="N351" s="42">
        <v>45089</v>
      </c>
      <c r="O351" s="40" t="s">
        <v>122</v>
      </c>
      <c r="P351" s="42" t="s">
        <v>122</v>
      </c>
      <c r="S351" s="49"/>
      <c r="T351" s="49"/>
      <c r="W351" s="49"/>
      <c r="X351" s="49"/>
      <c r="AA351" s="40" t="str">
        <f t="shared" si="5"/>
        <v/>
      </c>
    </row>
    <row r="352" spans="1:27" ht="15" customHeight="1" x14ac:dyDescent="0.25">
      <c r="A352" s="43" t="s">
        <v>879</v>
      </c>
      <c r="B352" s="41" t="s">
        <v>426</v>
      </c>
      <c r="C352" s="41" t="s">
        <v>880</v>
      </c>
      <c r="D352" s="40" t="s">
        <v>881</v>
      </c>
      <c r="E352" s="40" t="s">
        <v>86</v>
      </c>
      <c r="F352" s="40" t="s">
        <v>67</v>
      </c>
      <c r="G352" s="40" t="s">
        <v>89</v>
      </c>
      <c r="H352" s="40" t="s">
        <v>139</v>
      </c>
      <c r="I352" s="40" t="s">
        <v>161</v>
      </c>
      <c r="J352" s="42">
        <v>45082</v>
      </c>
      <c r="K352" s="42">
        <v>45096</v>
      </c>
      <c r="L352" s="42">
        <v>45098</v>
      </c>
      <c r="M352" s="42">
        <v>45092</v>
      </c>
      <c r="N352" s="42">
        <v>45100</v>
      </c>
      <c r="O352" s="40" t="s">
        <v>122</v>
      </c>
      <c r="P352" s="42" t="s">
        <v>122</v>
      </c>
      <c r="AA352" s="40" t="str">
        <f t="shared" si="5"/>
        <v/>
      </c>
    </row>
    <row r="353" spans="1:27" ht="15" customHeight="1" x14ac:dyDescent="0.25">
      <c r="A353" s="43" t="s">
        <v>879</v>
      </c>
      <c r="B353" s="41" t="s">
        <v>426</v>
      </c>
      <c r="C353" s="41" t="s">
        <v>880</v>
      </c>
      <c r="D353" s="40" t="s">
        <v>881</v>
      </c>
      <c r="E353" s="40" t="s">
        <v>86</v>
      </c>
      <c r="F353" s="40" t="s">
        <v>67</v>
      </c>
      <c r="G353" s="77" t="s">
        <v>89</v>
      </c>
      <c r="H353" s="40" t="s">
        <v>139</v>
      </c>
      <c r="I353" s="40" t="s">
        <v>188</v>
      </c>
      <c r="J353" s="42">
        <v>45082</v>
      </c>
      <c r="K353" s="42">
        <v>45096</v>
      </c>
      <c r="L353" s="42">
        <v>45098</v>
      </c>
      <c r="M353" s="42">
        <v>45097</v>
      </c>
      <c r="N353" s="42">
        <v>45100</v>
      </c>
      <c r="O353" s="40" t="s">
        <v>123</v>
      </c>
      <c r="P353" s="42" t="s">
        <v>122</v>
      </c>
      <c r="S353" s="49"/>
      <c r="T353" s="49"/>
      <c r="W353" s="49"/>
      <c r="X353" s="49"/>
      <c r="AA353" s="40" t="str">
        <f t="shared" si="5"/>
        <v/>
      </c>
    </row>
    <row r="354" spans="1:27" ht="15" customHeight="1" x14ac:dyDescent="0.25">
      <c r="A354" s="43" t="s">
        <v>882</v>
      </c>
      <c r="B354" s="41" t="s">
        <v>883</v>
      </c>
      <c r="C354" s="41" t="s">
        <v>884</v>
      </c>
      <c r="D354" s="40" t="s">
        <v>885</v>
      </c>
      <c r="E354" s="40" t="s">
        <v>69</v>
      </c>
      <c r="F354" s="40" t="s">
        <v>67</v>
      </c>
      <c r="G354" s="40" t="s">
        <v>89</v>
      </c>
      <c r="H354" s="40" t="s">
        <v>160</v>
      </c>
      <c r="I354" s="40" t="s">
        <v>140</v>
      </c>
      <c r="J354" s="42">
        <v>45078</v>
      </c>
      <c r="K354" s="42">
        <v>45095</v>
      </c>
      <c r="L354" s="42">
        <v>45097</v>
      </c>
      <c r="M354" s="42">
        <v>45082</v>
      </c>
      <c r="N354" s="42">
        <v>45099</v>
      </c>
      <c r="O354" s="40" t="s">
        <v>122</v>
      </c>
      <c r="P354" s="42" t="s">
        <v>122</v>
      </c>
      <c r="AA354" s="40" t="str">
        <f t="shared" si="5"/>
        <v/>
      </c>
    </row>
    <row r="355" spans="1:27" ht="15" customHeight="1" x14ac:dyDescent="0.25">
      <c r="A355" s="43" t="s">
        <v>886</v>
      </c>
      <c r="B355" s="41" t="s">
        <v>887</v>
      </c>
      <c r="C355" s="41" t="s">
        <v>888</v>
      </c>
      <c r="D355" s="40" t="s">
        <v>87</v>
      </c>
      <c r="E355" s="40" t="s">
        <v>66</v>
      </c>
      <c r="F355" s="40" t="s">
        <v>67</v>
      </c>
      <c r="G355" s="77" t="s">
        <v>68</v>
      </c>
      <c r="H355" s="40" t="s">
        <v>155</v>
      </c>
      <c r="I355" s="40" t="s">
        <v>140</v>
      </c>
      <c r="J355" s="42">
        <v>45091</v>
      </c>
      <c r="K355" s="42">
        <v>45099</v>
      </c>
      <c r="L355" s="42">
        <v>45103</v>
      </c>
      <c r="M355" s="42">
        <v>45104</v>
      </c>
      <c r="N355" s="42">
        <v>45105</v>
      </c>
      <c r="O355" s="40" t="s">
        <v>123</v>
      </c>
      <c r="P355" s="42" t="s">
        <v>122</v>
      </c>
      <c r="S355" s="49"/>
      <c r="T355" s="49"/>
      <c r="W355" s="49"/>
      <c r="X355" s="49"/>
      <c r="AA355" s="40" t="str">
        <f t="shared" si="5"/>
        <v/>
      </c>
    </row>
    <row r="356" spans="1:27" ht="15" customHeight="1" x14ac:dyDescent="0.25">
      <c r="A356" s="43" t="s">
        <v>889</v>
      </c>
      <c r="B356" s="41" t="s">
        <v>890</v>
      </c>
      <c r="C356" s="41" t="s">
        <v>891</v>
      </c>
      <c r="D356" s="40" t="s">
        <v>892</v>
      </c>
      <c r="E356" s="40" t="s">
        <v>66</v>
      </c>
      <c r="F356" s="40" t="s">
        <v>67</v>
      </c>
      <c r="G356" s="40" t="s">
        <v>68</v>
      </c>
      <c r="H356" s="40" t="s">
        <v>139</v>
      </c>
      <c r="I356" s="40" t="s">
        <v>161</v>
      </c>
      <c r="J356" s="42">
        <v>45092</v>
      </c>
      <c r="K356" s="42">
        <v>45096</v>
      </c>
      <c r="L356" s="42">
        <v>45098</v>
      </c>
      <c r="M356" s="42">
        <v>45096</v>
      </c>
      <c r="N356" s="42">
        <v>45098</v>
      </c>
      <c r="O356" s="40" t="s">
        <v>122</v>
      </c>
      <c r="P356" s="42" t="s">
        <v>122</v>
      </c>
      <c r="AA356" s="40" t="str">
        <f t="shared" si="5"/>
        <v/>
      </c>
    </row>
    <row r="357" spans="1:27" ht="15" customHeight="1" x14ac:dyDescent="0.25">
      <c r="A357" s="43" t="s">
        <v>893</v>
      </c>
      <c r="B357" s="41" t="s">
        <v>894</v>
      </c>
      <c r="C357" s="41" t="s">
        <v>895</v>
      </c>
      <c r="D357" s="40" t="s">
        <v>595</v>
      </c>
      <c r="E357" s="40" t="s">
        <v>71</v>
      </c>
      <c r="F357" s="40" t="s">
        <v>67</v>
      </c>
      <c r="G357" s="77" t="s">
        <v>68</v>
      </c>
      <c r="H357" s="40" t="s">
        <v>168</v>
      </c>
      <c r="I357" s="40" t="s">
        <v>539</v>
      </c>
      <c r="J357" s="42">
        <v>45100</v>
      </c>
      <c r="K357" s="42">
        <v>45128</v>
      </c>
      <c r="L357" s="42">
        <v>45132</v>
      </c>
      <c r="M357" s="42">
        <v>45106</v>
      </c>
      <c r="N357" s="42">
        <v>45106</v>
      </c>
      <c r="O357" s="40" t="s">
        <v>122</v>
      </c>
      <c r="P357" s="42" t="s">
        <v>122</v>
      </c>
      <c r="S357" s="49"/>
      <c r="T357" s="49"/>
      <c r="W357" s="49"/>
      <c r="X357" s="49"/>
      <c r="AA357" s="40" t="str">
        <f t="shared" si="5"/>
        <v/>
      </c>
    </row>
    <row r="358" spans="1:27" ht="15" customHeight="1" x14ac:dyDescent="0.25">
      <c r="A358" s="43" t="s">
        <v>893</v>
      </c>
      <c r="B358" s="41" t="s">
        <v>894</v>
      </c>
      <c r="C358" s="41" t="s">
        <v>895</v>
      </c>
      <c r="D358" s="40" t="s">
        <v>595</v>
      </c>
      <c r="E358" s="40" t="s">
        <v>71</v>
      </c>
      <c r="F358" s="40" t="s">
        <v>67</v>
      </c>
      <c r="G358" s="40" t="s">
        <v>68</v>
      </c>
      <c r="H358" s="40" t="s">
        <v>168</v>
      </c>
      <c r="I358" s="40" t="s">
        <v>539</v>
      </c>
      <c r="J358" s="42">
        <v>45100</v>
      </c>
      <c r="K358" s="42">
        <v>45128</v>
      </c>
      <c r="L358" s="42">
        <v>45132</v>
      </c>
      <c r="M358" s="42">
        <v>45106</v>
      </c>
      <c r="N358" s="42">
        <v>45106</v>
      </c>
      <c r="O358" s="40" t="s">
        <v>122</v>
      </c>
      <c r="P358" s="42" t="s">
        <v>122</v>
      </c>
      <c r="AA358" s="40" t="str">
        <f t="shared" si="5"/>
        <v/>
      </c>
    </row>
    <row r="359" spans="1:27" ht="15" customHeight="1" x14ac:dyDescent="0.25">
      <c r="A359" s="43" t="s">
        <v>896</v>
      </c>
      <c r="B359" s="41" t="s">
        <v>897</v>
      </c>
      <c r="C359" s="41" t="s">
        <v>898</v>
      </c>
      <c r="D359" s="40" t="s">
        <v>72</v>
      </c>
      <c r="E359" s="40" t="s">
        <v>86</v>
      </c>
      <c r="F359" s="40" t="s">
        <v>67</v>
      </c>
      <c r="G359" s="77" t="s">
        <v>68</v>
      </c>
      <c r="H359" s="40" t="s">
        <v>168</v>
      </c>
      <c r="I359" s="40" t="s">
        <v>140</v>
      </c>
      <c r="J359" s="42">
        <v>45091</v>
      </c>
      <c r="K359" s="42">
        <v>45096</v>
      </c>
      <c r="L359" s="42">
        <v>45098</v>
      </c>
      <c r="M359" s="42">
        <v>45097</v>
      </c>
      <c r="N359" s="42">
        <v>45098</v>
      </c>
      <c r="O359" s="40" t="s">
        <v>123</v>
      </c>
      <c r="P359" s="42" t="s">
        <v>122</v>
      </c>
      <c r="S359" s="49"/>
      <c r="T359" s="49"/>
      <c r="W359" s="49"/>
      <c r="X359" s="49"/>
      <c r="AA359" s="40" t="str">
        <f t="shared" si="5"/>
        <v/>
      </c>
    </row>
    <row r="360" spans="1:27" ht="15" customHeight="1" x14ac:dyDescent="0.25">
      <c r="A360" s="43" t="s">
        <v>899</v>
      </c>
      <c r="B360" s="41" t="s">
        <v>897</v>
      </c>
      <c r="C360" s="41" t="s">
        <v>900</v>
      </c>
      <c r="D360" s="40" t="s">
        <v>72</v>
      </c>
      <c r="E360" s="40" t="s">
        <v>86</v>
      </c>
      <c r="F360" s="40" t="s">
        <v>901</v>
      </c>
      <c r="G360" s="77" t="s">
        <v>68</v>
      </c>
      <c r="H360" s="40" t="s">
        <v>168</v>
      </c>
      <c r="I360" s="40" t="s">
        <v>140</v>
      </c>
      <c r="J360" s="42">
        <v>45091</v>
      </c>
      <c r="K360" s="42">
        <v>45096</v>
      </c>
      <c r="L360" s="42">
        <v>45098</v>
      </c>
      <c r="M360" s="42">
        <v>45097</v>
      </c>
      <c r="N360" s="42">
        <v>45098</v>
      </c>
      <c r="O360" s="40" t="s">
        <v>123</v>
      </c>
      <c r="P360" s="42" t="s">
        <v>122</v>
      </c>
      <c r="S360" s="49"/>
      <c r="T360" s="49"/>
      <c r="W360" s="49"/>
      <c r="X360" s="49"/>
      <c r="AA360" s="40" t="str">
        <f t="shared" si="5"/>
        <v/>
      </c>
    </row>
    <row r="361" spans="1:27" ht="15" customHeight="1" x14ac:dyDescent="0.25">
      <c r="A361" s="43" t="s">
        <v>902</v>
      </c>
      <c r="B361" s="41" t="s">
        <v>897</v>
      </c>
      <c r="C361" s="41" t="s">
        <v>903</v>
      </c>
      <c r="D361" s="40" t="s">
        <v>72</v>
      </c>
      <c r="E361" s="40" t="s">
        <v>86</v>
      </c>
      <c r="F361" s="40" t="s">
        <v>67</v>
      </c>
      <c r="G361" s="40" t="s">
        <v>68</v>
      </c>
      <c r="H361" s="40" t="s">
        <v>168</v>
      </c>
      <c r="I361" s="40" t="s">
        <v>140</v>
      </c>
      <c r="J361" s="42">
        <v>45091</v>
      </c>
      <c r="K361" s="42">
        <v>45096</v>
      </c>
      <c r="L361" s="42">
        <v>45098</v>
      </c>
      <c r="M361" s="42">
        <v>45097</v>
      </c>
      <c r="N361" s="42">
        <v>45098</v>
      </c>
      <c r="O361" s="40" t="s">
        <v>123</v>
      </c>
      <c r="P361" s="42" t="s">
        <v>122</v>
      </c>
      <c r="AA361" s="40" t="str">
        <f t="shared" si="5"/>
        <v/>
      </c>
    </row>
    <row r="362" spans="1:27" ht="15" customHeight="1" x14ac:dyDescent="0.25">
      <c r="A362" s="43" t="s">
        <v>904</v>
      </c>
      <c r="B362" s="41" t="s">
        <v>897</v>
      </c>
      <c r="C362" s="41" t="s">
        <v>905</v>
      </c>
      <c r="D362" s="40" t="s">
        <v>72</v>
      </c>
      <c r="E362" s="40" t="s">
        <v>86</v>
      </c>
      <c r="F362" s="40" t="s">
        <v>67</v>
      </c>
      <c r="G362" s="77" t="s">
        <v>68</v>
      </c>
      <c r="H362" s="40" t="s">
        <v>168</v>
      </c>
      <c r="I362" s="40" t="s">
        <v>140</v>
      </c>
      <c r="J362" s="42">
        <v>45091</v>
      </c>
      <c r="K362" s="42">
        <v>45096</v>
      </c>
      <c r="L362" s="42">
        <v>45098</v>
      </c>
      <c r="M362" s="42">
        <v>45097</v>
      </c>
      <c r="N362" s="42">
        <v>45098</v>
      </c>
      <c r="O362" s="40" t="s">
        <v>123</v>
      </c>
      <c r="P362" s="42" t="s">
        <v>122</v>
      </c>
      <c r="S362" s="49"/>
      <c r="T362" s="49"/>
      <c r="W362" s="49"/>
      <c r="X362" s="49"/>
      <c r="AA362" s="40" t="str">
        <f t="shared" si="5"/>
        <v/>
      </c>
    </row>
    <row r="363" spans="1:27" ht="15" customHeight="1" x14ac:dyDescent="0.25">
      <c r="A363" s="43" t="s">
        <v>906</v>
      </c>
      <c r="B363" s="41" t="s">
        <v>907</v>
      </c>
      <c r="C363" s="41" t="s">
        <v>908</v>
      </c>
      <c r="D363" s="40" t="s">
        <v>909</v>
      </c>
      <c r="E363" s="40" t="s">
        <v>70</v>
      </c>
      <c r="F363" s="40" t="s">
        <v>67</v>
      </c>
      <c r="G363" s="40" t="s">
        <v>89</v>
      </c>
      <c r="H363" s="40" t="s">
        <v>155</v>
      </c>
      <c r="I363" s="40" t="s">
        <v>140</v>
      </c>
      <c r="J363" s="42">
        <v>45086</v>
      </c>
      <c r="K363" s="42">
        <v>45098</v>
      </c>
      <c r="L363" s="42">
        <v>45100</v>
      </c>
      <c r="M363" s="42">
        <v>45098</v>
      </c>
      <c r="N363" s="42">
        <v>45100</v>
      </c>
      <c r="O363" s="40" t="s">
        <v>122</v>
      </c>
      <c r="P363" s="42" t="s">
        <v>122</v>
      </c>
      <c r="AA363" s="40" t="str">
        <f t="shared" si="5"/>
        <v/>
      </c>
    </row>
    <row r="364" spans="1:27" ht="15" customHeight="1" x14ac:dyDescent="0.25">
      <c r="A364" s="43" t="s">
        <v>910</v>
      </c>
      <c r="B364" s="41" t="s">
        <v>401</v>
      </c>
      <c r="C364" s="41" t="s">
        <v>911</v>
      </c>
      <c r="D364" s="40" t="s">
        <v>912</v>
      </c>
      <c r="E364" s="40" t="s">
        <v>71</v>
      </c>
      <c r="F364" s="40" t="s">
        <v>67</v>
      </c>
      <c r="G364" s="77" t="s">
        <v>68</v>
      </c>
      <c r="H364" s="40" t="s">
        <v>139</v>
      </c>
      <c r="I364" s="40" t="s">
        <v>176</v>
      </c>
      <c r="J364" s="42">
        <v>45103</v>
      </c>
      <c r="K364" s="42">
        <v>45105</v>
      </c>
      <c r="L364" s="42">
        <v>45107</v>
      </c>
      <c r="M364" s="42">
        <v>45104</v>
      </c>
      <c r="N364" s="42">
        <v>45107</v>
      </c>
      <c r="O364" s="40" t="s">
        <v>122</v>
      </c>
      <c r="P364" s="42" t="s">
        <v>122</v>
      </c>
      <c r="S364" s="49"/>
      <c r="T364" s="49"/>
      <c r="W364" s="49"/>
      <c r="X364" s="49"/>
      <c r="AA364" s="40" t="str">
        <f t="shared" si="5"/>
        <v/>
      </c>
    </row>
    <row r="365" spans="1:27" ht="15" customHeight="1" x14ac:dyDescent="0.25">
      <c r="A365" s="43" t="s">
        <v>913</v>
      </c>
      <c r="B365" s="41" t="s">
        <v>450</v>
      </c>
      <c r="C365" s="41" t="s">
        <v>451</v>
      </c>
      <c r="D365" s="40" t="s">
        <v>914</v>
      </c>
      <c r="E365" s="40" t="s">
        <v>70</v>
      </c>
      <c r="F365" s="40" t="s">
        <v>67</v>
      </c>
      <c r="G365" s="40" t="s">
        <v>70</v>
      </c>
      <c r="H365" s="40" t="s">
        <v>155</v>
      </c>
      <c r="I365" s="40" t="s">
        <v>140</v>
      </c>
      <c r="J365" s="42">
        <v>45100</v>
      </c>
      <c r="K365" s="42">
        <v>45106</v>
      </c>
      <c r="L365" s="42">
        <v>45107</v>
      </c>
      <c r="M365" s="42">
        <v>45104</v>
      </c>
      <c r="N365" s="42">
        <v>45105</v>
      </c>
      <c r="O365" s="40" t="s">
        <v>122</v>
      </c>
      <c r="P365" s="42" t="s">
        <v>122</v>
      </c>
      <c r="AA365" s="40" t="str">
        <f t="shared" si="5"/>
        <v/>
      </c>
    </row>
    <row r="366" spans="1:27" ht="15" customHeight="1" x14ac:dyDescent="0.25">
      <c r="A366" s="43" t="s">
        <v>191</v>
      </c>
      <c r="B366" s="41" t="s">
        <v>120</v>
      </c>
      <c r="C366" s="41">
        <v>45243</v>
      </c>
      <c r="G366" s="77"/>
      <c r="S366" s="49"/>
      <c r="T366" s="49"/>
      <c r="W366" s="49"/>
      <c r="X366" s="49"/>
      <c r="AA366" s="40" t="str">
        <f t="shared" si="5"/>
        <v/>
      </c>
    </row>
    <row r="367" spans="1:27" ht="15" customHeight="1" x14ac:dyDescent="0.25">
      <c r="AA367" s="40" t="str">
        <f t="shared" si="5"/>
        <v/>
      </c>
    </row>
    <row r="368" spans="1:27" ht="15" customHeight="1" x14ac:dyDescent="0.25">
      <c r="G368" s="77"/>
      <c r="S368" s="49"/>
      <c r="T368" s="49"/>
      <c r="W368" s="49"/>
      <c r="X368" s="49"/>
      <c r="AA368" s="40" t="str">
        <f t="shared" si="5"/>
        <v/>
      </c>
    </row>
    <row r="369" spans="7:27" ht="15" customHeight="1" x14ac:dyDescent="0.25">
      <c r="AA369" s="40" t="str">
        <f t="shared" si="5"/>
        <v/>
      </c>
    </row>
    <row r="370" spans="7:27" ht="15" customHeight="1" x14ac:dyDescent="0.25">
      <c r="G370" s="77"/>
      <c r="S370" s="49"/>
      <c r="T370" s="49"/>
      <c r="W370" s="49"/>
      <c r="X370" s="49"/>
      <c r="AA370" s="40" t="str">
        <f t="shared" si="5"/>
        <v/>
      </c>
    </row>
    <row r="371" spans="7:27" ht="15" customHeight="1" x14ac:dyDescent="0.25">
      <c r="AA371" s="40" t="str">
        <f t="shared" si="5"/>
        <v/>
      </c>
    </row>
    <row r="372" spans="7:27" ht="15" customHeight="1" x14ac:dyDescent="0.25">
      <c r="G372" s="77"/>
      <c r="S372" s="49"/>
      <c r="T372" s="49"/>
      <c r="W372" s="49"/>
      <c r="X372" s="49"/>
      <c r="AA372" s="40" t="str">
        <f t="shared" si="5"/>
        <v/>
      </c>
    </row>
    <row r="373" spans="7:27" ht="15" customHeight="1" x14ac:dyDescent="0.25">
      <c r="AA373" s="40" t="str">
        <f t="shared" si="5"/>
        <v/>
      </c>
    </row>
    <row r="374" spans="7:27" ht="15" customHeight="1" x14ac:dyDescent="0.25">
      <c r="G374" s="77"/>
      <c r="S374" s="49"/>
      <c r="T374" s="49"/>
      <c r="W374" s="49"/>
      <c r="X374" s="49"/>
      <c r="AA374" s="40" t="str">
        <f t="shared" si="5"/>
        <v/>
      </c>
    </row>
    <row r="375" spans="7:27" ht="15" customHeight="1" x14ac:dyDescent="0.25">
      <c r="AA375" s="40" t="str">
        <f t="shared" si="5"/>
        <v/>
      </c>
    </row>
    <row r="376" spans="7:27" ht="15" customHeight="1" x14ac:dyDescent="0.25">
      <c r="G376" s="77"/>
      <c r="S376" s="49"/>
      <c r="T376" s="49"/>
      <c r="W376" s="49"/>
      <c r="X376" s="49"/>
      <c r="AA376" s="40" t="str">
        <f t="shared" si="5"/>
        <v/>
      </c>
    </row>
    <row r="377" spans="7:27" ht="15" customHeight="1" x14ac:dyDescent="0.25">
      <c r="AA377" s="40" t="str">
        <f t="shared" si="5"/>
        <v/>
      </c>
    </row>
    <row r="378" spans="7:27" ht="15" customHeight="1" x14ac:dyDescent="0.25">
      <c r="G378" s="77"/>
      <c r="S378" s="49"/>
      <c r="T378" s="49"/>
      <c r="W378" s="49"/>
      <c r="X378" s="49"/>
      <c r="AA378" s="40" t="str">
        <f t="shared" si="5"/>
        <v/>
      </c>
    </row>
    <row r="379" spans="7:27" ht="15" customHeight="1" x14ac:dyDescent="0.25">
      <c r="AA379" s="40" t="str">
        <f t="shared" si="5"/>
        <v/>
      </c>
    </row>
    <row r="380" spans="7:27" ht="15" customHeight="1" x14ac:dyDescent="0.25">
      <c r="G380" s="77"/>
      <c r="S380" s="49"/>
      <c r="T380" s="49"/>
      <c r="W380" s="49"/>
      <c r="X380" s="49"/>
      <c r="AA380" s="40" t="str">
        <f t="shared" si="5"/>
        <v/>
      </c>
    </row>
    <row r="381" spans="7:27" ht="15" customHeight="1" x14ac:dyDescent="0.25">
      <c r="AA381" s="40" t="str">
        <f t="shared" si="5"/>
        <v/>
      </c>
    </row>
    <row r="382" spans="7:27" ht="15" customHeight="1" x14ac:dyDescent="0.25">
      <c r="G382" s="77"/>
      <c r="S382" s="49"/>
      <c r="T382" s="49"/>
      <c r="W382" s="49"/>
      <c r="X382" s="49"/>
      <c r="AA382" s="40" t="str">
        <f t="shared" si="5"/>
        <v/>
      </c>
    </row>
    <row r="383" spans="7:27" ht="15" customHeight="1" x14ac:dyDescent="0.25">
      <c r="AA383" s="40" t="str">
        <f t="shared" si="5"/>
        <v/>
      </c>
    </row>
    <row r="384" spans="7:27" ht="15" customHeight="1" x14ac:dyDescent="0.25">
      <c r="G384" s="77"/>
      <c r="S384" s="49"/>
      <c r="T384" s="49"/>
      <c r="W384" s="49"/>
      <c r="X384" s="49"/>
      <c r="AA384" s="40" t="str">
        <f t="shared" si="5"/>
        <v/>
      </c>
    </row>
    <row r="385" spans="7:27" ht="15" customHeight="1" x14ac:dyDescent="0.25">
      <c r="AA385" s="40" t="str">
        <f t="shared" si="5"/>
        <v/>
      </c>
    </row>
    <row r="386" spans="7:27" ht="15" customHeight="1" x14ac:dyDescent="0.25">
      <c r="G386" s="77"/>
      <c r="S386" s="49"/>
      <c r="T386" s="49"/>
      <c r="W386" s="49"/>
      <c r="X386" s="49"/>
      <c r="AA386" s="40" t="str">
        <f t="shared" si="5"/>
        <v/>
      </c>
    </row>
    <row r="387" spans="7:27" ht="15" customHeight="1" x14ac:dyDescent="0.25">
      <c r="AA387" s="40" t="str">
        <f t="shared" si="5"/>
        <v/>
      </c>
    </row>
    <row r="388" spans="7:27" ht="15" customHeight="1" x14ac:dyDescent="0.25">
      <c r="G388" s="77"/>
      <c r="S388" s="49"/>
      <c r="T388" s="49"/>
      <c r="W388" s="49"/>
      <c r="X388" s="49"/>
      <c r="AA388" s="40" t="str">
        <f t="shared" si="5"/>
        <v/>
      </c>
    </row>
    <row r="389" spans="7:27" ht="15" customHeight="1" x14ac:dyDescent="0.25">
      <c r="AA389" s="40" t="str">
        <f t="shared" si="5"/>
        <v/>
      </c>
    </row>
    <row r="390" spans="7:27" ht="15" customHeight="1" x14ac:dyDescent="0.25">
      <c r="G390" s="77"/>
      <c r="S390" s="49"/>
      <c r="T390" s="49"/>
      <c r="W390" s="49"/>
      <c r="X390" s="49"/>
      <c r="AA390" s="40" t="str">
        <f t="shared" si="5"/>
        <v/>
      </c>
    </row>
    <row r="391" spans="7:27" ht="15" customHeight="1" x14ac:dyDescent="0.25">
      <c r="AA391" s="40" t="str">
        <f t="shared" si="5"/>
        <v/>
      </c>
    </row>
    <row r="392" spans="7:27" ht="15" customHeight="1" x14ac:dyDescent="0.25">
      <c r="G392" s="77"/>
      <c r="S392" s="49"/>
      <c r="T392" s="49"/>
      <c r="W392" s="49"/>
      <c r="X392" s="49"/>
      <c r="AA392" s="40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40" t="str">
        <f t="shared" si="6"/>
        <v/>
      </c>
    </row>
    <row r="394" spans="7:27" ht="15" customHeight="1" x14ac:dyDescent="0.25">
      <c r="G394" s="77"/>
      <c r="S394" s="49"/>
      <c r="T394" s="49"/>
      <c r="W394" s="49"/>
      <c r="X394" s="49"/>
      <c r="AA394" s="40" t="str">
        <f t="shared" si="6"/>
        <v/>
      </c>
    </row>
    <row r="395" spans="7:27" ht="15" customHeight="1" x14ac:dyDescent="0.25">
      <c r="AA395" s="40" t="str">
        <f t="shared" si="6"/>
        <v/>
      </c>
    </row>
    <row r="396" spans="7:27" ht="15" customHeight="1" x14ac:dyDescent="0.25">
      <c r="G396" s="77"/>
      <c r="S396" s="49"/>
      <c r="T396" s="49"/>
      <c r="W396" s="49"/>
      <c r="X396" s="49"/>
      <c r="AA396" s="40" t="str">
        <f t="shared" si="6"/>
        <v/>
      </c>
    </row>
    <row r="397" spans="7:27" ht="15" customHeight="1" x14ac:dyDescent="0.25">
      <c r="AA397" s="40" t="str">
        <f t="shared" si="6"/>
        <v/>
      </c>
    </row>
    <row r="398" spans="7:27" ht="15" customHeight="1" x14ac:dyDescent="0.25">
      <c r="G398" s="77"/>
      <c r="S398" s="49"/>
      <c r="T398" s="49"/>
      <c r="W398" s="49"/>
      <c r="X398" s="49"/>
      <c r="AA398" s="40" t="str">
        <f t="shared" si="6"/>
        <v/>
      </c>
    </row>
    <row r="399" spans="7:27" ht="15" customHeight="1" x14ac:dyDescent="0.25">
      <c r="AA399" s="40" t="str">
        <f t="shared" si="6"/>
        <v/>
      </c>
    </row>
    <row r="400" spans="7:27" ht="15" customHeight="1" x14ac:dyDescent="0.25">
      <c r="G400" s="77"/>
      <c r="S400" s="49"/>
      <c r="T400" s="49"/>
      <c r="W400" s="49"/>
      <c r="X400" s="49"/>
      <c r="AA400" s="40" t="str">
        <f t="shared" si="6"/>
        <v/>
      </c>
    </row>
    <row r="401" spans="7:27" ht="15" customHeight="1" x14ac:dyDescent="0.25">
      <c r="AA401" s="40" t="str">
        <f t="shared" si="6"/>
        <v/>
      </c>
    </row>
    <row r="402" spans="7:27" ht="15" customHeight="1" x14ac:dyDescent="0.25">
      <c r="G402" s="77"/>
      <c r="S402" s="49"/>
      <c r="T402" s="49"/>
      <c r="W402" s="49"/>
      <c r="X402" s="49"/>
      <c r="AA402" s="40" t="str">
        <f t="shared" si="6"/>
        <v/>
      </c>
    </row>
    <row r="403" spans="7:27" ht="15" customHeight="1" x14ac:dyDescent="0.25">
      <c r="AA403" s="40" t="str">
        <f t="shared" si="6"/>
        <v/>
      </c>
    </row>
    <row r="404" spans="7:27" ht="15" customHeight="1" x14ac:dyDescent="0.25">
      <c r="G404" s="77"/>
      <c r="S404" s="49"/>
      <c r="T404" s="49"/>
      <c r="W404" s="49"/>
      <c r="X404" s="49"/>
      <c r="AA404" s="40" t="str">
        <f t="shared" si="6"/>
        <v/>
      </c>
    </row>
    <row r="405" spans="7:27" ht="15" customHeight="1" x14ac:dyDescent="0.25">
      <c r="AA405" s="40" t="str">
        <f t="shared" si="6"/>
        <v/>
      </c>
    </row>
    <row r="406" spans="7:27" ht="15" customHeight="1" x14ac:dyDescent="0.25">
      <c r="G406" s="77"/>
      <c r="S406" s="49"/>
      <c r="T406" s="49"/>
      <c r="W406" s="49"/>
      <c r="X406" s="49"/>
      <c r="AA406" s="40" t="str">
        <f t="shared" si="6"/>
        <v/>
      </c>
    </row>
    <row r="407" spans="7:27" ht="15" customHeight="1" x14ac:dyDescent="0.25">
      <c r="AA407" s="40" t="str">
        <f t="shared" si="6"/>
        <v/>
      </c>
    </row>
    <row r="408" spans="7:27" ht="15" customHeight="1" x14ac:dyDescent="0.25">
      <c r="G408" s="77"/>
      <c r="S408" s="49"/>
      <c r="T408" s="49"/>
      <c r="W408" s="49"/>
      <c r="X408" s="49"/>
      <c r="AA408" s="40" t="str">
        <f t="shared" si="6"/>
        <v/>
      </c>
    </row>
    <row r="409" spans="7:27" ht="15" customHeight="1" x14ac:dyDescent="0.25">
      <c r="AA409" s="40" t="str">
        <f t="shared" si="6"/>
        <v/>
      </c>
    </row>
    <row r="410" spans="7:27" ht="15" customHeight="1" x14ac:dyDescent="0.25">
      <c r="G410" s="77"/>
      <c r="S410" s="49"/>
      <c r="T410" s="49"/>
      <c r="W410" s="49"/>
      <c r="X410" s="49"/>
      <c r="AA410" s="40" t="str">
        <f t="shared" si="6"/>
        <v/>
      </c>
    </row>
    <row r="411" spans="7:27" ht="15" customHeight="1" x14ac:dyDescent="0.25">
      <c r="AA411" s="40" t="str">
        <f t="shared" si="6"/>
        <v/>
      </c>
    </row>
    <row r="412" spans="7:27" ht="15" customHeight="1" x14ac:dyDescent="0.25">
      <c r="G412" s="77"/>
      <c r="S412" s="49"/>
      <c r="T412" s="49"/>
      <c r="W412" s="49"/>
      <c r="X412" s="49"/>
      <c r="AA412" s="40" t="str">
        <f t="shared" si="6"/>
        <v/>
      </c>
    </row>
    <row r="413" spans="7:27" ht="15" customHeight="1" x14ac:dyDescent="0.25">
      <c r="AA413" s="40" t="str">
        <f t="shared" si="6"/>
        <v/>
      </c>
    </row>
    <row r="414" spans="7:27" ht="15" customHeight="1" x14ac:dyDescent="0.25">
      <c r="G414" s="77"/>
      <c r="S414" s="49"/>
      <c r="T414" s="49"/>
      <c r="W414" s="49"/>
      <c r="X414" s="49"/>
      <c r="AA414" s="40" t="str">
        <f t="shared" si="6"/>
        <v/>
      </c>
    </row>
    <row r="415" spans="7:27" ht="15" customHeight="1" x14ac:dyDescent="0.25">
      <c r="AA415" s="40" t="str">
        <f t="shared" si="6"/>
        <v/>
      </c>
    </row>
    <row r="416" spans="7:27" ht="15" customHeight="1" x14ac:dyDescent="0.25">
      <c r="G416" s="77"/>
      <c r="S416" s="49"/>
      <c r="T416" s="49"/>
      <c r="W416" s="49"/>
      <c r="X416" s="49"/>
      <c r="AA416" s="40" t="str">
        <f t="shared" si="6"/>
        <v/>
      </c>
    </row>
    <row r="417" spans="7:27" ht="15" customHeight="1" x14ac:dyDescent="0.25">
      <c r="AA417" s="40" t="str">
        <f t="shared" si="6"/>
        <v/>
      </c>
    </row>
    <row r="418" spans="7:27" ht="15" customHeight="1" x14ac:dyDescent="0.25">
      <c r="G418" s="77"/>
      <c r="S418" s="49"/>
      <c r="T418" s="49"/>
      <c r="W418" s="49"/>
      <c r="X418" s="49"/>
      <c r="AA418" s="40" t="str">
        <f t="shared" si="6"/>
        <v/>
      </c>
    </row>
    <row r="419" spans="7:27" ht="15" customHeight="1" x14ac:dyDescent="0.25">
      <c r="AA419" s="40" t="str">
        <f t="shared" si="6"/>
        <v/>
      </c>
    </row>
    <row r="420" spans="7:27" ht="15" customHeight="1" x14ac:dyDescent="0.25">
      <c r="G420" s="77"/>
      <c r="S420" s="49"/>
      <c r="T420" s="49"/>
      <c r="W420" s="49"/>
      <c r="X420" s="49"/>
      <c r="AA420" s="40" t="str">
        <f t="shared" si="6"/>
        <v/>
      </c>
    </row>
    <row r="421" spans="7:27" ht="15" customHeight="1" x14ac:dyDescent="0.25">
      <c r="AA421" s="40" t="str">
        <f t="shared" si="6"/>
        <v/>
      </c>
    </row>
    <row r="422" spans="7:27" ht="15" customHeight="1" x14ac:dyDescent="0.25">
      <c r="G422" s="77"/>
      <c r="S422" s="49"/>
      <c r="T422" s="49"/>
      <c r="W422" s="49"/>
      <c r="X422" s="49"/>
      <c r="AA422" s="40" t="str">
        <f t="shared" si="6"/>
        <v/>
      </c>
    </row>
    <row r="423" spans="7:27" ht="15" customHeight="1" x14ac:dyDescent="0.25">
      <c r="AA423" s="40" t="str">
        <f t="shared" si="6"/>
        <v/>
      </c>
    </row>
    <row r="424" spans="7:27" ht="15" customHeight="1" x14ac:dyDescent="0.25">
      <c r="S424" s="49"/>
      <c r="T424" s="49"/>
      <c r="W424" s="49"/>
      <c r="X424" s="49"/>
      <c r="AA424" s="40" t="str">
        <f t="shared" si="6"/>
        <v/>
      </c>
    </row>
    <row r="425" spans="7:27" ht="15" customHeight="1" x14ac:dyDescent="0.25">
      <c r="AA425" s="40" t="str">
        <f t="shared" si="6"/>
        <v/>
      </c>
    </row>
    <row r="426" spans="7:27" ht="15" customHeight="1" x14ac:dyDescent="0.25">
      <c r="G426" s="77"/>
      <c r="S426" s="49"/>
      <c r="T426" s="49"/>
      <c r="W426" s="49"/>
      <c r="X426" s="49"/>
      <c r="AA426" s="40" t="str">
        <f t="shared" si="6"/>
        <v/>
      </c>
    </row>
    <row r="427" spans="7:27" ht="15" customHeight="1" x14ac:dyDescent="0.25">
      <c r="AA427" s="40" t="str">
        <f t="shared" si="6"/>
        <v/>
      </c>
    </row>
    <row r="428" spans="7:27" ht="15" customHeight="1" x14ac:dyDescent="0.25">
      <c r="G428" s="77"/>
      <c r="S428" s="49"/>
      <c r="T428" s="49"/>
      <c r="W428" s="49"/>
      <c r="X428" s="49"/>
      <c r="AA428" s="40" t="str">
        <f t="shared" si="6"/>
        <v/>
      </c>
    </row>
    <row r="429" spans="7:27" ht="15" customHeight="1" x14ac:dyDescent="0.25">
      <c r="AA429" s="40" t="str">
        <f t="shared" si="6"/>
        <v/>
      </c>
    </row>
    <row r="430" spans="7:27" ht="15" customHeight="1" x14ac:dyDescent="0.25">
      <c r="G430" s="77"/>
      <c r="S430" s="49"/>
      <c r="T430" s="49"/>
      <c r="W430" s="49"/>
      <c r="X430" s="49"/>
      <c r="AA430" s="40" t="str">
        <f t="shared" si="6"/>
        <v/>
      </c>
    </row>
    <row r="431" spans="7:27" ht="15" customHeight="1" x14ac:dyDescent="0.25">
      <c r="AA431" s="40" t="str">
        <f t="shared" si="6"/>
        <v/>
      </c>
    </row>
    <row r="432" spans="7:27" ht="15" customHeight="1" x14ac:dyDescent="0.25">
      <c r="G432" s="77"/>
      <c r="S432" s="49"/>
      <c r="T432" s="49"/>
      <c r="W432" s="49"/>
      <c r="X432" s="49"/>
      <c r="AA432" s="40" t="str">
        <f t="shared" si="6"/>
        <v/>
      </c>
    </row>
    <row r="433" spans="7:27" ht="15" customHeight="1" x14ac:dyDescent="0.25">
      <c r="G433" s="77"/>
      <c r="S433" s="49"/>
      <c r="T433" s="49"/>
      <c r="W433" s="49"/>
      <c r="X433" s="49"/>
      <c r="AA433" s="40" t="str">
        <f t="shared" si="6"/>
        <v/>
      </c>
    </row>
    <row r="434" spans="7:27" ht="15" customHeight="1" x14ac:dyDescent="0.25">
      <c r="AA434" s="40" t="str">
        <f t="shared" si="6"/>
        <v/>
      </c>
    </row>
    <row r="435" spans="7:27" ht="15" customHeight="1" x14ac:dyDescent="0.25">
      <c r="G435" s="77"/>
      <c r="S435" s="49"/>
      <c r="T435" s="49"/>
      <c r="W435" s="49"/>
      <c r="X435" s="49"/>
      <c r="AA435" s="40" t="str">
        <f t="shared" si="6"/>
        <v/>
      </c>
    </row>
    <row r="436" spans="7:27" ht="15" customHeight="1" x14ac:dyDescent="0.25">
      <c r="AA436" s="40" t="str">
        <f t="shared" si="6"/>
        <v/>
      </c>
    </row>
    <row r="437" spans="7:27" ht="15" customHeight="1" x14ac:dyDescent="0.25">
      <c r="G437" s="77"/>
      <c r="S437" s="49"/>
      <c r="T437" s="49"/>
      <c r="W437" s="49"/>
      <c r="X437" s="49"/>
      <c r="AA437" s="40" t="str">
        <f t="shared" si="6"/>
        <v/>
      </c>
    </row>
    <row r="438" spans="7:27" ht="15" customHeight="1" x14ac:dyDescent="0.25">
      <c r="AA438" s="40" t="str">
        <f t="shared" si="6"/>
        <v/>
      </c>
    </row>
    <row r="439" spans="7:27" ht="15" customHeight="1" x14ac:dyDescent="0.25">
      <c r="G439" s="77"/>
      <c r="S439" s="49"/>
      <c r="T439" s="49"/>
      <c r="W439" s="49"/>
      <c r="X439" s="49"/>
      <c r="AA439" s="40" t="str">
        <f t="shared" si="6"/>
        <v/>
      </c>
    </row>
    <row r="440" spans="7:27" ht="15" customHeight="1" x14ac:dyDescent="0.25">
      <c r="AA440" s="40" t="str">
        <f t="shared" si="6"/>
        <v/>
      </c>
    </row>
    <row r="441" spans="7:27" ht="15" customHeight="1" x14ac:dyDescent="0.25">
      <c r="S441" s="49"/>
      <c r="T441" s="49"/>
      <c r="W441" s="49"/>
      <c r="X441" s="49"/>
      <c r="AA441" s="40" t="str">
        <f t="shared" si="6"/>
        <v/>
      </c>
    </row>
    <row r="442" spans="7:27" ht="15" customHeight="1" x14ac:dyDescent="0.25">
      <c r="AA442" s="40" t="str">
        <f t="shared" si="6"/>
        <v/>
      </c>
    </row>
    <row r="443" spans="7:27" ht="15" customHeight="1" x14ac:dyDescent="0.25">
      <c r="G443" s="77"/>
      <c r="S443" s="49"/>
      <c r="T443" s="49"/>
      <c r="W443" s="49"/>
      <c r="X443" s="49"/>
      <c r="AA443" s="40" t="str">
        <f t="shared" si="6"/>
        <v/>
      </c>
    </row>
    <row r="444" spans="7:27" ht="15" customHeight="1" x14ac:dyDescent="0.25">
      <c r="AA444" s="40" t="str">
        <f t="shared" si="6"/>
        <v/>
      </c>
    </row>
    <row r="445" spans="7:27" ht="15" customHeight="1" x14ac:dyDescent="0.25">
      <c r="G445" s="77"/>
      <c r="S445" s="49"/>
      <c r="T445" s="49"/>
      <c r="W445" s="49"/>
      <c r="X445" s="49"/>
      <c r="AA445" s="40" t="str">
        <f t="shared" si="6"/>
        <v/>
      </c>
    </row>
    <row r="446" spans="7:27" ht="15" customHeight="1" x14ac:dyDescent="0.25">
      <c r="AA446" s="40" t="str">
        <f t="shared" si="6"/>
        <v/>
      </c>
    </row>
    <row r="447" spans="7:27" ht="15" customHeight="1" x14ac:dyDescent="0.25">
      <c r="G447" s="77"/>
      <c r="S447" s="49"/>
      <c r="T447" s="49"/>
      <c r="W447" s="49"/>
      <c r="X447" s="49"/>
      <c r="AA447" s="40" t="str">
        <f t="shared" si="6"/>
        <v/>
      </c>
    </row>
    <row r="448" spans="7:27" ht="15" customHeight="1" x14ac:dyDescent="0.25">
      <c r="AA448" s="40" t="str">
        <f t="shared" si="6"/>
        <v/>
      </c>
    </row>
    <row r="449" spans="7:27" ht="15" customHeight="1" x14ac:dyDescent="0.25">
      <c r="G449" s="77"/>
      <c r="S449" s="49"/>
      <c r="T449" s="49"/>
      <c r="W449" s="49"/>
      <c r="X449" s="49"/>
      <c r="AA449" s="40" t="str">
        <f t="shared" si="6"/>
        <v/>
      </c>
    </row>
    <row r="450" spans="7:27" ht="15" customHeight="1" x14ac:dyDescent="0.25">
      <c r="AA450" s="40" t="str">
        <f t="shared" si="6"/>
        <v/>
      </c>
    </row>
    <row r="451" spans="7:27" ht="15" customHeight="1" x14ac:dyDescent="0.25">
      <c r="G451" s="77"/>
      <c r="S451" s="49"/>
      <c r="T451" s="49"/>
      <c r="W451" s="49"/>
      <c r="X451" s="49"/>
      <c r="AA451" s="40" t="str">
        <f t="shared" si="6"/>
        <v/>
      </c>
    </row>
    <row r="452" spans="7:27" ht="15" customHeight="1" x14ac:dyDescent="0.25">
      <c r="AA452" s="40" t="str">
        <f t="shared" si="6"/>
        <v/>
      </c>
    </row>
    <row r="453" spans="7:27" ht="15" customHeight="1" x14ac:dyDescent="0.25">
      <c r="G453" s="77"/>
      <c r="S453" s="49"/>
      <c r="T453" s="49"/>
      <c r="W453" s="49"/>
      <c r="X453" s="49"/>
      <c r="AA453" s="40" t="str">
        <f t="shared" si="6"/>
        <v/>
      </c>
    </row>
    <row r="454" spans="7:27" ht="15" customHeight="1" x14ac:dyDescent="0.25">
      <c r="AA454" s="40" t="str">
        <f t="shared" si="6"/>
        <v/>
      </c>
    </row>
    <row r="455" spans="7:27" ht="15" customHeight="1" x14ac:dyDescent="0.25">
      <c r="G455" s="77"/>
      <c r="S455" s="49"/>
      <c r="T455" s="49"/>
      <c r="W455" s="49"/>
      <c r="X455" s="49"/>
      <c r="AA455" s="40" t="str">
        <f t="shared" si="6"/>
        <v/>
      </c>
    </row>
    <row r="456" spans="7:27" ht="15" customHeight="1" x14ac:dyDescent="0.25">
      <c r="AA456" s="40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77"/>
      <c r="S457" s="49"/>
      <c r="T457" s="49"/>
      <c r="W457" s="49"/>
      <c r="X457" s="49"/>
      <c r="AA457" s="40" t="str">
        <f t="shared" si="7"/>
        <v/>
      </c>
    </row>
    <row r="458" spans="7:27" ht="15" customHeight="1" x14ac:dyDescent="0.25">
      <c r="AA458" s="40" t="str">
        <f t="shared" si="7"/>
        <v/>
      </c>
    </row>
    <row r="459" spans="7:27" ht="15" customHeight="1" x14ac:dyDescent="0.25">
      <c r="G459" s="77"/>
      <c r="S459" s="49"/>
      <c r="T459" s="49"/>
      <c r="W459" s="49"/>
      <c r="X459" s="49"/>
      <c r="AA459" s="40" t="str">
        <f t="shared" si="7"/>
        <v/>
      </c>
    </row>
    <row r="460" spans="7:27" ht="15" customHeight="1" x14ac:dyDescent="0.25">
      <c r="AA460" s="40" t="str">
        <f t="shared" si="7"/>
        <v/>
      </c>
    </row>
    <row r="461" spans="7:27" ht="15" customHeight="1" x14ac:dyDescent="0.25">
      <c r="G461" s="77"/>
      <c r="S461" s="49"/>
      <c r="T461" s="49"/>
      <c r="W461" s="49"/>
      <c r="X461" s="49"/>
      <c r="AA461" s="40" t="str">
        <f t="shared" si="7"/>
        <v/>
      </c>
    </row>
    <row r="462" spans="7:27" ht="15" customHeight="1" x14ac:dyDescent="0.25">
      <c r="AA462" s="40" t="str">
        <f t="shared" si="7"/>
        <v/>
      </c>
    </row>
    <row r="463" spans="7:27" ht="15" customHeight="1" x14ac:dyDescent="0.25">
      <c r="G463" s="77"/>
      <c r="S463" s="49"/>
      <c r="T463" s="49"/>
      <c r="W463" s="49"/>
      <c r="X463" s="49"/>
      <c r="AA463" s="40" t="str">
        <f t="shared" si="7"/>
        <v/>
      </c>
    </row>
    <row r="464" spans="7:27" ht="15" customHeight="1" x14ac:dyDescent="0.25">
      <c r="AA464" s="40" t="str">
        <f t="shared" si="7"/>
        <v/>
      </c>
    </row>
    <row r="465" spans="7:27" ht="15" customHeight="1" x14ac:dyDescent="0.25">
      <c r="G465" s="77"/>
      <c r="S465" s="49"/>
      <c r="T465" s="49"/>
      <c r="W465" s="49"/>
      <c r="X465" s="49"/>
      <c r="AA465" s="40" t="str">
        <f t="shared" si="7"/>
        <v/>
      </c>
    </row>
    <row r="466" spans="7:27" ht="15" customHeight="1" x14ac:dyDescent="0.25">
      <c r="AA466" s="40" t="str">
        <f t="shared" si="7"/>
        <v/>
      </c>
    </row>
    <row r="467" spans="7:27" ht="15" customHeight="1" x14ac:dyDescent="0.25">
      <c r="G467" s="77"/>
      <c r="S467" s="49"/>
      <c r="T467" s="49"/>
      <c r="W467" s="49"/>
      <c r="X467" s="49"/>
      <c r="AA467" s="40" t="str">
        <f t="shared" si="7"/>
        <v/>
      </c>
    </row>
    <row r="468" spans="7:27" ht="15" customHeight="1" x14ac:dyDescent="0.25">
      <c r="AA468" s="40" t="str">
        <f t="shared" si="7"/>
        <v/>
      </c>
    </row>
    <row r="469" spans="7:27" ht="15" customHeight="1" x14ac:dyDescent="0.25">
      <c r="G469" s="77"/>
      <c r="S469" s="49"/>
      <c r="T469" s="49"/>
      <c r="W469" s="49"/>
      <c r="X469" s="49"/>
      <c r="AA469" s="40" t="str">
        <f t="shared" si="7"/>
        <v/>
      </c>
    </row>
    <row r="470" spans="7:27" ht="15" customHeight="1" x14ac:dyDescent="0.25">
      <c r="AA470" s="40" t="str">
        <f t="shared" si="7"/>
        <v/>
      </c>
    </row>
    <row r="471" spans="7:27" ht="15" customHeight="1" x14ac:dyDescent="0.25">
      <c r="G471" s="77"/>
      <c r="S471" s="49"/>
      <c r="T471" s="49"/>
      <c r="W471" s="49"/>
      <c r="X471" s="49"/>
      <c r="AA471" s="40" t="str">
        <f t="shared" si="7"/>
        <v/>
      </c>
    </row>
    <row r="472" spans="7:27" ht="15" customHeight="1" x14ac:dyDescent="0.25">
      <c r="AA472" s="40" t="str">
        <f t="shared" si="7"/>
        <v/>
      </c>
    </row>
    <row r="473" spans="7:27" ht="15" customHeight="1" x14ac:dyDescent="0.25">
      <c r="G473" s="77"/>
      <c r="S473" s="49"/>
      <c r="T473" s="49"/>
      <c r="W473" s="49"/>
      <c r="X473" s="49"/>
      <c r="AA473" s="40" t="str">
        <f t="shared" si="7"/>
        <v/>
      </c>
    </row>
    <row r="474" spans="7:27" ht="15" customHeight="1" x14ac:dyDescent="0.25">
      <c r="AA474" s="40" t="str">
        <f t="shared" si="7"/>
        <v/>
      </c>
    </row>
    <row r="475" spans="7:27" ht="15" customHeight="1" x14ac:dyDescent="0.25">
      <c r="G475" s="77"/>
      <c r="S475" s="49"/>
      <c r="T475" s="49"/>
      <c r="W475" s="49"/>
      <c r="X475" s="49"/>
      <c r="AA475" s="40" t="str">
        <f t="shared" si="7"/>
        <v/>
      </c>
    </row>
    <row r="476" spans="7:27" ht="15" customHeight="1" x14ac:dyDescent="0.25">
      <c r="AA476" s="40" t="str">
        <f t="shared" si="7"/>
        <v/>
      </c>
    </row>
    <row r="477" spans="7:27" ht="15" customHeight="1" x14ac:dyDescent="0.25">
      <c r="G477" s="77"/>
      <c r="S477" s="49"/>
      <c r="T477" s="49"/>
      <c r="W477" s="49"/>
      <c r="X477" s="49"/>
      <c r="AA477" s="40" t="str">
        <f t="shared" si="7"/>
        <v/>
      </c>
    </row>
    <row r="478" spans="7:27" ht="15" customHeight="1" x14ac:dyDescent="0.25">
      <c r="AA478" s="40" t="str">
        <f t="shared" si="7"/>
        <v/>
      </c>
    </row>
    <row r="479" spans="7:27" ht="15" customHeight="1" x14ac:dyDescent="0.25">
      <c r="G479" s="77"/>
      <c r="S479" s="49"/>
      <c r="T479" s="49"/>
      <c r="W479" s="49"/>
      <c r="X479" s="49"/>
      <c r="AA479" s="40" t="str">
        <f t="shared" si="7"/>
        <v/>
      </c>
    </row>
    <row r="480" spans="7:27" ht="15" customHeight="1" x14ac:dyDescent="0.25">
      <c r="AA480" s="40" t="str">
        <f t="shared" si="7"/>
        <v/>
      </c>
    </row>
    <row r="481" spans="7:27" ht="15" customHeight="1" x14ac:dyDescent="0.25">
      <c r="G481" s="77"/>
      <c r="S481" s="49"/>
      <c r="T481" s="49"/>
      <c r="W481" s="49"/>
      <c r="X481" s="49"/>
      <c r="AA481" s="40" t="str">
        <f t="shared" si="7"/>
        <v/>
      </c>
    </row>
    <row r="482" spans="7:27" ht="15" customHeight="1" x14ac:dyDescent="0.25">
      <c r="AA482" s="40" t="str">
        <f t="shared" si="7"/>
        <v/>
      </c>
    </row>
    <row r="483" spans="7:27" ht="15" customHeight="1" x14ac:dyDescent="0.25">
      <c r="G483" s="77"/>
      <c r="S483" s="49"/>
      <c r="T483" s="49"/>
      <c r="W483" s="49"/>
      <c r="X483" s="49"/>
      <c r="AA483" s="40" t="str">
        <f t="shared" si="7"/>
        <v/>
      </c>
    </row>
    <row r="484" spans="7:27" ht="15" customHeight="1" x14ac:dyDescent="0.25">
      <c r="AA484" s="40" t="str">
        <f t="shared" si="7"/>
        <v/>
      </c>
    </row>
    <row r="485" spans="7:27" ht="15" customHeight="1" x14ac:dyDescent="0.25">
      <c r="G485" s="77"/>
      <c r="S485" s="49"/>
      <c r="T485" s="49"/>
      <c r="W485" s="49"/>
      <c r="X485" s="49"/>
      <c r="AA485" s="40" t="str">
        <f t="shared" si="7"/>
        <v/>
      </c>
    </row>
    <row r="486" spans="7:27" ht="15" customHeight="1" x14ac:dyDescent="0.25">
      <c r="AA486" s="40" t="str">
        <f t="shared" si="7"/>
        <v/>
      </c>
    </row>
    <row r="487" spans="7:27" ht="15" customHeight="1" x14ac:dyDescent="0.25">
      <c r="G487" s="77"/>
      <c r="S487" s="49"/>
      <c r="T487" s="49"/>
      <c r="W487" s="49"/>
      <c r="X487" s="49"/>
      <c r="AA487" s="40" t="str">
        <f t="shared" si="7"/>
        <v/>
      </c>
    </row>
    <row r="488" spans="7:27" ht="15" customHeight="1" x14ac:dyDescent="0.25">
      <c r="AA488" s="40" t="str">
        <f t="shared" si="7"/>
        <v/>
      </c>
    </row>
    <row r="489" spans="7:27" ht="15" customHeight="1" x14ac:dyDescent="0.25">
      <c r="G489" s="77"/>
      <c r="S489" s="49"/>
      <c r="T489" s="49"/>
      <c r="W489" s="49"/>
      <c r="X489" s="49"/>
      <c r="AA489" s="40" t="str">
        <f t="shared" si="7"/>
        <v/>
      </c>
    </row>
    <row r="490" spans="7:27" ht="15" customHeight="1" x14ac:dyDescent="0.25">
      <c r="AA490" s="40" t="str">
        <f t="shared" si="7"/>
        <v/>
      </c>
    </row>
    <row r="491" spans="7:27" ht="15" customHeight="1" x14ac:dyDescent="0.25">
      <c r="G491" s="77"/>
      <c r="S491" s="49"/>
      <c r="T491" s="49"/>
      <c r="W491" s="49"/>
      <c r="X491" s="49"/>
      <c r="AA491" s="40" t="str">
        <f t="shared" si="7"/>
        <v/>
      </c>
    </row>
    <row r="492" spans="7:27" ht="15" customHeight="1" x14ac:dyDescent="0.25">
      <c r="AA492" s="40" t="str">
        <f t="shared" si="7"/>
        <v/>
      </c>
    </row>
    <row r="493" spans="7:27" ht="15" customHeight="1" x14ac:dyDescent="0.25">
      <c r="G493" s="77"/>
      <c r="S493" s="49"/>
      <c r="T493" s="49"/>
      <c r="W493" s="49"/>
      <c r="X493" s="49"/>
      <c r="AA493" s="40" t="str">
        <f t="shared" si="7"/>
        <v/>
      </c>
    </row>
    <row r="494" spans="7:27" ht="15" customHeight="1" x14ac:dyDescent="0.25">
      <c r="AA494" s="40" t="str">
        <f t="shared" si="7"/>
        <v/>
      </c>
    </row>
    <row r="495" spans="7:27" ht="15" customHeight="1" x14ac:dyDescent="0.25">
      <c r="G495" s="77"/>
      <c r="S495" s="49"/>
      <c r="T495" s="49"/>
      <c r="W495" s="49"/>
      <c r="X495" s="49"/>
      <c r="AA495" s="40" t="str">
        <f t="shared" si="7"/>
        <v/>
      </c>
    </row>
    <row r="496" spans="7:27" ht="15" customHeight="1" x14ac:dyDescent="0.25">
      <c r="AA496" s="40" t="str">
        <f t="shared" si="7"/>
        <v/>
      </c>
    </row>
    <row r="497" spans="7:27" ht="15" customHeight="1" x14ac:dyDescent="0.25">
      <c r="G497" s="77"/>
      <c r="S497" s="49"/>
      <c r="T497" s="49"/>
      <c r="W497" s="49"/>
      <c r="X497" s="49"/>
      <c r="AA497" s="40" t="str">
        <f t="shared" si="7"/>
        <v/>
      </c>
    </row>
    <row r="498" spans="7:27" ht="15" customHeight="1" x14ac:dyDescent="0.25">
      <c r="AA498" s="40" t="str">
        <f t="shared" si="7"/>
        <v/>
      </c>
    </row>
    <row r="499" spans="7:27" ht="15" customHeight="1" x14ac:dyDescent="0.25">
      <c r="G499" s="77"/>
      <c r="S499" s="49"/>
      <c r="T499" s="49"/>
      <c r="W499" s="49"/>
      <c r="X499" s="49"/>
      <c r="AA499" s="40" t="str">
        <f t="shared" si="7"/>
        <v/>
      </c>
    </row>
    <row r="500" spans="7:27" ht="15" customHeight="1" x14ac:dyDescent="0.25">
      <c r="AA500" s="40" t="str">
        <f t="shared" si="7"/>
        <v/>
      </c>
    </row>
    <row r="501" spans="7:27" ht="15" customHeight="1" x14ac:dyDescent="0.25">
      <c r="G501" s="77"/>
      <c r="S501" s="49"/>
      <c r="T501" s="49"/>
      <c r="W501" s="49"/>
      <c r="X501" s="49"/>
      <c r="AA501" s="40" t="str">
        <f t="shared" si="7"/>
        <v/>
      </c>
    </row>
    <row r="502" spans="7:27" ht="15" customHeight="1" x14ac:dyDescent="0.25">
      <c r="AA502" s="40" t="str">
        <f t="shared" si="7"/>
        <v/>
      </c>
    </row>
    <row r="503" spans="7:27" ht="15" customHeight="1" x14ac:dyDescent="0.25">
      <c r="G503" s="77"/>
      <c r="S503" s="49"/>
      <c r="T503" s="49"/>
      <c r="W503" s="49"/>
      <c r="X503" s="49"/>
      <c r="AA503" s="40" t="str">
        <f t="shared" si="7"/>
        <v/>
      </c>
    </row>
    <row r="504" spans="7:27" ht="15" customHeight="1" x14ac:dyDescent="0.25">
      <c r="AA504" s="40" t="str">
        <f t="shared" si="7"/>
        <v/>
      </c>
    </row>
    <row r="505" spans="7:27" ht="15" customHeight="1" x14ac:dyDescent="0.25">
      <c r="G505" s="77"/>
      <c r="S505" s="49"/>
      <c r="T505" s="49"/>
      <c r="W505" s="49"/>
      <c r="X505" s="49"/>
      <c r="AA505" s="40" t="str">
        <f t="shared" si="7"/>
        <v/>
      </c>
    </row>
    <row r="506" spans="7:27" ht="15" customHeight="1" x14ac:dyDescent="0.25">
      <c r="G506" s="77"/>
      <c r="S506" s="49"/>
      <c r="T506" s="49"/>
      <c r="W506" s="49"/>
      <c r="X506" s="49"/>
      <c r="AA506" s="40" t="str">
        <f t="shared" si="7"/>
        <v/>
      </c>
    </row>
    <row r="507" spans="7:27" ht="15" customHeight="1" x14ac:dyDescent="0.25">
      <c r="AA507" s="40" t="str">
        <f t="shared" si="7"/>
        <v/>
      </c>
    </row>
    <row r="508" spans="7:27" ht="15" customHeight="1" x14ac:dyDescent="0.25">
      <c r="G508" s="77"/>
      <c r="S508" s="49"/>
      <c r="T508" s="49"/>
      <c r="W508" s="49"/>
      <c r="X508" s="49"/>
      <c r="AA508" s="40" t="str">
        <f t="shared" si="7"/>
        <v/>
      </c>
    </row>
    <row r="509" spans="7:27" ht="15" customHeight="1" x14ac:dyDescent="0.25">
      <c r="AA509" s="40" t="str">
        <f t="shared" si="7"/>
        <v/>
      </c>
    </row>
    <row r="510" spans="7:27" ht="15" customHeight="1" x14ac:dyDescent="0.25">
      <c r="G510" s="77"/>
      <c r="S510" s="49"/>
      <c r="T510" s="49"/>
      <c r="W510" s="49"/>
      <c r="X510" s="49"/>
      <c r="AA510" s="40" t="str">
        <f t="shared" si="7"/>
        <v/>
      </c>
    </row>
    <row r="511" spans="7:27" ht="15" customHeight="1" x14ac:dyDescent="0.25">
      <c r="AA511" s="40" t="str">
        <f t="shared" si="7"/>
        <v/>
      </c>
    </row>
    <row r="512" spans="7:27" ht="15" customHeight="1" x14ac:dyDescent="0.25">
      <c r="G512" s="77"/>
      <c r="S512" s="49"/>
      <c r="T512" s="49"/>
      <c r="W512" s="49"/>
      <c r="X512" s="49"/>
      <c r="AA512" s="40" t="str">
        <f t="shared" si="7"/>
        <v/>
      </c>
    </row>
    <row r="513" spans="7:27" ht="15" customHeight="1" x14ac:dyDescent="0.25">
      <c r="AA513" s="40" t="str">
        <f t="shared" si="7"/>
        <v/>
      </c>
    </row>
    <row r="514" spans="7:27" ht="15" customHeight="1" x14ac:dyDescent="0.25">
      <c r="G514" s="77"/>
      <c r="S514" s="49"/>
      <c r="T514" s="49"/>
      <c r="W514" s="49"/>
      <c r="X514" s="49"/>
      <c r="AA514" s="40" t="str">
        <f t="shared" si="7"/>
        <v/>
      </c>
    </row>
    <row r="515" spans="7:27" ht="15" customHeight="1" x14ac:dyDescent="0.25">
      <c r="AA515" s="40" t="str">
        <f t="shared" si="7"/>
        <v/>
      </c>
    </row>
    <row r="516" spans="7:27" ht="15" customHeight="1" x14ac:dyDescent="0.25">
      <c r="G516" s="77"/>
      <c r="S516" s="49"/>
      <c r="T516" s="49"/>
      <c r="W516" s="49"/>
      <c r="X516" s="49"/>
      <c r="AA516" s="40" t="str">
        <f t="shared" si="7"/>
        <v/>
      </c>
    </row>
    <row r="517" spans="7:27" ht="15" customHeight="1" x14ac:dyDescent="0.25">
      <c r="AA517" s="40" t="str">
        <f t="shared" si="7"/>
        <v/>
      </c>
    </row>
    <row r="518" spans="7:27" ht="15" customHeight="1" x14ac:dyDescent="0.25">
      <c r="G518" s="77"/>
      <c r="S518" s="49"/>
      <c r="T518" s="49"/>
      <c r="W518" s="49"/>
      <c r="X518" s="49"/>
      <c r="AA518" s="40" t="str">
        <f t="shared" si="7"/>
        <v/>
      </c>
    </row>
    <row r="519" spans="7:27" ht="15" customHeight="1" x14ac:dyDescent="0.25">
      <c r="AA519" s="40" t="str">
        <f t="shared" si="7"/>
        <v/>
      </c>
    </row>
    <row r="520" spans="7:27" ht="15" customHeight="1" x14ac:dyDescent="0.25">
      <c r="G520" s="77"/>
      <c r="S520" s="49"/>
      <c r="T520" s="49"/>
      <c r="W520" s="49"/>
      <c r="X520" s="49"/>
      <c r="AA520" s="40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40" t="str">
        <f t="shared" si="8"/>
        <v/>
      </c>
    </row>
    <row r="522" spans="7:27" ht="15" customHeight="1" x14ac:dyDescent="0.25">
      <c r="G522" s="77"/>
      <c r="S522" s="49"/>
      <c r="T522" s="49"/>
      <c r="W522" s="49"/>
      <c r="X522" s="49"/>
      <c r="AA522" s="40" t="str">
        <f t="shared" si="8"/>
        <v/>
      </c>
    </row>
    <row r="523" spans="7:27" ht="15" customHeight="1" x14ac:dyDescent="0.25">
      <c r="AA523" s="40" t="str">
        <f t="shared" si="8"/>
        <v/>
      </c>
    </row>
    <row r="524" spans="7:27" ht="15" customHeight="1" x14ac:dyDescent="0.25">
      <c r="G524" s="77"/>
      <c r="S524" s="49"/>
      <c r="T524" s="49"/>
      <c r="W524" s="49"/>
      <c r="X524" s="49"/>
      <c r="AA524" s="40" t="str">
        <f t="shared" si="8"/>
        <v/>
      </c>
    </row>
    <row r="525" spans="7:27" ht="15" customHeight="1" x14ac:dyDescent="0.25">
      <c r="AA525" s="40" t="str">
        <f t="shared" si="8"/>
        <v/>
      </c>
    </row>
    <row r="526" spans="7:27" ht="15" customHeight="1" x14ac:dyDescent="0.25">
      <c r="G526" s="77"/>
      <c r="S526" s="49"/>
      <c r="T526" s="49"/>
      <c r="W526" s="49"/>
      <c r="X526" s="49"/>
      <c r="AA526" s="40" t="str">
        <f t="shared" si="8"/>
        <v/>
      </c>
    </row>
    <row r="527" spans="7:27" ht="15" customHeight="1" x14ac:dyDescent="0.25">
      <c r="AA527" s="40" t="str">
        <f t="shared" si="8"/>
        <v/>
      </c>
    </row>
    <row r="528" spans="7:27" ht="15" customHeight="1" x14ac:dyDescent="0.25">
      <c r="G528" s="77"/>
      <c r="S528" s="49"/>
      <c r="T528" s="49"/>
      <c r="W528" s="49"/>
      <c r="X528" s="49"/>
      <c r="AA528" s="40" t="str">
        <f t="shared" si="8"/>
        <v/>
      </c>
    </row>
    <row r="529" spans="7:27" ht="15" customHeight="1" x14ac:dyDescent="0.25">
      <c r="AA529" s="40" t="str">
        <f t="shared" si="8"/>
        <v/>
      </c>
    </row>
    <row r="530" spans="7:27" ht="15" customHeight="1" x14ac:dyDescent="0.25">
      <c r="G530" s="77"/>
      <c r="S530" s="49"/>
      <c r="T530" s="49"/>
      <c r="W530" s="49"/>
      <c r="X530" s="49"/>
      <c r="AA530" s="40" t="str">
        <f t="shared" si="8"/>
        <v/>
      </c>
    </row>
    <row r="531" spans="7:27" ht="15" customHeight="1" x14ac:dyDescent="0.25">
      <c r="AA531" s="40" t="str">
        <f t="shared" si="8"/>
        <v/>
      </c>
    </row>
    <row r="532" spans="7:27" ht="15" customHeight="1" x14ac:dyDescent="0.25">
      <c r="S532" s="49"/>
      <c r="T532" s="49"/>
      <c r="W532" s="49"/>
      <c r="X532" s="49"/>
      <c r="AA532" s="40" t="str">
        <f t="shared" si="8"/>
        <v/>
      </c>
    </row>
    <row r="533" spans="7:27" ht="15" customHeight="1" x14ac:dyDescent="0.25">
      <c r="AA533" s="40" t="str">
        <f t="shared" si="8"/>
        <v/>
      </c>
    </row>
    <row r="534" spans="7:27" ht="15" customHeight="1" x14ac:dyDescent="0.25">
      <c r="G534" s="77"/>
      <c r="S534" s="49"/>
      <c r="T534" s="49"/>
      <c r="W534" s="49"/>
      <c r="X534" s="49"/>
      <c r="AA534" s="40" t="str">
        <f t="shared" si="8"/>
        <v/>
      </c>
    </row>
    <row r="535" spans="7:27" ht="15" customHeight="1" x14ac:dyDescent="0.25">
      <c r="AA535" s="40" t="str">
        <f t="shared" si="8"/>
        <v/>
      </c>
    </row>
    <row r="536" spans="7:27" ht="15" customHeight="1" x14ac:dyDescent="0.25">
      <c r="G536" s="77"/>
      <c r="S536" s="49"/>
      <c r="T536" s="49"/>
      <c r="W536" s="49"/>
      <c r="X536" s="49"/>
      <c r="AA536" s="40" t="str">
        <f t="shared" si="8"/>
        <v/>
      </c>
    </row>
    <row r="537" spans="7:27" ht="15" customHeight="1" x14ac:dyDescent="0.25">
      <c r="AA537" s="40" t="str">
        <f t="shared" si="8"/>
        <v/>
      </c>
    </row>
    <row r="538" spans="7:27" ht="15" customHeight="1" x14ac:dyDescent="0.25">
      <c r="G538" s="77"/>
      <c r="S538" s="49"/>
      <c r="T538" s="49"/>
      <c r="W538" s="49"/>
      <c r="X538" s="49"/>
      <c r="AA538" s="40" t="str">
        <f t="shared" si="8"/>
        <v/>
      </c>
    </row>
    <row r="539" spans="7:27" ht="15" customHeight="1" x14ac:dyDescent="0.25">
      <c r="AA539" s="40" t="str">
        <f t="shared" si="8"/>
        <v/>
      </c>
    </row>
    <row r="540" spans="7:27" ht="15" customHeight="1" x14ac:dyDescent="0.25">
      <c r="G540" s="77"/>
      <c r="S540" s="49"/>
      <c r="T540" s="49"/>
      <c r="W540" s="49"/>
      <c r="X540" s="49"/>
      <c r="AA540" s="40" t="str">
        <f t="shared" si="8"/>
        <v/>
      </c>
    </row>
    <row r="541" spans="7:27" ht="15" customHeight="1" x14ac:dyDescent="0.25">
      <c r="AA541" s="40" t="str">
        <f t="shared" si="8"/>
        <v/>
      </c>
    </row>
    <row r="542" spans="7:27" ht="15" customHeight="1" x14ac:dyDescent="0.25">
      <c r="G542" s="77"/>
      <c r="S542" s="49"/>
      <c r="T542" s="49"/>
      <c r="W542" s="49"/>
      <c r="X542" s="49"/>
      <c r="AA542" s="40" t="str">
        <f t="shared" si="8"/>
        <v/>
      </c>
    </row>
    <row r="543" spans="7:27" ht="15" customHeight="1" x14ac:dyDescent="0.25">
      <c r="AA543" s="40" t="str">
        <f t="shared" si="8"/>
        <v/>
      </c>
    </row>
    <row r="544" spans="7:27" ht="15" customHeight="1" x14ac:dyDescent="0.25">
      <c r="G544" s="77"/>
      <c r="S544" s="49"/>
      <c r="T544" s="49"/>
      <c r="W544" s="49"/>
      <c r="X544" s="49"/>
      <c r="AA544" s="40" t="str">
        <f t="shared" si="8"/>
        <v/>
      </c>
    </row>
    <row r="545" spans="7:27" ht="15" customHeight="1" x14ac:dyDescent="0.25">
      <c r="AA545" s="40" t="str">
        <f t="shared" si="8"/>
        <v/>
      </c>
    </row>
    <row r="546" spans="7:27" ht="15" customHeight="1" x14ac:dyDescent="0.25">
      <c r="G546" s="77"/>
      <c r="S546" s="49"/>
      <c r="T546" s="49"/>
      <c r="W546" s="49"/>
      <c r="X546" s="49"/>
      <c r="AA546" s="40" t="str">
        <f t="shared" si="8"/>
        <v/>
      </c>
    </row>
    <row r="547" spans="7:27" ht="15" customHeight="1" x14ac:dyDescent="0.25">
      <c r="AA547" s="40" t="str">
        <f t="shared" si="8"/>
        <v/>
      </c>
    </row>
    <row r="548" spans="7:27" ht="15" customHeight="1" x14ac:dyDescent="0.25">
      <c r="S548" s="49"/>
      <c r="T548" s="49"/>
      <c r="W548" s="49"/>
      <c r="X548" s="49"/>
      <c r="AA548" s="40" t="str">
        <f t="shared" si="8"/>
        <v/>
      </c>
    </row>
    <row r="549" spans="7:27" ht="15" customHeight="1" x14ac:dyDescent="0.25">
      <c r="AA549" s="40" t="str">
        <f t="shared" si="8"/>
        <v/>
      </c>
    </row>
    <row r="550" spans="7:27" ht="15" customHeight="1" x14ac:dyDescent="0.25">
      <c r="G550" s="77"/>
      <c r="S550" s="49"/>
      <c r="T550" s="49"/>
      <c r="W550" s="49"/>
      <c r="X550" s="49"/>
      <c r="AA550" s="40" t="str">
        <f t="shared" si="8"/>
        <v/>
      </c>
    </row>
    <row r="551" spans="7:27" ht="15" customHeight="1" x14ac:dyDescent="0.25">
      <c r="AA551" s="40" t="str">
        <f t="shared" si="8"/>
        <v/>
      </c>
    </row>
    <row r="552" spans="7:27" ht="15" customHeight="1" x14ac:dyDescent="0.25">
      <c r="G552" s="77"/>
      <c r="S552" s="49"/>
      <c r="T552" s="49"/>
      <c r="W552" s="49"/>
      <c r="X552" s="49"/>
      <c r="AA552" s="40" t="str">
        <f t="shared" si="8"/>
        <v/>
      </c>
    </row>
    <row r="553" spans="7:27" ht="15" customHeight="1" x14ac:dyDescent="0.25">
      <c r="AA553" s="40" t="str">
        <f t="shared" si="8"/>
        <v/>
      </c>
    </row>
    <row r="554" spans="7:27" ht="15" customHeight="1" x14ac:dyDescent="0.25">
      <c r="G554" s="77"/>
      <c r="S554" s="49"/>
      <c r="T554" s="49"/>
      <c r="W554" s="49"/>
      <c r="X554" s="49"/>
      <c r="AA554" s="40" t="str">
        <f t="shared" si="8"/>
        <v/>
      </c>
    </row>
    <row r="555" spans="7:27" ht="15" customHeight="1" x14ac:dyDescent="0.25">
      <c r="AA555" s="40" t="str">
        <f t="shared" si="8"/>
        <v/>
      </c>
    </row>
    <row r="556" spans="7:27" ht="15" customHeight="1" x14ac:dyDescent="0.25">
      <c r="G556" s="77"/>
      <c r="S556" s="49"/>
      <c r="T556" s="49"/>
      <c r="W556" s="49"/>
      <c r="X556" s="49"/>
      <c r="AA556" s="40" t="str">
        <f t="shared" si="8"/>
        <v/>
      </c>
    </row>
    <row r="557" spans="7:27" ht="15" customHeight="1" x14ac:dyDescent="0.25">
      <c r="AA557" s="40" t="str">
        <f t="shared" si="8"/>
        <v/>
      </c>
    </row>
    <row r="558" spans="7:27" ht="15" customHeight="1" x14ac:dyDescent="0.25">
      <c r="G558" s="77"/>
      <c r="S558" s="49"/>
      <c r="T558" s="49"/>
      <c r="W558" s="49"/>
      <c r="X558" s="49"/>
      <c r="AA558" s="40" t="str">
        <f t="shared" si="8"/>
        <v/>
      </c>
    </row>
    <row r="559" spans="7:27" ht="15" customHeight="1" x14ac:dyDescent="0.25">
      <c r="AA559" s="40" t="str">
        <f t="shared" si="8"/>
        <v/>
      </c>
    </row>
    <row r="560" spans="7:27" ht="15" customHeight="1" x14ac:dyDescent="0.25">
      <c r="G560" s="77"/>
      <c r="S560" s="49"/>
      <c r="T560" s="49"/>
      <c r="W560" s="49"/>
      <c r="X560" s="49"/>
      <c r="AA560" s="40" t="str">
        <f t="shared" si="8"/>
        <v/>
      </c>
    </row>
    <row r="561" spans="7:27" ht="15" customHeight="1" x14ac:dyDescent="0.25">
      <c r="AA561" s="40" t="str">
        <f t="shared" si="8"/>
        <v/>
      </c>
    </row>
    <row r="562" spans="7:27" ht="15" customHeight="1" x14ac:dyDescent="0.25">
      <c r="G562" s="77"/>
      <c r="S562" s="49"/>
      <c r="T562" s="49"/>
      <c r="W562" s="49"/>
      <c r="X562" s="49"/>
      <c r="AA562" s="40" t="str">
        <f t="shared" si="8"/>
        <v/>
      </c>
    </row>
    <row r="563" spans="7:27" ht="15" customHeight="1" x14ac:dyDescent="0.25">
      <c r="AA563" s="40" t="str">
        <f t="shared" si="8"/>
        <v/>
      </c>
    </row>
    <row r="564" spans="7:27" ht="15" customHeight="1" x14ac:dyDescent="0.25">
      <c r="G564" s="77"/>
      <c r="S564" s="49"/>
      <c r="T564" s="49"/>
      <c r="W564" s="49"/>
      <c r="X564" s="49"/>
      <c r="AA564" s="40" t="str">
        <f t="shared" si="8"/>
        <v/>
      </c>
    </row>
    <row r="565" spans="7:27" ht="15" customHeight="1" x14ac:dyDescent="0.25">
      <c r="AA565" s="40" t="str">
        <f t="shared" si="8"/>
        <v/>
      </c>
    </row>
    <row r="566" spans="7:27" ht="15" customHeight="1" x14ac:dyDescent="0.25">
      <c r="G566" s="77"/>
      <c r="S566" s="49"/>
      <c r="T566" s="49"/>
      <c r="W566" s="49"/>
      <c r="X566" s="49"/>
      <c r="AA566" s="40" t="str">
        <f t="shared" si="8"/>
        <v/>
      </c>
    </row>
    <row r="567" spans="7:27" ht="15" customHeight="1" x14ac:dyDescent="0.25">
      <c r="AA567" s="40" t="str">
        <f t="shared" si="8"/>
        <v/>
      </c>
    </row>
    <row r="568" spans="7:27" ht="15" customHeight="1" x14ac:dyDescent="0.25">
      <c r="G568" s="77"/>
      <c r="S568" s="49"/>
      <c r="T568" s="49"/>
      <c r="W568" s="49"/>
      <c r="X568" s="49"/>
      <c r="AA568" s="40" t="str">
        <f t="shared" si="8"/>
        <v/>
      </c>
    </row>
    <row r="569" spans="7:27" ht="15" customHeight="1" x14ac:dyDescent="0.25">
      <c r="AA569" s="40" t="str">
        <f t="shared" si="8"/>
        <v/>
      </c>
    </row>
    <row r="570" spans="7:27" ht="15" customHeight="1" x14ac:dyDescent="0.25">
      <c r="G570" s="77"/>
      <c r="S570" s="49"/>
      <c r="T570" s="49"/>
      <c r="W570" s="49"/>
      <c r="X570" s="49"/>
      <c r="AA570" s="40" t="str">
        <f t="shared" si="8"/>
        <v/>
      </c>
    </row>
    <row r="571" spans="7:27" ht="15" customHeight="1" x14ac:dyDescent="0.25">
      <c r="AA571" s="40" t="str">
        <f t="shared" si="8"/>
        <v/>
      </c>
    </row>
    <row r="572" spans="7:27" ht="15" customHeight="1" x14ac:dyDescent="0.25">
      <c r="G572" s="77"/>
      <c r="S572" s="49"/>
      <c r="T572" s="49"/>
      <c r="W572" s="49"/>
      <c r="X572" s="49"/>
      <c r="AA572" s="40" t="str">
        <f t="shared" si="8"/>
        <v/>
      </c>
    </row>
    <row r="573" spans="7:27" ht="15" customHeight="1" x14ac:dyDescent="0.25">
      <c r="AA573" s="40" t="str">
        <f t="shared" si="8"/>
        <v/>
      </c>
    </row>
    <row r="574" spans="7:27" ht="15" customHeight="1" x14ac:dyDescent="0.25">
      <c r="G574" s="77"/>
      <c r="S574" s="49"/>
      <c r="T574" s="49"/>
      <c r="W574" s="49"/>
      <c r="X574" s="49"/>
      <c r="AA574" s="40" t="str">
        <f t="shared" si="8"/>
        <v/>
      </c>
    </row>
    <row r="575" spans="7:27" ht="15" customHeight="1" x14ac:dyDescent="0.25">
      <c r="AA575" s="40" t="str">
        <f t="shared" si="8"/>
        <v/>
      </c>
    </row>
    <row r="576" spans="7:27" ht="15" customHeight="1" x14ac:dyDescent="0.25">
      <c r="G576" s="77"/>
      <c r="S576" s="49"/>
      <c r="T576" s="49"/>
      <c r="W576" s="49"/>
      <c r="X576" s="49"/>
      <c r="AA576" s="40" t="str">
        <f t="shared" si="8"/>
        <v/>
      </c>
    </row>
    <row r="577" spans="7:27" ht="15" customHeight="1" x14ac:dyDescent="0.25">
      <c r="AA577" s="40" t="str">
        <f t="shared" si="8"/>
        <v/>
      </c>
    </row>
    <row r="578" spans="7:27" ht="15" customHeight="1" x14ac:dyDescent="0.25">
      <c r="G578" s="77"/>
      <c r="S578" s="49"/>
      <c r="T578" s="49"/>
      <c r="W578" s="49"/>
      <c r="X578" s="49"/>
      <c r="AA578" s="40" t="str">
        <f t="shared" si="8"/>
        <v/>
      </c>
    </row>
    <row r="579" spans="7:27" ht="15" customHeight="1" x14ac:dyDescent="0.25">
      <c r="G579" s="77"/>
      <c r="S579" s="49"/>
      <c r="T579" s="49"/>
      <c r="W579" s="49"/>
      <c r="X579" s="49"/>
      <c r="AA579" s="40" t="str">
        <f t="shared" si="8"/>
        <v/>
      </c>
    </row>
    <row r="580" spans="7:27" ht="15" customHeight="1" x14ac:dyDescent="0.25">
      <c r="AA580" s="40" t="str">
        <f t="shared" si="8"/>
        <v/>
      </c>
    </row>
    <row r="581" spans="7:27" ht="15" customHeight="1" x14ac:dyDescent="0.25">
      <c r="G581" s="77"/>
      <c r="S581" s="49"/>
      <c r="T581" s="49"/>
      <c r="W581" s="49"/>
      <c r="X581" s="49"/>
      <c r="AA581" s="40" t="str">
        <f t="shared" si="8"/>
        <v/>
      </c>
    </row>
    <row r="582" spans="7:27" ht="15" customHeight="1" x14ac:dyDescent="0.25">
      <c r="AA582" s="40" t="str">
        <f t="shared" si="8"/>
        <v/>
      </c>
    </row>
    <row r="583" spans="7:27" ht="15" customHeight="1" x14ac:dyDescent="0.25">
      <c r="G583" s="77"/>
      <c r="S583" s="49"/>
      <c r="T583" s="49"/>
      <c r="W583" s="49"/>
      <c r="X583" s="49"/>
      <c r="AA583" s="40" t="str">
        <f t="shared" si="8"/>
        <v/>
      </c>
    </row>
    <row r="584" spans="7:27" ht="15" customHeight="1" x14ac:dyDescent="0.25">
      <c r="AA584" s="40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77"/>
      <c r="S585" s="49"/>
      <c r="T585" s="49"/>
      <c r="W585" s="49"/>
      <c r="X585" s="49"/>
      <c r="AA585" s="40" t="str">
        <f t="shared" si="9"/>
        <v/>
      </c>
    </row>
    <row r="586" spans="7:27" ht="15" customHeight="1" x14ac:dyDescent="0.25">
      <c r="AA586" s="40" t="str">
        <f t="shared" si="9"/>
        <v/>
      </c>
    </row>
    <row r="587" spans="7:27" ht="15" customHeight="1" x14ac:dyDescent="0.25">
      <c r="S587" s="49"/>
      <c r="T587" s="49"/>
      <c r="W587" s="49"/>
      <c r="X587" s="49"/>
      <c r="AA587" s="40" t="str">
        <f t="shared" si="9"/>
        <v/>
      </c>
    </row>
    <row r="588" spans="7:27" ht="15" customHeight="1" x14ac:dyDescent="0.25">
      <c r="AA588" s="40" t="str">
        <f t="shared" si="9"/>
        <v/>
      </c>
    </row>
    <row r="589" spans="7:27" ht="15" customHeight="1" x14ac:dyDescent="0.25">
      <c r="G589" s="77"/>
      <c r="S589" s="49"/>
      <c r="T589" s="49"/>
      <c r="W589" s="49"/>
      <c r="X589" s="49"/>
      <c r="AA589" s="40" t="str">
        <f t="shared" si="9"/>
        <v/>
      </c>
    </row>
    <row r="590" spans="7:27" ht="15" customHeight="1" x14ac:dyDescent="0.25">
      <c r="AA590" s="40" t="str">
        <f t="shared" si="9"/>
        <v/>
      </c>
    </row>
    <row r="591" spans="7:27" ht="15" customHeight="1" x14ac:dyDescent="0.25">
      <c r="G591" s="77"/>
      <c r="S591" s="49"/>
      <c r="T591" s="49"/>
      <c r="W591" s="49"/>
      <c r="X591" s="49"/>
      <c r="AA591" s="40" t="str">
        <f t="shared" si="9"/>
        <v/>
      </c>
    </row>
    <row r="592" spans="7:27" ht="15" customHeight="1" x14ac:dyDescent="0.25">
      <c r="AA592" s="40" t="str">
        <f t="shared" si="9"/>
        <v/>
      </c>
    </row>
    <row r="593" spans="7:27" ht="15" customHeight="1" x14ac:dyDescent="0.25">
      <c r="G593" s="77"/>
      <c r="S593" s="49"/>
      <c r="T593" s="49"/>
      <c r="W593" s="49"/>
      <c r="X593" s="49"/>
      <c r="AA593" s="40" t="str">
        <f t="shared" si="9"/>
        <v/>
      </c>
    </row>
    <row r="594" spans="7:27" ht="15" customHeight="1" x14ac:dyDescent="0.25">
      <c r="AA594" s="40" t="str">
        <f t="shared" si="9"/>
        <v/>
      </c>
    </row>
    <row r="595" spans="7:27" ht="15" customHeight="1" x14ac:dyDescent="0.25">
      <c r="G595" s="77"/>
      <c r="S595" s="49"/>
      <c r="T595" s="49"/>
      <c r="W595" s="49"/>
      <c r="X595" s="49"/>
      <c r="AA595" s="40" t="str">
        <f t="shared" si="9"/>
        <v/>
      </c>
    </row>
    <row r="596" spans="7:27" ht="15" customHeight="1" x14ac:dyDescent="0.25">
      <c r="AA596" s="40" t="str">
        <f t="shared" si="9"/>
        <v/>
      </c>
    </row>
    <row r="597" spans="7:27" ht="15" customHeight="1" x14ac:dyDescent="0.25">
      <c r="G597" s="77"/>
      <c r="S597" s="49"/>
      <c r="T597" s="49"/>
      <c r="W597" s="49"/>
      <c r="X597" s="49"/>
      <c r="AA597" s="40" t="str">
        <f t="shared" si="9"/>
        <v/>
      </c>
    </row>
    <row r="598" spans="7:27" ht="15" customHeight="1" x14ac:dyDescent="0.25">
      <c r="AA598" s="40" t="str">
        <f t="shared" si="9"/>
        <v/>
      </c>
    </row>
    <row r="599" spans="7:27" ht="15" customHeight="1" x14ac:dyDescent="0.25">
      <c r="G599" s="77"/>
      <c r="S599" s="49"/>
      <c r="T599" s="49"/>
      <c r="W599" s="49"/>
      <c r="X599" s="49"/>
      <c r="AA599" s="40" t="str">
        <f t="shared" si="9"/>
        <v/>
      </c>
    </row>
    <row r="600" spans="7:27" ht="15" customHeight="1" x14ac:dyDescent="0.25">
      <c r="AA600" s="40" t="str">
        <f t="shared" si="9"/>
        <v/>
      </c>
    </row>
    <row r="601" spans="7:27" ht="15" customHeight="1" x14ac:dyDescent="0.25">
      <c r="S601" s="49"/>
      <c r="T601" s="49"/>
      <c r="W601" s="49"/>
      <c r="X601" s="49"/>
      <c r="AA601" s="40" t="str">
        <f t="shared" si="9"/>
        <v/>
      </c>
    </row>
    <row r="602" spans="7:27" ht="15" customHeight="1" x14ac:dyDescent="0.25">
      <c r="AA602" s="40" t="str">
        <f t="shared" si="9"/>
        <v/>
      </c>
    </row>
    <row r="603" spans="7:27" ht="15" customHeight="1" x14ac:dyDescent="0.25">
      <c r="G603" s="77"/>
      <c r="S603" s="49"/>
      <c r="T603" s="49"/>
      <c r="W603" s="49"/>
      <c r="X603" s="49"/>
      <c r="AA603" s="40" t="str">
        <f t="shared" si="9"/>
        <v/>
      </c>
    </row>
    <row r="604" spans="7:27" ht="15" customHeight="1" x14ac:dyDescent="0.25">
      <c r="AA604" s="40" t="str">
        <f t="shared" si="9"/>
        <v/>
      </c>
    </row>
    <row r="605" spans="7:27" ht="15" customHeight="1" x14ac:dyDescent="0.25">
      <c r="G605" s="77"/>
      <c r="S605" s="49"/>
      <c r="T605" s="49"/>
      <c r="W605" s="49"/>
      <c r="X605" s="49"/>
      <c r="AA605" s="40" t="str">
        <f t="shared" si="9"/>
        <v/>
      </c>
    </row>
    <row r="606" spans="7:27" ht="15" customHeight="1" x14ac:dyDescent="0.25">
      <c r="AA606" s="40" t="str">
        <f t="shared" si="9"/>
        <v/>
      </c>
    </row>
    <row r="607" spans="7:27" ht="15" customHeight="1" x14ac:dyDescent="0.25">
      <c r="G607" s="77"/>
      <c r="S607" s="49"/>
      <c r="T607" s="49"/>
      <c r="W607" s="49"/>
      <c r="X607" s="49"/>
      <c r="AA607" s="40" t="str">
        <f t="shared" si="9"/>
        <v/>
      </c>
    </row>
    <row r="608" spans="7:27" ht="15" customHeight="1" x14ac:dyDescent="0.25">
      <c r="AA608" s="40" t="str">
        <f t="shared" si="9"/>
        <v/>
      </c>
    </row>
    <row r="609" spans="7:27" ht="15" customHeight="1" x14ac:dyDescent="0.25">
      <c r="G609" s="77"/>
      <c r="S609" s="49"/>
      <c r="T609" s="49"/>
      <c r="W609" s="49"/>
      <c r="X609" s="49"/>
      <c r="AA609" s="40" t="str">
        <f t="shared" si="9"/>
        <v/>
      </c>
    </row>
    <row r="610" spans="7:27" ht="15" customHeight="1" x14ac:dyDescent="0.25">
      <c r="AA610" s="40" t="str">
        <f t="shared" si="9"/>
        <v/>
      </c>
    </row>
    <row r="611" spans="7:27" ht="15" customHeight="1" x14ac:dyDescent="0.25">
      <c r="G611" s="77"/>
      <c r="S611" s="49"/>
      <c r="T611" s="49"/>
      <c r="W611" s="49"/>
      <c r="X611" s="49"/>
      <c r="AA611" s="40" t="str">
        <f t="shared" si="9"/>
        <v/>
      </c>
    </row>
    <row r="612" spans="7:27" ht="15" customHeight="1" x14ac:dyDescent="0.25">
      <c r="AA612" s="40" t="str">
        <f t="shared" si="9"/>
        <v/>
      </c>
    </row>
    <row r="613" spans="7:27" ht="15" customHeight="1" x14ac:dyDescent="0.25">
      <c r="G613" s="77"/>
      <c r="S613" s="49"/>
      <c r="T613" s="49"/>
      <c r="W613" s="49"/>
      <c r="X613" s="49"/>
      <c r="AA613" s="40" t="str">
        <f t="shared" si="9"/>
        <v/>
      </c>
    </row>
    <row r="614" spans="7:27" ht="15" customHeight="1" x14ac:dyDescent="0.25">
      <c r="AA614" s="40" t="str">
        <f t="shared" si="9"/>
        <v/>
      </c>
    </row>
    <row r="615" spans="7:27" ht="15" customHeight="1" x14ac:dyDescent="0.25">
      <c r="G615" s="77"/>
      <c r="S615" s="49"/>
      <c r="T615" s="49"/>
      <c r="W615" s="49"/>
      <c r="X615" s="49"/>
      <c r="AA615" s="40" t="str">
        <f t="shared" si="9"/>
        <v/>
      </c>
    </row>
    <row r="616" spans="7:27" ht="15" customHeight="1" x14ac:dyDescent="0.25">
      <c r="AA616" s="40" t="str">
        <f t="shared" si="9"/>
        <v/>
      </c>
    </row>
    <row r="617" spans="7:27" ht="15" customHeight="1" x14ac:dyDescent="0.25">
      <c r="G617" s="77"/>
      <c r="S617" s="49"/>
      <c r="T617" s="49"/>
      <c r="W617" s="49"/>
      <c r="X617" s="49"/>
      <c r="AA617" s="40" t="str">
        <f t="shared" si="9"/>
        <v/>
      </c>
    </row>
    <row r="618" spans="7:27" ht="15" customHeight="1" x14ac:dyDescent="0.25">
      <c r="AA618" s="40" t="str">
        <f t="shared" si="9"/>
        <v/>
      </c>
    </row>
    <row r="619" spans="7:27" ht="15" customHeight="1" x14ac:dyDescent="0.25">
      <c r="G619" s="77"/>
      <c r="S619" s="49"/>
      <c r="T619" s="49"/>
      <c r="W619" s="49"/>
      <c r="X619" s="49"/>
      <c r="AA619" s="40" t="str">
        <f t="shared" si="9"/>
        <v/>
      </c>
    </row>
    <row r="620" spans="7:27" ht="15" customHeight="1" x14ac:dyDescent="0.25">
      <c r="AA620" s="40" t="str">
        <f t="shared" si="9"/>
        <v/>
      </c>
    </row>
    <row r="621" spans="7:27" ht="15" customHeight="1" x14ac:dyDescent="0.25">
      <c r="G621" s="77"/>
      <c r="S621" s="49"/>
      <c r="T621" s="49"/>
      <c r="W621" s="49"/>
      <c r="X621" s="49"/>
      <c r="AA621" s="40" t="str">
        <f t="shared" si="9"/>
        <v/>
      </c>
    </row>
    <row r="622" spans="7:27" ht="15" customHeight="1" x14ac:dyDescent="0.25">
      <c r="AA622" s="40" t="str">
        <f t="shared" si="9"/>
        <v/>
      </c>
    </row>
    <row r="623" spans="7:27" ht="15" customHeight="1" x14ac:dyDescent="0.25">
      <c r="G623" s="77"/>
      <c r="S623" s="49"/>
      <c r="T623" s="49"/>
      <c r="W623" s="49"/>
      <c r="X623" s="49"/>
      <c r="AA623" s="40" t="str">
        <f t="shared" si="9"/>
        <v/>
      </c>
    </row>
    <row r="624" spans="7:27" ht="15" customHeight="1" x14ac:dyDescent="0.25">
      <c r="AA624" s="40" t="str">
        <f t="shared" si="9"/>
        <v/>
      </c>
    </row>
    <row r="625" spans="7:27" ht="15" customHeight="1" x14ac:dyDescent="0.25">
      <c r="G625" s="77"/>
      <c r="S625" s="49"/>
      <c r="T625" s="49"/>
      <c r="W625" s="49"/>
      <c r="X625" s="49"/>
      <c r="AA625" s="40" t="str">
        <f t="shared" si="9"/>
        <v/>
      </c>
    </row>
    <row r="626" spans="7:27" ht="15" customHeight="1" x14ac:dyDescent="0.25">
      <c r="AA626" s="40" t="str">
        <f t="shared" si="9"/>
        <v/>
      </c>
    </row>
    <row r="627" spans="7:27" ht="15" customHeight="1" x14ac:dyDescent="0.25">
      <c r="G627" s="77"/>
      <c r="S627" s="49"/>
      <c r="T627" s="49"/>
      <c r="W627" s="49"/>
      <c r="X627" s="49"/>
      <c r="AA627" s="40" t="str">
        <f t="shared" si="9"/>
        <v/>
      </c>
    </row>
    <row r="628" spans="7:27" ht="15" customHeight="1" x14ac:dyDescent="0.25">
      <c r="AA628" s="40" t="str">
        <f t="shared" si="9"/>
        <v/>
      </c>
    </row>
    <row r="629" spans="7:27" ht="15" customHeight="1" x14ac:dyDescent="0.25">
      <c r="G629" s="77"/>
      <c r="S629" s="49"/>
      <c r="T629" s="49"/>
      <c r="W629" s="49"/>
      <c r="X629" s="49"/>
      <c r="AA629" s="40" t="str">
        <f t="shared" si="9"/>
        <v/>
      </c>
    </row>
    <row r="630" spans="7:27" ht="15" customHeight="1" x14ac:dyDescent="0.25">
      <c r="AA630" s="40" t="str">
        <f t="shared" si="9"/>
        <v/>
      </c>
    </row>
    <row r="631" spans="7:27" ht="15" customHeight="1" x14ac:dyDescent="0.25">
      <c r="G631" s="77"/>
      <c r="S631" s="49"/>
      <c r="T631" s="49"/>
      <c r="W631" s="49"/>
      <c r="X631" s="49"/>
      <c r="AA631" s="40" t="str">
        <f t="shared" si="9"/>
        <v/>
      </c>
    </row>
    <row r="632" spans="7:27" ht="15" customHeight="1" x14ac:dyDescent="0.25">
      <c r="AA632" s="40" t="str">
        <f t="shared" si="9"/>
        <v/>
      </c>
    </row>
    <row r="633" spans="7:27" ht="15" customHeight="1" x14ac:dyDescent="0.25">
      <c r="G633" s="77"/>
      <c r="S633" s="49"/>
      <c r="T633" s="49"/>
      <c r="W633" s="49"/>
      <c r="X633" s="49"/>
      <c r="AA633" s="40" t="str">
        <f t="shared" si="9"/>
        <v/>
      </c>
    </row>
    <row r="634" spans="7:27" ht="15" customHeight="1" x14ac:dyDescent="0.25">
      <c r="AA634" s="40" t="str">
        <f t="shared" si="9"/>
        <v/>
      </c>
    </row>
    <row r="635" spans="7:27" ht="15" customHeight="1" x14ac:dyDescent="0.25">
      <c r="G635" s="77"/>
      <c r="S635" s="49"/>
      <c r="T635" s="49"/>
      <c r="W635" s="49"/>
      <c r="X635" s="49"/>
      <c r="AA635" s="40" t="str">
        <f t="shared" si="9"/>
        <v/>
      </c>
    </row>
    <row r="636" spans="7:27" ht="15" customHeight="1" x14ac:dyDescent="0.25">
      <c r="AA636" s="40" t="str">
        <f t="shared" si="9"/>
        <v/>
      </c>
    </row>
    <row r="637" spans="7:27" ht="15" customHeight="1" x14ac:dyDescent="0.25">
      <c r="G637" s="77"/>
      <c r="S637" s="49"/>
      <c r="T637" s="49"/>
      <c r="W637" s="49"/>
      <c r="X637" s="49"/>
      <c r="AA637" s="40" t="str">
        <f t="shared" si="9"/>
        <v/>
      </c>
    </row>
    <row r="638" spans="7:27" ht="15" customHeight="1" x14ac:dyDescent="0.25">
      <c r="AA638" s="40" t="str">
        <f t="shared" si="9"/>
        <v/>
      </c>
    </row>
    <row r="639" spans="7:27" ht="15" customHeight="1" x14ac:dyDescent="0.25">
      <c r="G639" s="77"/>
      <c r="S639" s="49"/>
      <c r="T639" s="49"/>
      <c r="W639" s="49"/>
      <c r="X639" s="49"/>
      <c r="AA639" s="40" t="str">
        <f t="shared" si="9"/>
        <v/>
      </c>
    </row>
    <row r="640" spans="7:27" ht="15" customHeight="1" x14ac:dyDescent="0.25">
      <c r="AA640" s="40" t="str">
        <f t="shared" si="9"/>
        <v/>
      </c>
    </row>
    <row r="641" spans="7:27" ht="15" customHeight="1" x14ac:dyDescent="0.25">
      <c r="G641" s="77"/>
      <c r="S641" s="49"/>
      <c r="T641" s="49"/>
      <c r="W641" s="49"/>
      <c r="X641" s="49"/>
      <c r="AA641" s="40" t="str">
        <f t="shared" si="9"/>
        <v/>
      </c>
    </row>
    <row r="642" spans="7:27" ht="15" customHeight="1" x14ac:dyDescent="0.25">
      <c r="AA642" s="40" t="str">
        <f t="shared" si="9"/>
        <v/>
      </c>
    </row>
    <row r="643" spans="7:27" ht="15" customHeight="1" x14ac:dyDescent="0.25">
      <c r="G643" s="77"/>
      <c r="S643" s="49"/>
      <c r="T643" s="49"/>
      <c r="W643" s="49"/>
      <c r="X643" s="49"/>
      <c r="AA643" s="40" t="str">
        <f t="shared" si="9"/>
        <v/>
      </c>
    </row>
    <row r="644" spans="7:27" ht="15" customHeight="1" x14ac:dyDescent="0.25">
      <c r="AA644" s="40" t="str">
        <f t="shared" si="9"/>
        <v/>
      </c>
    </row>
    <row r="645" spans="7:27" ht="15" customHeight="1" x14ac:dyDescent="0.25">
      <c r="G645" s="77"/>
      <c r="S645" s="49"/>
      <c r="T645" s="49"/>
      <c r="W645" s="49"/>
      <c r="X645" s="49"/>
      <c r="AA645" s="40" t="str">
        <f t="shared" si="9"/>
        <v/>
      </c>
    </row>
    <row r="646" spans="7:27" ht="15" customHeight="1" x14ac:dyDescent="0.25">
      <c r="AA646" s="40" t="str">
        <f t="shared" si="9"/>
        <v/>
      </c>
    </row>
    <row r="647" spans="7:27" ht="15" customHeight="1" x14ac:dyDescent="0.25">
      <c r="G647" s="77"/>
      <c r="S647" s="49"/>
      <c r="T647" s="49"/>
      <c r="W647" s="49"/>
      <c r="X647" s="49"/>
      <c r="AA647" s="40" t="str">
        <f t="shared" si="9"/>
        <v/>
      </c>
    </row>
    <row r="648" spans="7:27" ht="15" customHeight="1" x14ac:dyDescent="0.25">
      <c r="AA648" s="40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77"/>
      <c r="S649" s="49"/>
      <c r="T649" s="49"/>
      <c r="W649" s="49"/>
      <c r="X649" s="49"/>
      <c r="AA649" s="40" t="str">
        <f t="shared" si="10"/>
        <v/>
      </c>
    </row>
    <row r="650" spans="7:27" ht="15" customHeight="1" x14ac:dyDescent="0.25">
      <c r="AA650" s="40" t="str">
        <f t="shared" si="10"/>
        <v/>
      </c>
    </row>
    <row r="651" spans="7:27" ht="15" customHeight="1" x14ac:dyDescent="0.25">
      <c r="G651" s="77"/>
      <c r="S651" s="49"/>
      <c r="T651" s="49"/>
      <c r="W651" s="49"/>
      <c r="X651" s="49"/>
      <c r="AA651" s="40" t="str">
        <f t="shared" si="10"/>
        <v/>
      </c>
    </row>
    <row r="652" spans="7:27" ht="15" customHeight="1" x14ac:dyDescent="0.25">
      <c r="G652" s="77"/>
      <c r="S652" s="49"/>
      <c r="T652" s="49"/>
      <c r="W652" s="49"/>
      <c r="X652" s="49"/>
      <c r="AA652" s="40" t="str">
        <f t="shared" si="10"/>
        <v/>
      </c>
    </row>
    <row r="653" spans="7:27" ht="15" customHeight="1" x14ac:dyDescent="0.25">
      <c r="AA653" s="40" t="str">
        <f t="shared" si="10"/>
        <v/>
      </c>
    </row>
    <row r="654" spans="7:27" ht="15" customHeight="1" x14ac:dyDescent="0.25">
      <c r="G654" s="77"/>
      <c r="S654" s="49"/>
      <c r="T654" s="49"/>
      <c r="W654" s="49"/>
      <c r="X654" s="49"/>
      <c r="AA654" s="40" t="str">
        <f t="shared" si="10"/>
        <v/>
      </c>
    </row>
    <row r="655" spans="7:27" ht="15" customHeight="1" x14ac:dyDescent="0.25">
      <c r="AA655" s="40" t="str">
        <f t="shared" si="10"/>
        <v/>
      </c>
    </row>
    <row r="656" spans="7:27" ht="15" customHeight="1" x14ac:dyDescent="0.25">
      <c r="G656" s="77"/>
      <c r="S656" s="49"/>
      <c r="T656" s="49"/>
      <c r="W656" s="49"/>
      <c r="X656" s="49"/>
      <c r="AA656" s="40" t="str">
        <f t="shared" si="10"/>
        <v/>
      </c>
    </row>
    <row r="657" spans="7:27" ht="15" customHeight="1" x14ac:dyDescent="0.25">
      <c r="AA657" s="40" t="str">
        <f t="shared" si="10"/>
        <v/>
      </c>
    </row>
    <row r="658" spans="7:27" ht="15" customHeight="1" x14ac:dyDescent="0.25">
      <c r="G658" s="77"/>
      <c r="S658" s="49"/>
      <c r="T658" s="49"/>
      <c r="W658" s="49"/>
      <c r="X658" s="49"/>
      <c r="AA658" s="40" t="str">
        <f t="shared" si="10"/>
        <v/>
      </c>
    </row>
    <row r="659" spans="7:27" ht="15" customHeight="1" x14ac:dyDescent="0.25">
      <c r="AA659" s="40" t="str">
        <f t="shared" si="10"/>
        <v/>
      </c>
    </row>
    <row r="660" spans="7:27" ht="15" customHeight="1" x14ac:dyDescent="0.25">
      <c r="G660" s="77"/>
      <c r="S660" s="49"/>
      <c r="T660" s="49"/>
      <c r="W660" s="49"/>
      <c r="X660" s="49"/>
      <c r="AA660" s="40" t="str">
        <f t="shared" si="10"/>
        <v/>
      </c>
    </row>
    <row r="661" spans="7:27" ht="15" customHeight="1" x14ac:dyDescent="0.25">
      <c r="AA661" s="40" t="str">
        <f t="shared" si="10"/>
        <v/>
      </c>
    </row>
    <row r="662" spans="7:27" ht="15" customHeight="1" x14ac:dyDescent="0.25">
      <c r="G662" s="77"/>
      <c r="S662" s="49"/>
      <c r="T662" s="49"/>
      <c r="W662" s="49"/>
      <c r="X662" s="49"/>
      <c r="AA662" s="40" t="str">
        <f t="shared" si="10"/>
        <v/>
      </c>
    </row>
    <row r="663" spans="7:27" ht="15" customHeight="1" x14ac:dyDescent="0.25">
      <c r="AA663" s="40" t="str">
        <f t="shared" si="10"/>
        <v/>
      </c>
    </row>
    <row r="664" spans="7:27" ht="15" customHeight="1" x14ac:dyDescent="0.25">
      <c r="G664" s="77"/>
      <c r="S664" s="49"/>
      <c r="T664" s="49"/>
      <c r="W664" s="49"/>
      <c r="X664" s="49"/>
      <c r="AA664" s="40" t="str">
        <f t="shared" si="10"/>
        <v/>
      </c>
    </row>
    <row r="665" spans="7:27" ht="15" customHeight="1" x14ac:dyDescent="0.25">
      <c r="AA665" s="40" t="str">
        <f t="shared" si="10"/>
        <v/>
      </c>
    </row>
    <row r="666" spans="7:27" ht="15" customHeight="1" x14ac:dyDescent="0.25">
      <c r="G666" s="77"/>
      <c r="S666" s="49"/>
      <c r="T666" s="49"/>
      <c r="W666" s="49"/>
      <c r="X666" s="49"/>
      <c r="AA666" s="40" t="str">
        <f t="shared" si="10"/>
        <v/>
      </c>
    </row>
    <row r="667" spans="7:27" ht="15" customHeight="1" x14ac:dyDescent="0.25">
      <c r="AA667" s="40" t="str">
        <f t="shared" si="10"/>
        <v/>
      </c>
    </row>
    <row r="668" spans="7:27" ht="15" customHeight="1" x14ac:dyDescent="0.25">
      <c r="G668" s="77"/>
      <c r="S668" s="49"/>
      <c r="T668" s="49"/>
      <c r="W668" s="49"/>
      <c r="X668" s="49"/>
      <c r="AA668" s="40" t="str">
        <f t="shared" si="10"/>
        <v/>
      </c>
    </row>
    <row r="669" spans="7:27" ht="15" customHeight="1" x14ac:dyDescent="0.25">
      <c r="AA669" s="40" t="str">
        <f t="shared" si="10"/>
        <v/>
      </c>
    </row>
    <row r="670" spans="7:27" ht="15" customHeight="1" x14ac:dyDescent="0.25">
      <c r="S670" s="49"/>
      <c r="T670" s="49"/>
      <c r="W670" s="49"/>
      <c r="X670" s="49"/>
      <c r="AA670" s="40" t="str">
        <f t="shared" si="10"/>
        <v/>
      </c>
    </row>
    <row r="671" spans="7:27" ht="15" customHeight="1" x14ac:dyDescent="0.25">
      <c r="AA671" s="40" t="str">
        <f t="shared" si="10"/>
        <v/>
      </c>
    </row>
    <row r="672" spans="7:27" ht="15" customHeight="1" x14ac:dyDescent="0.25">
      <c r="S672" s="49"/>
      <c r="T672" s="49"/>
      <c r="W672" s="49"/>
      <c r="X672" s="49"/>
      <c r="AA672" s="40" t="str">
        <f t="shared" si="10"/>
        <v/>
      </c>
    </row>
    <row r="673" spans="7:27" ht="15" customHeight="1" x14ac:dyDescent="0.25">
      <c r="AA673" s="40" t="str">
        <f t="shared" si="10"/>
        <v/>
      </c>
    </row>
    <row r="674" spans="7:27" ht="15" customHeight="1" x14ac:dyDescent="0.25">
      <c r="S674" s="49"/>
      <c r="T674" s="49"/>
      <c r="W674" s="49"/>
      <c r="X674" s="49"/>
      <c r="AA674" s="40" t="str">
        <f t="shared" si="10"/>
        <v/>
      </c>
    </row>
    <row r="675" spans="7:27" ht="15" customHeight="1" x14ac:dyDescent="0.25">
      <c r="AA675" s="40" t="str">
        <f t="shared" si="10"/>
        <v/>
      </c>
    </row>
    <row r="676" spans="7:27" ht="15" customHeight="1" x14ac:dyDescent="0.25">
      <c r="S676" s="49"/>
      <c r="T676" s="49"/>
      <c r="W676" s="49"/>
      <c r="X676" s="49"/>
      <c r="AA676" s="40" t="str">
        <f t="shared" si="10"/>
        <v/>
      </c>
    </row>
    <row r="677" spans="7:27" ht="15" customHeight="1" x14ac:dyDescent="0.25">
      <c r="AA677" s="40" t="str">
        <f t="shared" si="10"/>
        <v/>
      </c>
    </row>
    <row r="678" spans="7:27" ht="15" customHeight="1" x14ac:dyDescent="0.25">
      <c r="G678" s="77"/>
      <c r="S678" s="49"/>
      <c r="T678" s="49"/>
      <c r="W678" s="49"/>
      <c r="X678" s="49"/>
      <c r="AA678" s="40" t="str">
        <f t="shared" si="10"/>
        <v/>
      </c>
    </row>
    <row r="679" spans="7:27" ht="15" customHeight="1" x14ac:dyDescent="0.25">
      <c r="AA679" s="40" t="str">
        <f t="shared" si="10"/>
        <v/>
      </c>
    </row>
    <row r="680" spans="7:27" ht="15" customHeight="1" x14ac:dyDescent="0.25">
      <c r="G680" s="77"/>
      <c r="S680" s="49"/>
      <c r="T680" s="49"/>
      <c r="W680" s="49"/>
      <c r="X680" s="49"/>
      <c r="AA680" s="40" t="str">
        <f t="shared" si="10"/>
        <v/>
      </c>
    </row>
    <row r="681" spans="7:27" ht="15" customHeight="1" x14ac:dyDescent="0.25">
      <c r="AA681" s="40" t="str">
        <f t="shared" si="10"/>
        <v/>
      </c>
    </row>
    <row r="682" spans="7:27" ht="15" customHeight="1" x14ac:dyDescent="0.25">
      <c r="G682" s="77"/>
      <c r="S682" s="49"/>
      <c r="T682" s="49"/>
      <c r="W682" s="49"/>
      <c r="X682" s="49"/>
      <c r="AA682" s="40" t="str">
        <f t="shared" si="10"/>
        <v/>
      </c>
    </row>
    <row r="683" spans="7:27" ht="15" customHeight="1" x14ac:dyDescent="0.25">
      <c r="AA683" s="40" t="str">
        <f t="shared" si="10"/>
        <v/>
      </c>
    </row>
    <row r="684" spans="7:27" ht="15" customHeight="1" x14ac:dyDescent="0.25">
      <c r="AA684" s="40" t="str">
        <f t="shared" si="10"/>
        <v/>
      </c>
    </row>
    <row r="685" spans="7:27" ht="15" customHeight="1" x14ac:dyDescent="0.25">
      <c r="AA685" s="40" t="str">
        <f t="shared" si="10"/>
        <v/>
      </c>
    </row>
    <row r="686" spans="7:27" ht="15" customHeight="1" x14ac:dyDescent="0.25">
      <c r="U686" s="50"/>
      <c r="V686" s="50"/>
      <c r="W686" s="77"/>
      <c r="X686" s="42"/>
      <c r="AA686" s="40" t="str">
        <f t="shared" si="10"/>
        <v/>
      </c>
    </row>
    <row r="687" spans="7:27" ht="15" customHeight="1" x14ac:dyDescent="0.25">
      <c r="AA687" s="40" t="str">
        <f t="shared" si="10"/>
        <v/>
      </c>
    </row>
    <row r="688" spans="7:27" ht="15" customHeight="1" x14ac:dyDescent="0.25">
      <c r="AA688" s="40" t="str">
        <f t="shared" si="10"/>
        <v/>
      </c>
    </row>
    <row r="689" spans="27:27" ht="15" customHeight="1" x14ac:dyDescent="0.25">
      <c r="AA689" s="40" t="str">
        <f t="shared" si="10"/>
        <v/>
      </c>
    </row>
    <row r="690" spans="27:27" ht="15" customHeight="1" x14ac:dyDescent="0.25">
      <c r="AA690" s="40" t="str">
        <f t="shared" si="10"/>
        <v/>
      </c>
    </row>
    <row r="691" spans="27:27" ht="15" customHeight="1" x14ac:dyDescent="0.25">
      <c r="AA691" s="40" t="str">
        <f t="shared" si="10"/>
        <v/>
      </c>
    </row>
    <row r="692" spans="27:27" ht="15" customHeight="1" x14ac:dyDescent="0.25">
      <c r="AA692" s="40" t="str">
        <f t="shared" si="10"/>
        <v/>
      </c>
    </row>
    <row r="693" spans="27:27" ht="15" customHeight="1" x14ac:dyDescent="0.25">
      <c r="AA693" s="40" t="str">
        <f t="shared" si="10"/>
        <v/>
      </c>
    </row>
    <row r="694" spans="27:27" ht="15" customHeight="1" x14ac:dyDescent="0.25">
      <c r="AA694" s="40" t="str">
        <f t="shared" si="10"/>
        <v/>
      </c>
    </row>
    <row r="695" spans="27:27" ht="15" customHeight="1" x14ac:dyDescent="0.25">
      <c r="AA695" s="40" t="str">
        <f t="shared" si="10"/>
        <v/>
      </c>
    </row>
    <row r="696" spans="27:27" ht="15" customHeight="1" x14ac:dyDescent="0.25">
      <c r="AA696" s="40" t="str">
        <f t="shared" si="10"/>
        <v/>
      </c>
    </row>
    <row r="697" spans="27:27" ht="15" customHeight="1" x14ac:dyDescent="0.25">
      <c r="AA697" s="40" t="str">
        <f t="shared" si="10"/>
        <v/>
      </c>
    </row>
    <row r="698" spans="27:27" ht="15" customHeight="1" x14ac:dyDescent="0.25">
      <c r="AA698" s="40" t="str">
        <f t="shared" si="10"/>
        <v/>
      </c>
    </row>
    <row r="699" spans="27:27" ht="15" customHeight="1" x14ac:dyDescent="0.25">
      <c r="AA699" s="40" t="str">
        <f t="shared" si="10"/>
        <v/>
      </c>
    </row>
    <row r="700" spans="27:27" ht="15" customHeight="1" x14ac:dyDescent="0.25">
      <c r="AA700" s="40" t="str">
        <f t="shared" si="10"/>
        <v/>
      </c>
    </row>
    <row r="701" spans="27:27" ht="15" customHeight="1" x14ac:dyDescent="0.25">
      <c r="AA701" s="40" t="str">
        <f t="shared" si="10"/>
        <v/>
      </c>
    </row>
    <row r="702" spans="27:27" ht="15" customHeight="1" x14ac:dyDescent="0.25">
      <c r="AA702" s="40" t="str">
        <f t="shared" si="10"/>
        <v/>
      </c>
    </row>
    <row r="703" spans="27:27" ht="15" customHeight="1" x14ac:dyDescent="0.25">
      <c r="AA703" s="40" t="str">
        <f t="shared" si="10"/>
        <v/>
      </c>
    </row>
    <row r="704" spans="27:27" ht="15" customHeight="1" x14ac:dyDescent="0.25">
      <c r="AA704" s="40" t="str">
        <f t="shared" si="10"/>
        <v/>
      </c>
    </row>
    <row r="705" spans="27:27" ht="15" customHeight="1" x14ac:dyDescent="0.25">
      <c r="AA705" s="40" t="str">
        <f t="shared" si="10"/>
        <v/>
      </c>
    </row>
    <row r="706" spans="27:27" ht="15" customHeight="1" x14ac:dyDescent="0.25">
      <c r="AA706" s="40" t="str">
        <f t="shared" si="10"/>
        <v/>
      </c>
    </row>
    <row r="707" spans="27:27" ht="15" customHeight="1" x14ac:dyDescent="0.25">
      <c r="AA707" s="40" t="str">
        <f t="shared" si="10"/>
        <v/>
      </c>
    </row>
    <row r="708" spans="27:27" ht="15" customHeight="1" x14ac:dyDescent="0.25">
      <c r="AA708" s="40" t="str">
        <f t="shared" si="10"/>
        <v/>
      </c>
    </row>
    <row r="709" spans="27:27" ht="15" customHeight="1" x14ac:dyDescent="0.25">
      <c r="AA709" s="40" t="str">
        <f t="shared" si="10"/>
        <v/>
      </c>
    </row>
    <row r="710" spans="27:27" ht="15" customHeight="1" x14ac:dyDescent="0.25">
      <c r="AA710" s="40" t="str">
        <f t="shared" si="10"/>
        <v/>
      </c>
    </row>
    <row r="711" spans="27:27" ht="15" customHeight="1" x14ac:dyDescent="0.25">
      <c r="AA711" s="40" t="str">
        <f t="shared" si="10"/>
        <v/>
      </c>
    </row>
    <row r="712" spans="27:27" ht="15" customHeight="1" x14ac:dyDescent="0.25">
      <c r="AA712" s="40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40" t="str">
        <f t="shared" si="11"/>
        <v/>
      </c>
    </row>
    <row r="714" spans="27:27" ht="15" customHeight="1" x14ac:dyDescent="0.25">
      <c r="AA714" s="40" t="str">
        <f t="shared" si="11"/>
        <v/>
      </c>
    </row>
    <row r="715" spans="27:27" ht="15" customHeight="1" x14ac:dyDescent="0.25">
      <c r="AA715" s="40" t="str">
        <f t="shared" si="11"/>
        <v/>
      </c>
    </row>
    <row r="716" spans="27:27" ht="15" customHeight="1" x14ac:dyDescent="0.25">
      <c r="AA716" s="40" t="str">
        <f t="shared" si="11"/>
        <v/>
      </c>
    </row>
    <row r="717" spans="27:27" ht="15" customHeight="1" x14ac:dyDescent="0.25">
      <c r="AA717" s="40" t="str">
        <f t="shared" si="11"/>
        <v/>
      </c>
    </row>
    <row r="718" spans="27:27" ht="15" customHeight="1" x14ac:dyDescent="0.25">
      <c r="AA718" s="40" t="str">
        <f t="shared" si="11"/>
        <v/>
      </c>
    </row>
    <row r="719" spans="27:27" ht="15" customHeight="1" x14ac:dyDescent="0.25">
      <c r="AA719" s="40" t="str">
        <f t="shared" si="11"/>
        <v/>
      </c>
    </row>
    <row r="720" spans="27:27" ht="15" customHeight="1" x14ac:dyDescent="0.25">
      <c r="AA720" s="40" t="str">
        <f t="shared" si="11"/>
        <v/>
      </c>
    </row>
    <row r="721" spans="27:27" ht="15" customHeight="1" x14ac:dyDescent="0.25">
      <c r="AA721" s="40" t="str">
        <f t="shared" si="11"/>
        <v/>
      </c>
    </row>
    <row r="722" spans="27:27" ht="15" customHeight="1" x14ac:dyDescent="0.25">
      <c r="AA722" s="40" t="str">
        <f t="shared" si="11"/>
        <v/>
      </c>
    </row>
    <row r="723" spans="27:27" ht="15" customHeight="1" x14ac:dyDescent="0.25">
      <c r="AA723" s="40" t="str">
        <f t="shared" si="11"/>
        <v/>
      </c>
    </row>
    <row r="724" spans="27:27" ht="15" customHeight="1" x14ac:dyDescent="0.25">
      <c r="AA724" s="40" t="str">
        <f t="shared" si="11"/>
        <v/>
      </c>
    </row>
    <row r="725" spans="27:27" ht="15" customHeight="1" x14ac:dyDescent="0.25">
      <c r="AA725" s="40" t="str">
        <f t="shared" si="11"/>
        <v/>
      </c>
    </row>
    <row r="726" spans="27:27" ht="15" customHeight="1" x14ac:dyDescent="0.25">
      <c r="AA726" s="40" t="str">
        <f t="shared" si="11"/>
        <v/>
      </c>
    </row>
    <row r="727" spans="27:27" ht="15" customHeight="1" x14ac:dyDescent="0.25">
      <c r="AA727" s="40" t="str">
        <f t="shared" si="11"/>
        <v/>
      </c>
    </row>
    <row r="728" spans="27:27" ht="15" customHeight="1" x14ac:dyDescent="0.25">
      <c r="AA728" s="40" t="str">
        <f t="shared" si="11"/>
        <v/>
      </c>
    </row>
    <row r="729" spans="27:27" ht="15" customHeight="1" x14ac:dyDescent="0.25">
      <c r="AA729" s="40" t="str">
        <f t="shared" si="11"/>
        <v/>
      </c>
    </row>
    <row r="730" spans="27:27" ht="15" customHeight="1" x14ac:dyDescent="0.25">
      <c r="AA730" s="40" t="str">
        <f t="shared" si="11"/>
        <v/>
      </c>
    </row>
    <row r="731" spans="27:27" ht="15" customHeight="1" x14ac:dyDescent="0.25">
      <c r="AA731" s="40" t="str">
        <f t="shared" si="11"/>
        <v/>
      </c>
    </row>
    <row r="732" spans="27:27" ht="15" customHeight="1" x14ac:dyDescent="0.25">
      <c r="AA732" s="40" t="str">
        <f t="shared" si="11"/>
        <v/>
      </c>
    </row>
    <row r="733" spans="27:27" ht="15" customHeight="1" x14ac:dyDescent="0.25">
      <c r="AA733" s="40" t="str">
        <f t="shared" si="11"/>
        <v/>
      </c>
    </row>
    <row r="734" spans="27:27" ht="15" customHeight="1" x14ac:dyDescent="0.25">
      <c r="AA734" s="40" t="str">
        <f t="shared" si="11"/>
        <v/>
      </c>
    </row>
    <row r="735" spans="27:27" ht="15" customHeight="1" x14ac:dyDescent="0.25">
      <c r="AA735" s="40" t="str">
        <f t="shared" si="11"/>
        <v/>
      </c>
    </row>
    <row r="736" spans="27:27" ht="15" customHeight="1" x14ac:dyDescent="0.25">
      <c r="AA736" s="40" t="str">
        <f t="shared" si="11"/>
        <v/>
      </c>
    </row>
    <row r="737" spans="27:27" ht="15" customHeight="1" x14ac:dyDescent="0.25">
      <c r="AA737" s="40" t="str">
        <f t="shared" si="11"/>
        <v/>
      </c>
    </row>
    <row r="738" spans="27:27" ht="15" customHeight="1" x14ac:dyDescent="0.25">
      <c r="AA738" s="40" t="str">
        <f t="shared" si="11"/>
        <v/>
      </c>
    </row>
    <row r="739" spans="27:27" ht="15" customHeight="1" x14ac:dyDescent="0.25">
      <c r="AA739" s="40" t="str">
        <f t="shared" si="11"/>
        <v/>
      </c>
    </row>
    <row r="740" spans="27:27" ht="15" customHeight="1" x14ac:dyDescent="0.25">
      <c r="AA740" s="40" t="str">
        <f t="shared" si="11"/>
        <v/>
      </c>
    </row>
    <row r="741" spans="27:27" ht="15" customHeight="1" x14ac:dyDescent="0.25">
      <c r="AA741" s="40" t="str">
        <f t="shared" si="11"/>
        <v/>
      </c>
    </row>
    <row r="742" spans="27:27" ht="15" customHeight="1" x14ac:dyDescent="0.25">
      <c r="AA742" s="40" t="str">
        <f t="shared" si="11"/>
        <v/>
      </c>
    </row>
    <row r="743" spans="27:27" ht="15" customHeight="1" x14ac:dyDescent="0.25">
      <c r="AA743" s="40" t="str">
        <f t="shared" si="11"/>
        <v/>
      </c>
    </row>
    <row r="744" spans="27:27" ht="15" customHeight="1" x14ac:dyDescent="0.25">
      <c r="AA744" s="40" t="str">
        <f t="shared" si="11"/>
        <v/>
      </c>
    </row>
    <row r="745" spans="27:27" ht="15" customHeight="1" x14ac:dyDescent="0.25">
      <c r="AA745" s="40" t="str">
        <f t="shared" si="11"/>
        <v/>
      </c>
    </row>
    <row r="746" spans="27:27" ht="15" customHeight="1" x14ac:dyDescent="0.25">
      <c r="AA746" s="40" t="str">
        <f t="shared" si="11"/>
        <v/>
      </c>
    </row>
    <row r="747" spans="27:27" ht="15" customHeight="1" x14ac:dyDescent="0.25">
      <c r="AA747" s="40" t="str">
        <f t="shared" si="11"/>
        <v/>
      </c>
    </row>
    <row r="748" spans="27:27" ht="15" customHeight="1" x14ac:dyDescent="0.25">
      <c r="AA748" s="40" t="str">
        <f t="shared" si="11"/>
        <v/>
      </c>
    </row>
    <row r="749" spans="27:27" ht="15" customHeight="1" x14ac:dyDescent="0.25">
      <c r="AA749" s="40" t="str">
        <f t="shared" si="11"/>
        <v/>
      </c>
    </row>
    <row r="750" spans="27:27" ht="15" customHeight="1" x14ac:dyDescent="0.25">
      <c r="AA750" s="40" t="str">
        <f t="shared" si="11"/>
        <v/>
      </c>
    </row>
    <row r="751" spans="27:27" ht="15" customHeight="1" x14ac:dyDescent="0.25">
      <c r="AA751" s="40" t="str">
        <f t="shared" si="11"/>
        <v/>
      </c>
    </row>
    <row r="752" spans="27:27" ht="15" customHeight="1" x14ac:dyDescent="0.25">
      <c r="AA752" s="40" t="str">
        <f t="shared" si="11"/>
        <v/>
      </c>
    </row>
    <row r="753" spans="27:27" ht="15" customHeight="1" x14ac:dyDescent="0.25">
      <c r="AA753" s="40" t="str">
        <f t="shared" si="11"/>
        <v/>
      </c>
    </row>
    <row r="754" spans="27:27" ht="15" customHeight="1" x14ac:dyDescent="0.25">
      <c r="AA754" s="40" t="str">
        <f t="shared" si="11"/>
        <v/>
      </c>
    </row>
    <row r="755" spans="27:27" ht="15" customHeight="1" x14ac:dyDescent="0.25">
      <c r="AA755" s="40" t="str">
        <f t="shared" si="11"/>
        <v/>
      </c>
    </row>
    <row r="756" spans="27:27" ht="15" customHeight="1" x14ac:dyDescent="0.25">
      <c r="AA756" s="40" t="str">
        <f t="shared" si="11"/>
        <v/>
      </c>
    </row>
    <row r="757" spans="27:27" ht="15" customHeight="1" x14ac:dyDescent="0.25">
      <c r="AA757" s="40" t="str">
        <f t="shared" si="11"/>
        <v/>
      </c>
    </row>
    <row r="758" spans="27:27" ht="15" customHeight="1" x14ac:dyDescent="0.25">
      <c r="AA758" s="40" t="str">
        <f t="shared" si="11"/>
        <v/>
      </c>
    </row>
    <row r="759" spans="27:27" ht="15" customHeight="1" x14ac:dyDescent="0.25">
      <c r="AA759" s="40" t="str">
        <f t="shared" si="11"/>
        <v/>
      </c>
    </row>
    <row r="760" spans="27:27" ht="15" customHeight="1" x14ac:dyDescent="0.25">
      <c r="AA760" s="40" t="str">
        <f t="shared" si="11"/>
        <v/>
      </c>
    </row>
    <row r="761" spans="27:27" ht="15" customHeight="1" x14ac:dyDescent="0.25">
      <c r="AA761" s="40" t="str">
        <f t="shared" si="11"/>
        <v/>
      </c>
    </row>
    <row r="762" spans="27:27" ht="15" customHeight="1" x14ac:dyDescent="0.25">
      <c r="AA762" s="40" t="str">
        <f t="shared" si="11"/>
        <v/>
      </c>
    </row>
    <row r="763" spans="27:27" ht="15" customHeight="1" x14ac:dyDescent="0.25">
      <c r="AA763" s="40" t="str">
        <f t="shared" si="11"/>
        <v/>
      </c>
    </row>
    <row r="764" spans="27:27" ht="15" customHeight="1" x14ac:dyDescent="0.25">
      <c r="AA764" s="40" t="str">
        <f t="shared" si="11"/>
        <v/>
      </c>
    </row>
    <row r="765" spans="27:27" ht="15" customHeight="1" x14ac:dyDescent="0.25">
      <c r="AA765" s="40" t="str">
        <f t="shared" si="11"/>
        <v/>
      </c>
    </row>
    <row r="766" spans="27:27" ht="15" customHeight="1" x14ac:dyDescent="0.25">
      <c r="AA766" s="40" t="str">
        <f t="shared" si="11"/>
        <v/>
      </c>
    </row>
    <row r="767" spans="27:27" ht="15" customHeight="1" x14ac:dyDescent="0.25">
      <c r="AA767" s="40" t="str">
        <f t="shared" si="11"/>
        <v/>
      </c>
    </row>
    <row r="768" spans="27:27" ht="15" customHeight="1" x14ac:dyDescent="0.25">
      <c r="AA768" s="40" t="str">
        <f t="shared" si="11"/>
        <v/>
      </c>
    </row>
    <row r="769" spans="27:27" ht="15" customHeight="1" x14ac:dyDescent="0.25">
      <c r="AA769" s="40" t="str">
        <f t="shared" si="11"/>
        <v/>
      </c>
    </row>
    <row r="770" spans="27:27" ht="15" customHeight="1" x14ac:dyDescent="0.25">
      <c r="AA770" s="40" t="str">
        <f t="shared" si="11"/>
        <v/>
      </c>
    </row>
    <row r="771" spans="27:27" ht="15" customHeight="1" x14ac:dyDescent="0.25">
      <c r="AA771" s="40" t="str">
        <f t="shared" si="11"/>
        <v/>
      </c>
    </row>
    <row r="772" spans="27:27" ht="15" customHeight="1" x14ac:dyDescent="0.25">
      <c r="AA772" s="40" t="str">
        <f t="shared" si="11"/>
        <v/>
      </c>
    </row>
    <row r="773" spans="27:27" ht="15" customHeight="1" x14ac:dyDescent="0.25">
      <c r="AA773" s="40" t="str">
        <f t="shared" si="11"/>
        <v/>
      </c>
    </row>
    <row r="774" spans="27:27" ht="15" customHeight="1" x14ac:dyDescent="0.25">
      <c r="AA774" s="40" t="str">
        <f t="shared" si="11"/>
        <v/>
      </c>
    </row>
    <row r="775" spans="27:27" ht="15" customHeight="1" x14ac:dyDescent="0.25">
      <c r="AA775" s="40" t="str">
        <f t="shared" si="11"/>
        <v/>
      </c>
    </row>
    <row r="776" spans="27:27" ht="15" customHeight="1" x14ac:dyDescent="0.25">
      <c r="AA776" s="40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40" t="str">
        <f t="shared" si="12"/>
        <v/>
      </c>
    </row>
    <row r="778" spans="27:27" ht="15" customHeight="1" x14ac:dyDescent="0.25">
      <c r="AA778" s="40" t="str">
        <f t="shared" si="12"/>
        <v/>
      </c>
    </row>
    <row r="779" spans="27:27" ht="15" customHeight="1" x14ac:dyDescent="0.25">
      <c r="AA779" s="40" t="str">
        <f t="shared" si="12"/>
        <v/>
      </c>
    </row>
    <row r="780" spans="27:27" ht="15" customHeight="1" x14ac:dyDescent="0.25">
      <c r="AA780" s="40" t="str">
        <f t="shared" si="12"/>
        <v/>
      </c>
    </row>
    <row r="781" spans="27:27" ht="15" customHeight="1" x14ac:dyDescent="0.25">
      <c r="AA781" s="40" t="str">
        <f t="shared" si="12"/>
        <v/>
      </c>
    </row>
    <row r="782" spans="27:27" ht="15" customHeight="1" x14ac:dyDescent="0.25">
      <c r="AA782" s="40" t="str">
        <f t="shared" si="12"/>
        <v/>
      </c>
    </row>
    <row r="783" spans="27:27" ht="15" customHeight="1" x14ac:dyDescent="0.25">
      <c r="AA783" s="40" t="str">
        <f t="shared" si="12"/>
        <v/>
      </c>
    </row>
    <row r="784" spans="27:27" ht="15" customHeight="1" x14ac:dyDescent="0.25">
      <c r="AA784" s="40" t="str">
        <f t="shared" si="12"/>
        <v/>
      </c>
    </row>
    <row r="785" spans="27:27" ht="15" customHeight="1" x14ac:dyDescent="0.25">
      <c r="AA785" s="40" t="str">
        <f t="shared" si="12"/>
        <v/>
      </c>
    </row>
    <row r="786" spans="27:27" ht="15" customHeight="1" x14ac:dyDescent="0.25">
      <c r="AA786" s="40" t="str">
        <f t="shared" si="12"/>
        <v/>
      </c>
    </row>
    <row r="787" spans="27:27" ht="15" customHeight="1" x14ac:dyDescent="0.25">
      <c r="AA787" s="40" t="str">
        <f t="shared" si="12"/>
        <v/>
      </c>
    </row>
    <row r="788" spans="27:27" ht="15" customHeight="1" x14ac:dyDescent="0.25">
      <c r="AA788" s="40" t="str">
        <f t="shared" si="12"/>
        <v/>
      </c>
    </row>
    <row r="789" spans="27:27" ht="15" customHeight="1" x14ac:dyDescent="0.25">
      <c r="AA789" s="40" t="str">
        <f t="shared" si="12"/>
        <v/>
      </c>
    </row>
    <row r="790" spans="27:27" ht="15" customHeight="1" x14ac:dyDescent="0.25">
      <c r="AA790" s="40" t="str">
        <f t="shared" si="12"/>
        <v/>
      </c>
    </row>
    <row r="791" spans="27:27" ht="15" customHeight="1" x14ac:dyDescent="0.25">
      <c r="AA791" s="40" t="str">
        <f t="shared" si="12"/>
        <v/>
      </c>
    </row>
    <row r="792" spans="27:27" ht="15" customHeight="1" x14ac:dyDescent="0.25">
      <c r="AA792" s="40" t="str">
        <f t="shared" si="12"/>
        <v/>
      </c>
    </row>
    <row r="793" spans="27:27" ht="15" customHeight="1" x14ac:dyDescent="0.25">
      <c r="AA793" s="40" t="str">
        <f t="shared" si="12"/>
        <v/>
      </c>
    </row>
    <row r="794" spans="27:27" ht="15" customHeight="1" x14ac:dyDescent="0.25">
      <c r="AA794" s="40" t="str">
        <f t="shared" si="12"/>
        <v/>
      </c>
    </row>
    <row r="795" spans="27:27" ht="15" customHeight="1" x14ac:dyDescent="0.25">
      <c r="AA795" s="40" t="str">
        <f t="shared" si="12"/>
        <v/>
      </c>
    </row>
    <row r="796" spans="27:27" ht="15" customHeight="1" x14ac:dyDescent="0.25">
      <c r="AA796" s="40" t="str">
        <f t="shared" si="12"/>
        <v/>
      </c>
    </row>
    <row r="797" spans="27:27" ht="15" customHeight="1" x14ac:dyDescent="0.25">
      <c r="AA797" s="40" t="str">
        <f t="shared" si="12"/>
        <v/>
      </c>
    </row>
    <row r="798" spans="27:27" ht="15" customHeight="1" x14ac:dyDescent="0.25">
      <c r="AA798" s="40" t="str">
        <f t="shared" si="12"/>
        <v/>
      </c>
    </row>
    <row r="799" spans="27:27" ht="15" customHeight="1" x14ac:dyDescent="0.25">
      <c r="AA799" s="40" t="str">
        <f t="shared" si="12"/>
        <v/>
      </c>
    </row>
    <row r="800" spans="27:27" ht="15" customHeight="1" x14ac:dyDescent="0.25">
      <c r="AA800" s="40" t="str">
        <f t="shared" si="12"/>
        <v/>
      </c>
    </row>
    <row r="801" spans="27:27" ht="15" customHeight="1" x14ac:dyDescent="0.25">
      <c r="AA801" s="40" t="str">
        <f t="shared" si="12"/>
        <v/>
      </c>
    </row>
    <row r="802" spans="27:27" ht="15" customHeight="1" x14ac:dyDescent="0.25">
      <c r="AA802" s="40" t="str">
        <f t="shared" si="12"/>
        <v/>
      </c>
    </row>
    <row r="803" spans="27:27" ht="15" customHeight="1" x14ac:dyDescent="0.25">
      <c r="AA803" s="40" t="str">
        <f t="shared" si="12"/>
        <v/>
      </c>
    </row>
    <row r="804" spans="27:27" ht="15" customHeight="1" x14ac:dyDescent="0.25">
      <c r="AA804" s="40" t="str">
        <f t="shared" si="12"/>
        <v/>
      </c>
    </row>
    <row r="805" spans="27:27" ht="15" customHeight="1" x14ac:dyDescent="0.25">
      <c r="AA805" s="40" t="str">
        <f t="shared" si="12"/>
        <v/>
      </c>
    </row>
    <row r="806" spans="27:27" ht="15" customHeight="1" x14ac:dyDescent="0.25">
      <c r="AA806" s="40" t="str">
        <f t="shared" si="12"/>
        <v/>
      </c>
    </row>
    <row r="807" spans="27:27" ht="15" customHeight="1" x14ac:dyDescent="0.25">
      <c r="AA807" s="40" t="str">
        <f t="shared" si="12"/>
        <v/>
      </c>
    </row>
    <row r="808" spans="27:27" ht="15" customHeight="1" x14ac:dyDescent="0.25">
      <c r="AA808" s="40" t="str">
        <f t="shared" si="12"/>
        <v/>
      </c>
    </row>
    <row r="809" spans="27:27" ht="15" customHeight="1" x14ac:dyDescent="0.25">
      <c r="AA809" s="40" t="str">
        <f t="shared" si="12"/>
        <v/>
      </c>
    </row>
    <row r="810" spans="27:27" ht="15" customHeight="1" x14ac:dyDescent="0.25">
      <c r="AA810" s="40" t="str">
        <f t="shared" si="12"/>
        <v/>
      </c>
    </row>
    <row r="811" spans="27:27" ht="15" customHeight="1" x14ac:dyDescent="0.25">
      <c r="AA811" s="40" t="str">
        <f t="shared" si="12"/>
        <v/>
      </c>
    </row>
    <row r="812" spans="27:27" ht="15" customHeight="1" x14ac:dyDescent="0.25">
      <c r="AA812" s="40" t="str">
        <f t="shared" si="12"/>
        <v/>
      </c>
    </row>
    <row r="813" spans="27:27" ht="15" customHeight="1" x14ac:dyDescent="0.25">
      <c r="AA813" s="40" t="str">
        <f t="shared" si="12"/>
        <v/>
      </c>
    </row>
    <row r="814" spans="27:27" ht="15" customHeight="1" x14ac:dyDescent="0.25">
      <c r="AA814" s="40" t="str">
        <f t="shared" si="12"/>
        <v/>
      </c>
    </row>
    <row r="815" spans="27:27" ht="15" customHeight="1" x14ac:dyDescent="0.25">
      <c r="AA815" s="40" t="str">
        <f t="shared" si="12"/>
        <v/>
      </c>
    </row>
    <row r="816" spans="27:27" ht="15" customHeight="1" x14ac:dyDescent="0.25">
      <c r="AA816" s="40" t="str">
        <f t="shared" si="12"/>
        <v/>
      </c>
    </row>
    <row r="817" spans="27:27" ht="15" customHeight="1" x14ac:dyDescent="0.25">
      <c r="AA817" s="40" t="str">
        <f t="shared" si="12"/>
        <v/>
      </c>
    </row>
    <row r="818" spans="27:27" ht="15" customHeight="1" x14ac:dyDescent="0.25">
      <c r="AA818" s="40" t="str">
        <f t="shared" si="12"/>
        <v/>
      </c>
    </row>
    <row r="819" spans="27:27" ht="15" customHeight="1" x14ac:dyDescent="0.25">
      <c r="AA819" s="40" t="str">
        <f t="shared" si="12"/>
        <v/>
      </c>
    </row>
    <row r="820" spans="27:27" ht="15" customHeight="1" x14ac:dyDescent="0.25">
      <c r="AA820" s="40" t="str">
        <f t="shared" si="12"/>
        <v/>
      </c>
    </row>
    <row r="821" spans="27:27" ht="15" customHeight="1" x14ac:dyDescent="0.25">
      <c r="AA821" s="40" t="str">
        <f t="shared" si="12"/>
        <v/>
      </c>
    </row>
    <row r="822" spans="27:27" ht="15" customHeight="1" x14ac:dyDescent="0.25">
      <c r="AA822" s="40" t="str">
        <f t="shared" si="12"/>
        <v/>
      </c>
    </row>
    <row r="823" spans="27:27" ht="15" customHeight="1" x14ac:dyDescent="0.25">
      <c r="AA823" s="40" t="str">
        <f t="shared" si="12"/>
        <v/>
      </c>
    </row>
    <row r="824" spans="27:27" ht="15" customHeight="1" x14ac:dyDescent="0.25">
      <c r="AA824" s="40" t="str">
        <f t="shared" si="12"/>
        <v/>
      </c>
    </row>
    <row r="825" spans="27:27" ht="15" customHeight="1" x14ac:dyDescent="0.25">
      <c r="AA825" s="40" t="str">
        <f t="shared" si="12"/>
        <v/>
      </c>
    </row>
    <row r="826" spans="27:27" ht="15" customHeight="1" x14ac:dyDescent="0.25">
      <c r="AA826" s="40" t="str">
        <f t="shared" si="12"/>
        <v/>
      </c>
    </row>
    <row r="827" spans="27:27" ht="15" customHeight="1" x14ac:dyDescent="0.25">
      <c r="AA827" s="40" t="str">
        <f t="shared" si="12"/>
        <v/>
      </c>
    </row>
    <row r="828" spans="27:27" ht="15" customHeight="1" x14ac:dyDescent="0.25">
      <c r="AA828" s="40" t="str">
        <f t="shared" si="12"/>
        <v/>
      </c>
    </row>
    <row r="829" spans="27:27" ht="15" customHeight="1" x14ac:dyDescent="0.25">
      <c r="AA829" s="40" t="str">
        <f t="shared" si="12"/>
        <v/>
      </c>
    </row>
    <row r="830" spans="27:27" ht="15" customHeight="1" x14ac:dyDescent="0.25">
      <c r="AA830" s="40" t="str">
        <f t="shared" si="12"/>
        <v/>
      </c>
    </row>
    <row r="831" spans="27:27" ht="15" customHeight="1" x14ac:dyDescent="0.25">
      <c r="AA831" s="40" t="str">
        <f t="shared" si="12"/>
        <v/>
      </c>
    </row>
    <row r="832" spans="27:27" ht="15" customHeight="1" x14ac:dyDescent="0.25">
      <c r="AA832" s="40" t="str">
        <f t="shared" si="12"/>
        <v/>
      </c>
    </row>
    <row r="833" spans="27:27" ht="15" customHeight="1" x14ac:dyDescent="0.25">
      <c r="AA833" s="40" t="str">
        <f t="shared" si="12"/>
        <v/>
      </c>
    </row>
    <row r="834" spans="27:27" ht="15" customHeight="1" x14ac:dyDescent="0.25">
      <c r="AA834" s="40" t="str">
        <f t="shared" si="12"/>
        <v/>
      </c>
    </row>
    <row r="835" spans="27:27" ht="15" customHeight="1" x14ac:dyDescent="0.25">
      <c r="AA835" s="40" t="str">
        <f t="shared" si="12"/>
        <v/>
      </c>
    </row>
    <row r="836" spans="27:27" ht="15" customHeight="1" x14ac:dyDescent="0.25">
      <c r="AA836" s="40" t="str">
        <f t="shared" si="12"/>
        <v/>
      </c>
    </row>
    <row r="837" spans="27:27" ht="15" customHeight="1" x14ac:dyDescent="0.25">
      <c r="AA837" s="40" t="str">
        <f t="shared" si="12"/>
        <v/>
      </c>
    </row>
    <row r="838" spans="27:27" ht="15" customHeight="1" x14ac:dyDescent="0.25">
      <c r="AA838" s="40" t="str">
        <f t="shared" si="12"/>
        <v/>
      </c>
    </row>
    <row r="839" spans="27:27" ht="15" customHeight="1" x14ac:dyDescent="0.25">
      <c r="AA839" s="40" t="str">
        <f t="shared" si="12"/>
        <v/>
      </c>
    </row>
    <row r="840" spans="27:27" ht="15" customHeight="1" x14ac:dyDescent="0.25">
      <c r="AA840" s="40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40" t="str">
        <f t="shared" si="13"/>
        <v/>
      </c>
    </row>
    <row r="842" spans="27:27" ht="15" customHeight="1" x14ac:dyDescent="0.25">
      <c r="AA842" s="40" t="str">
        <f t="shared" si="13"/>
        <v/>
      </c>
    </row>
    <row r="843" spans="27:27" ht="15" customHeight="1" x14ac:dyDescent="0.25">
      <c r="AA843" s="40" t="str">
        <f t="shared" si="13"/>
        <v/>
      </c>
    </row>
    <row r="844" spans="27:27" ht="15" customHeight="1" x14ac:dyDescent="0.25">
      <c r="AA844" s="40" t="str">
        <f t="shared" si="13"/>
        <v/>
      </c>
    </row>
    <row r="845" spans="27:27" ht="15" customHeight="1" x14ac:dyDescent="0.25">
      <c r="AA845" s="40" t="str">
        <f t="shared" si="13"/>
        <v/>
      </c>
    </row>
    <row r="846" spans="27:27" ht="15" customHeight="1" x14ac:dyDescent="0.25">
      <c r="AA846" s="40" t="str">
        <f t="shared" si="13"/>
        <v/>
      </c>
    </row>
    <row r="847" spans="27:27" ht="15" customHeight="1" x14ac:dyDescent="0.25">
      <c r="AA847" s="40" t="str">
        <f t="shared" si="13"/>
        <v/>
      </c>
    </row>
    <row r="848" spans="27:27" ht="15" customHeight="1" x14ac:dyDescent="0.25">
      <c r="AA848" s="40" t="str">
        <f t="shared" si="13"/>
        <v/>
      </c>
    </row>
    <row r="849" spans="27:27" ht="15" customHeight="1" x14ac:dyDescent="0.25">
      <c r="AA849" s="40" t="str">
        <f t="shared" si="13"/>
        <v/>
      </c>
    </row>
    <row r="850" spans="27:27" ht="15" customHeight="1" x14ac:dyDescent="0.25">
      <c r="AA850" s="40" t="str">
        <f t="shared" si="13"/>
        <v/>
      </c>
    </row>
    <row r="851" spans="27:27" ht="15" customHeight="1" x14ac:dyDescent="0.25">
      <c r="AA851" s="40" t="str">
        <f t="shared" si="13"/>
        <v/>
      </c>
    </row>
    <row r="852" spans="27:27" ht="15" customHeight="1" x14ac:dyDescent="0.25">
      <c r="AA852" s="40" t="str">
        <f t="shared" si="13"/>
        <v/>
      </c>
    </row>
    <row r="853" spans="27:27" ht="15" customHeight="1" x14ac:dyDescent="0.25">
      <c r="AA853" s="40" t="str">
        <f t="shared" si="13"/>
        <v/>
      </c>
    </row>
    <row r="854" spans="27:27" ht="15" customHeight="1" x14ac:dyDescent="0.25">
      <c r="AA854" s="40" t="str">
        <f t="shared" si="13"/>
        <v/>
      </c>
    </row>
    <row r="855" spans="27:27" ht="15" customHeight="1" x14ac:dyDescent="0.25">
      <c r="AA855" s="40" t="str">
        <f t="shared" si="13"/>
        <v/>
      </c>
    </row>
    <row r="856" spans="27:27" ht="15" customHeight="1" x14ac:dyDescent="0.25">
      <c r="AA856" s="40" t="str">
        <f t="shared" si="13"/>
        <v/>
      </c>
    </row>
    <row r="857" spans="27:27" ht="15" customHeight="1" x14ac:dyDescent="0.25">
      <c r="AA857" s="40" t="str">
        <f t="shared" si="13"/>
        <v/>
      </c>
    </row>
    <row r="858" spans="27:27" ht="15" customHeight="1" x14ac:dyDescent="0.25">
      <c r="AA858" s="40" t="str">
        <f t="shared" si="13"/>
        <v/>
      </c>
    </row>
    <row r="859" spans="27:27" ht="15" customHeight="1" x14ac:dyDescent="0.25">
      <c r="AA859" s="40" t="str">
        <f t="shared" si="13"/>
        <v/>
      </c>
    </row>
    <row r="860" spans="27:27" ht="15" customHeight="1" x14ac:dyDescent="0.25">
      <c r="AA860" s="40" t="str">
        <f t="shared" si="13"/>
        <v/>
      </c>
    </row>
    <row r="861" spans="27:27" ht="15" customHeight="1" x14ac:dyDescent="0.25">
      <c r="AA861" s="40" t="str">
        <f t="shared" si="13"/>
        <v/>
      </c>
    </row>
    <row r="862" spans="27:27" ht="15" customHeight="1" x14ac:dyDescent="0.25">
      <c r="AA862" s="40" t="str">
        <f t="shared" si="13"/>
        <v/>
      </c>
    </row>
    <row r="863" spans="27:27" ht="15" customHeight="1" x14ac:dyDescent="0.25">
      <c r="AA863" s="40" t="str">
        <f t="shared" si="13"/>
        <v/>
      </c>
    </row>
    <row r="864" spans="27:27" ht="15" customHeight="1" x14ac:dyDescent="0.25">
      <c r="AA864" s="40" t="str">
        <f t="shared" si="13"/>
        <v/>
      </c>
    </row>
    <row r="865" spans="27:27" ht="15" customHeight="1" x14ac:dyDescent="0.25">
      <c r="AA865" s="40" t="str">
        <f t="shared" si="13"/>
        <v/>
      </c>
    </row>
    <row r="866" spans="27:27" ht="15" customHeight="1" x14ac:dyDescent="0.25">
      <c r="AA866" s="40" t="str">
        <f t="shared" si="13"/>
        <v/>
      </c>
    </row>
    <row r="867" spans="27:27" ht="15" customHeight="1" x14ac:dyDescent="0.25">
      <c r="AA867" s="40" t="str">
        <f t="shared" si="13"/>
        <v/>
      </c>
    </row>
    <row r="868" spans="27:27" ht="15" customHeight="1" x14ac:dyDescent="0.25">
      <c r="AA868" s="40" t="str">
        <f t="shared" si="13"/>
        <v/>
      </c>
    </row>
    <row r="869" spans="27:27" ht="15" customHeight="1" x14ac:dyDescent="0.25">
      <c r="AA869" s="40" t="str">
        <f t="shared" si="13"/>
        <v/>
      </c>
    </row>
    <row r="870" spans="27:27" ht="15" customHeight="1" x14ac:dyDescent="0.25">
      <c r="AA870" s="40" t="str">
        <f t="shared" si="13"/>
        <v/>
      </c>
    </row>
    <row r="871" spans="27:27" ht="15" customHeight="1" x14ac:dyDescent="0.25">
      <c r="AA871" s="40" t="str">
        <f t="shared" si="13"/>
        <v/>
      </c>
    </row>
    <row r="872" spans="27:27" ht="15" customHeight="1" x14ac:dyDescent="0.25">
      <c r="AA872" s="40" t="str">
        <f t="shared" si="13"/>
        <v/>
      </c>
    </row>
    <row r="873" spans="27:27" ht="15" customHeight="1" x14ac:dyDescent="0.25">
      <c r="AA873" s="40" t="str">
        <f t="shared" si="13"/>
        <v/>
      </c>
    </row>
    <row r="874" spans="27:27" ht="15" customHeight="1" x14ac:dyDescent="0.25">
      <c r="AA874" s="40" t="str">
        <f t="shared" si="13"/>
        <v/>
      </c>
    </row>
    <row r="875" spans="27:27" ht="15" customHeight="1" x14ac:dyDescent="0.25">
      <c r="AA875" s="40" t="str">
        <f t="shared" si="13"/>
        <v/>
      </c>
    </row>
    <row r="876" spans="27:27" ht="15" customHeight="1" x14ac:dyDescent="0.25">
      <c r="AA876" s="40" t="str">
        <f t="shared" si="13"/>
        <v/>
      </c>
    </row>
    <row r="877" spans="27:27" ht="15" customHeight="1" x14ac:dyDescent="0.25">
      <c r="AA877" s="40" t="str">
        <f t="shared" si="13"/>
        <v/>
      </c>
    </row>
    <row r="878" spans="27:27" ht="15" customHeight="1" x14ac:dyDescent="0.25">
      <c r="AA878" s="40" t="str">
        <f t="shared" si="13"/>
        <v/>
      </c>
    </row>
    <row r="879" spans="27:27" ht="15" customHeight="1" x14ac:dyDescent="0.25">
      <c r="AA879" s="40" t="str">
        <f t="shared" si="13"/>
        <v/>
      </c>
    </row>
    <row r="880" spans="27:27" ht="15" customHeight="1" x14ac:dyDescent="0.25">
      <c r="AA880" s="40" t="str">
        <f t="shared" si="13"/>
        <v/>
      </c>
    </row>
    <row r="881" spans="27:27" ht="15" customHeight="1" x14ac:dyDescent="0.25">
      <c r="AA881" s="40" t="str">
        <f t="shared" si="13"/>
        <v/>
      </c>
    </row>
    <row r="882" spans="27:27" ht="15" customHeight="1" x14ac:dyDescent="0.25">
      <c r="AA882" s="40" t="str">
        <f t="shared" si="13"/>
        <v/>
      </c>
    </row>
    <row r="883" spans="27:27" ht="15" customHeight="1" x14ac:dyDescent="0.25">
      <c r="AA883" s="40" t="str">
        <f t="shared" si="13"/>
        <v/>
      </c>
    </row>
    <row r="884" spans="27:27" ht="15" customHeight="1" x14ac:dyDescent="0.25">
      <c r="AA884" s="40" t="str">
        <f t="shared" si="13"/>
        <v/>
      </c>
    </row>
    <row r="885" spans="27:27" ht="15" customHeight="1" x14ac:dyDescent="0.25">
      <c r="AA885" s="40" t="str">
        <f t="shared" si="13"/>
        <v/>
      </c>
    </row>
    <row r="886" spans="27:27" ht="15" customHeight="1" x14ac:dyDescent="0.25">
      <c r="AA886" s="40" t="str">
        <f t="shared" si="13"/>
        <v/>
      </c>
    </row>
    <row r="887" spans="27:27" ht="15" customHeight="1" x14ac:dyDescent="0.25">
      <c r="AA887" s="40" t="str">
        <f t="shared" si="13"/>
        <v/>
      </c>
    </row>
    <row r="888" spans="27:27" ht="15" customHeight="1" x14ac:dyDescent="0.25">
      <c r="AA888" s="40" t="str">
        <f t="shared" si="13"/>
        <v/>
      </c>
    </row>
    <row r="889" spans="27:27" ht="15" customHeight="1" x14ac:dyDescent="0.25">
      <c r="AA889" s="40" t="str">
        <f t="shared" si="13"/>
        <v/>
      </c>
    </row>
    <row r="890" spans="27:27" ht="15" customHeight="1" x14ac:dyDescent="0.25">
      <c r="AA890" s="40" t="str">
        <f t="shared" si="13"/>
        <v/>
      </c>
    </row>
    <row r="891" spans="27:27" ht="15" customHeight="1" x14ac:dyDescent="0.25">
      <c r="AA891" s="40" t="str">
        <f t="shared" si="13"/>
        <v/>
      </c>
    </row>
    <row r="892" spans="27:27" ht="15" customHeight="1" x14ac:dyDescent="0.25">
      <c r="AA892" s="40" t="str">
        <f t="shared" si="13"/>
        <v/>
      </c>
    </row>
    <row r="893" spans="27:27" ht="15" customHeight="1" x14ac:dyDescent="0.25">
      <c r="AA893" s="40" t="str">
        <f t="shared" si="13"/>
        <v/>
      </c>
    </row>
    <row r="894" spans="27:27" ht="15" customHeight="1" x14ac:dyDescent="0.25">
      <c r="AA894" s="40" t="str">
        <f t="shared" si="13"/>
        <v/>
      </c>
    </row>
    <row r="895" spans="27:27" ht="15" customHeight="1" x14ac:dyDescent="0.25">
      <c r="AA895" s="40" t="str">
        <f t="shared" si="13"/>
        <v/>
      </c>
    </row>
    <row r="896" spans="27:27" ht="15" customHeight="1" x14ac:dyDescent="0.25">
      <c r="AA896" s="40" t="str">
        <f t="shared" si="13"/>
        <v/>
      </c>
    </row>
    <row r="897" spans="27:27" ht="15" customHeight="1" x14ac:dyDescent="0.25">
      <c r="AA897" s="40" t="str">
        <f t="shared" si="13"/>
        <v/>
      </c>
    </row>
    <row r="898" spans="27:27" ht="15" customHeight="1" x14ac:dyDescent="0.25">
      <c r="AA898" s="40" t="str">
        <f t="shared" si="13"/>
        <v/>
      </c>
    </row>
    <row r="899" spans="27:27" ht="15" customHeight="1" x14ac:dyDescent="0.25">
      <c r="AA899" s="40" t="str">
        <f t="shared" si="13"/>
        <v/>
      </c>
    </row>
    <row r="900" spans="27:27" ht="15" customHeight="1" x14ac:dyDescent="0.25">
      <c r="AA900" s="40" t="str">
        <f t="shared" si="13"/>
        <v/>
      </c>
    </row>
    <row r="901" spans="27:27" ht="15" customHeight="1" x14ac:dyDescent="0.25">
      <c r="AA901" s="40" t="str">
        <f t="shared" si="13"/>
        <v/>
      </c>
    </row>
    <row r="902" spans="27:27" ht="15" customHeight="1" x14ac:dyDescent="0.25">
      <c r="AA902" s="40" t="str">
        <f t="shared" si="13"/>
        <v/>
      </c>
    </row>
    <row r="903" spans="27:27" ht="15" customHeight="1" x14ac:dyDescent="0.25">
      <c r="AA903" s="40" t="str">
        <f t="shared" si="13"/>
        <v/>
      </c>
    </row>
    <row r="904" spans="27:27" ht="15" customHeight="1" x14ac:dyDescent="0.25">
      <c r="AA904" s="40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40" t="str">
        <f t="shared" si="14"/>
        <v/>
      </c>
    </row>
    <row r="906" spans="27:27" ht="15" customHeight="1" x14ac:dyDescent="0.25">
      <c r="AA906" s="40" t="str">
        <f t="shared" si="14"/>
        <v/>
      </c>
    </row>
    <row r="907" spans="27:27" ht="15" customHeight="1" x14ac:dyDescent="0.25">
      <c r="AA907" s="40" t="str">
        <f t="shared" si="14"/>
        <v/>
      </c>
    </row>
    <row r="908" spans="27:27" ht="15" customHeight="1" x14ac:dyDescent="0.25">
      <c r="AA908" s="40" t="str">
        <f t="shared" si="14"/>
        <v/>
      </c>
    </row>
    <row r="909" spans="27:27" ht="15" customHeight="1" x14ac:dyDescent="0.25">
      <c r="AA909" s="40" t="str">
        <f t="shared" si="14"/>
        <v/>
      </c>
    </row>
    <row r="910" spans="27:27" ht="15" customHeight="1" x14ac:dyDescent="0.25">
      <c r="AA910" s="40" t="str">
        <f t="shared" si="14"/>
        <v/>
      </c>
    </row>
    <row r="911" spans="27:27" ht="15" customHeight="1" x14ac:dyDescent="0.25">
      <c r="AA911" s="40" t="str">
        <f t="shared" si="14"/>
        <v/>
      </c>
    </row>
    <row r="912" spans="27:27" ht="15" customHeight="1" x14ac:dyDescent="0.25">
      <c r="AA912" s="40" t="str">
        <f t="shared" si="14"/>
        <v/>
      </c>
    </row>
    <row r="913" spans="27:27" ht="15" customHeight="1" x14ac:dyDescent="0.25">
      <c r="AA913" s="40" t="str">
        <f t="shared" si="14"/>
        <v/>
      </c>
    </row>
    <row r="914" spans="27:27" ht="15" customHeight="1" x14ac:dyDescent="0.25">
      <c r="AA914" s="40" t="str">
        <f t="shared" si="14"/>
        <v/>
      </c>
    </row>
    <row r="915" spans="27:27" ht="15" customHeight="1" x14ac:dyDescent="0.25">
      <c r="AA915" s="40" t="str">
        <f t="shared" si="14"/>
        <v/>
      </c>
    </row>
    <row r="916" spans="27:27" ht="15" customHeight="1" x14ac:dyDescent="0.25">
      <c r="AA916" s="40" t="str">
        <f t="shared" si="14"/>
        <v/>
      </c>
    </row>
    <row r="917" spans="27:27" ht="15" customHeight="1" x14ac:dyDescent="0.25">
      <c r="AA917" s="40" t="str">
        <f t="shared" si="14"/>
        <v/>
      </c>
    </row>
    <row r="918" spans="27:27" ht="15" customHeight="1" x14ac:dyDescent="0.25">
      <c r="AA918" s="40" t="str">
        <f t="shared" si="14"/>
        <v/>
      </c>
    </row>
    <row r="919" spans="27:27" ht="15" customHeight="1" x14ac:dyDescent="0.25">
      <c r="AA919" s="40" t="str">
        <f t="shared" si="14"/>
        <v/>
      </c>
    </row>
    <row r="920" spans="27:27" ht="15" customHeight="1" x14ac:dyDescent="0.25">
      <c r="AA920" s="40" t="str">
        <f t="shared" si="14"/>
        <v/>
      </c>
    </row>
    <row r="921" spans="27:27" ht="15" customHeight="1" x14ac:dyDescent="0.25">
      <c r="AA921" s="40" t="str">
        <f t="shared" si="14"/>
        <v/>
      </c>
    </row>
    <row r="922" spans="27:27" ht="15" customHeight="1" x14ac:dyDescent="0.25">
      <c r="AA922" s="40" t="str">
        <f t="shared" si="14"/>
        <v/>
      </c>
    </row>
    <row r="923" spans="27:27" ht="15" customHeight="1" x14ac:dyDescent="0.25">
      <c r="AA923" s="40" t="str">
        <f t="shared" si="14"/>
        <v/>
      </c>
    </row>
    <row r="924" spans="27:27" ht="15" customHeight="1" x14ac:dyDescent="0.25">
      <c r="AA924" s="40" t="str">
        <f t="shared" si="14"/>
        <v/>
      </c>
    </row>
    <row r="925" spans="27:27" ht="15" customHeight="1" x14ac:dyDescent="0.25">
      <c r="AA925" s="40" t="str">
        <f t="shared" si="14"/>
        <v/>
      </c>
    </row>
    <row r="926" spans="27:27" ht="15" customHeight="1" x14ac:dyDescent="0.25">
      <c r="AA926" s="40" t="str">
        <f t="shared" si="14"/>
        <v/>
      </c>
    </row>
    <row r="927" spans="27:27" ht="15" customHeight="1" x14ac:dyDescent="0.25">
      <c r="AA927" s="40" t="str">
        <f t="shared" si="14"/>
        <v/>
      </c>
    </row>
    <row r="928" spans="27:27" ht="15" customHeight="1" x14ac:dyDescent="0.25">
      <c r="AA928" s="40" t="str">
        <f t="shared" si="14"/>
        <v/>
      </c>
    </row>
    <row r="929" spans="27:27" ht="15" customHeight="1" x14ac:dyDescent="0.25">
      <c r="AA929" s="40" t="str">
        <f t="shared" si="14"/>
        <v/>
      </c>
    </row>
    <row r="930" spans="27:27" ht="15" customHeight="1" x14ac:dyDescent="0.25">
      <c r="AA930" s="40" t="str">
        <f t="shared" si="14"/>
        <v/>
      </c>
    </row>
    <row r="931" spans="27:27" ht="15" customHeight="1" x14ac:dyDescent="0.25">
      <c r="AA931" s="40" t="str">
        <f t="shared" si="14"/>
        <v/>
      </c>
    </row>
    <row r="932" spans="27:27" ht="15" customHeight="1" x14ac:dyDescent="0.25">
      <c r="AA932" s="40" t="str">
        <f t="shared" si="14"/>
        <v/>
      </c>
    </row>
    <row r="933" spans="27:27" ht="15" customHeight="1" x14ac:dyDescent="0.25">
      <c r="AA933" s="40" t="str">
        <f t="shared" si="14"/>
        <v/>
      </c>
    </row>
    <row r="934" spans="27:27" ht="15" customHeight="1" x14ac:dyDescent="0.25">
      <c r="AA934" s="40" t="str">
        <f t="shared" si="14"/>
        <v/>
      </c>
    </row>
    <row r="935" spans="27:27" ht="15" customHeight="1" x14ac:dyDescent="0.25">
      <c r="AA935" s="40" t="str">
        <f t="shared" si="14"/>
        <v/>
      </c>
    </row>
    <row r="936" spans="27:27" ht="15" customHeight="1" x14ac:dyDescent="0.25">
      <c r="AA936" s="40" t="str">
        <f t="shared" si="14"/>
        <v/>
      </c>
    </row>
    <row r="937" spans="27:27" ht="15" customHeight="1" x14ac:dyDescent="0.25">
      <c r="AA937" s="40" t="str">
        <f t="shared" si="14"/>
        <v/>
      </c>
    </row>
    <row r="938" spans="27:27" ht="15" customHeight="1" x14ac:dyDescent="0.25">
      <c r="AA938" s="40" t="str">
        <f t="shared" si="14"/>
        <v/>
      </c>
    </row>
    <row r="939" spans="27:27" ht="15" customHeight="1" x14ac:dyDescent="0.25">
      <c r="AA939" s="40" t="str">
        <f t="shared" si="14"/>
        <v/>
      </c>
    </row>
    <row r="940" spans="27:27" ht="15" customHeight="1" x14ac:dyDescent="0.25">
      <c r="AA940" s="40" t="str">
        <f t="shared" si="14"/>
        <v/>
      </c>
    </row>
    <row r="941" spans="27:27" ht="15" customHeight="1" x14ac:dyDescent="0.25">
      <c r="AA941" s="40" t="str">
        <f t="shared" si="14"/>
        <v/>
      </c>
    </row>
    <row r="942" spans="27:27" ht="15" customHeight="1" x14ac:dyDescent="0.25">
      <c r="AA942" s="40" t="str">
        <f t="shared" si="14"/>
        <v/>
      </c>
    </row>
    <row r="943" spans="27:27" ht="15" customHeight="1" x14ac:dyDescent="0.25">
      <c r="AA943" s="40" t="str">
        <f t="shared" si="14"/>
        <v/>
      </c>
    </row>
    <row r="944" spans="27:27" ht="15" customHeight="1" x14ac:dyDescent="0.25">
      <c r="AA944" s="40" t="str">
        <f t="shared" si="14"/>
        <v/>
      </c>
    </row>
    <row r="945" spans="27:27" ht="15" customHeight="1" x14ac:dyDescent="0.25">
      <c r="AA945" s="40" t="str">
        <f t="shared" si="14"/>
        <v/>
      </c>
    </row>
    <row r="946" spans="27:27" ht="15" customHeight="1" x14ac:dyDescent="0.25">
      <c r="AA946" s="40" t="str">
        <f t="shared" si="14"/>
        <v/>
      </c>
    </row>
    <row r="947" spans="27:27" ht="15" customHeight="1" x14ac:dyDescent="0.25">
      <c r="AA947" s="40" t="str">
        <f t="shared" si="14"/>
        <v/>
      </c>
    </row>
    <row r="948" spans="27:27" ht="15" customHeight="1" x14ac:dyDescent="0.25">
      <c r="AA948" s="40" t="str">
        <f t="shared" si="14"/>
        <v/>
      </c>
    </row>
    <row r="949" spans="27:27" ht="15" customHeight="1" x14ac:dyDescent="0.25">
      <c r="AA949" s="40" t="str">
        <f t="shared" si="14"/>
        <v/>
      </c>
    </row>
    <row r="950" spans="27:27" ht="15" customHeight="1" x14ac:dyDescent="0.25">
      <c r="AA950" s="40" t="str">
        <f t="shared" si="14"/>
        <v/>
      </c>
    </row>
    <row r="951" spans="27:27" ht="15" customHeight="1" x14ac:dyDescent="0.25">
      <c r="AA951" s="40" t="str">
        <f t="shared" si="14"/>
        <v/>
      </c>
    </row>
    <row r="952" spans="27:27" ht="15" customHeight="1" x14ac:dyDescent="0.25">
      <c r="AA952" s="40" t="str">
        <f t="shared" si="14"/>
        <v/>
      </c>
    </row>
    <row r="953" spans="27:27" ht="15" customHeight="1" x14ac:dyDescent="0.25">
      <c r="AA953" s="40" t="str">
        <f t="shared" si="14"/>
        <v/>
      </c>
    </row>
    <row r="954" spans="27:27" ht="15" customHeight="1" x14ac:dyDescent="0.25">
      <c r="AA954" s="40" t="str">
        <f t="shared" si="14"/>
        <v/>
      </c>
    </row>
    <row r="955" spans="27:27" ht="15" customHeight="1" x14ac:dyDescent="0.25">
      <c r="AA955" s="40" t="str">
        <f t="shared" si="14"/>
        <v/>
      </c>
    </row>
    <row r="956" spans="27:27" ht="15" customHeight="1" x14ac:dyDescent="0.25">
      <c r="AA956" s="40" t="str">
        <f t="shared" si="14"/>
        <v/>
      </c>
    </row>
    <row r="957" spans="27:27" ht="15" customHeight="1" x14ac:dyDescent="0.25">
      <c r="AA957" s="40" t="str">
        <f t="shared" si="14"/>
        <v/>
      </c>
    </row>
    <row r="958" spans="27:27" ht="15" customHeight="1" x14ac:dyDescent="0.25">
      <c r="AA958" s="40" t="str">
        <f t="shared" si="14"/>
        <v/>
      </c>
    </row>
    <row r="959" spans="27:27" ht="15" customHeight="1" x14ac:dyDescent="0.25">
      <c r="AA959" s="40" t="str">
        <f t="shared" si="14"/>
        <v/>
      </c>
    </row>
    <row r="960" spans="27:27" ht="15" customHeight="1" x14ac:dyDescent="0.25">
      <c r="AA960" s="40" t="str">
        <f t="shared" si="14"/>
        <v/>
      </c>
    </row>
    <row r="961" spans="27:27" ht="15" customHeight="1" x14ac:dyDescent="0.25">
      <c r="AA961" s="40" t="str">
        <f t="shared" si="14"/>
        <v/>
      </c>
    </row>
    <row r="962" spans="27:27" ht="15" customHeight="1" x14ac:dyDescent="0.25">
      <c r="AA962" s="40" t="str">
        <f t="shared" si="14"/>
        <v/>
      </c>
    </row>
    <row r="963" spans="27:27" ht="15" customHeight="1" x14ac:dyDescent="0.25">
      <c r="AA963" s="40" t="str">
        <f t="shared" si="14"/>
        <v/>
      </c>
    </row>
    <row r="964" spans="27:27" ht="15" customHeight="1" x14ac:dyDescent="0.25">
      <c r="AA964" s="40" t="str">
        <f t="shared" si="14"/>
        <v/>
      </c>
    </row>
    <row r="965" spans="27:27" ht="15" customHeight="1" x14ac:dyDescent="0.25">
      <c r="AA965" s="40" t="str">
        <f t="shared" si="14"/>
        <v/>
      </c>
    </row>
    <row r="966" spans="27:27" ht="15" customHeight="1" x14ac:dyDescent="0.25">
      <c r="AA966" s="40" t="str">
        <f t="shared" si="14"/>
        <v/>
      </c>
    </row>
    <row r="967" spans="27:27" ht="15" customHeight="1" x14ac:dyDescent="0.25">
      <c r="AA967" s="40" t="str">
        <f t="shared" si="14"/>
        <v/>
      </c>
    </row>
    <row r="968" spans="27:27" ht="15" customHeight="1" x14ac:dyDescent="0.25">
      <c r="AA968" s="40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40" t="str">
        <f t="shared" si="15"/>
        <v/>
      </c>
    </row>
    <row r="970" spans="27:27" ht="15" customHeight="1" x14ac:dyDescent="0.25">
      <c r="AA970" s="40" t="str">
        <f t="shared" si="15"/>
        <v/>
      </c>
    </row>
    <row r="971" spans="27:27" ht="15" customHeight="1" x14ac:dyDescent="0.25">
      <c r="AA971" s="40" t="str">
        <f t="shared" si="15"/>
        <v/>
      </c>
    </row>
    <row r="972" spans="27:27" ht="15" customHeight="1" x14ac:dyDescent="0.25">
      <c r="AA972" s="40" t="str">
        <f t="shared" si="15"/>
        <v/>
      </c>
    </row>
    <row r="973" spans="27:27" ht="15" customHeight="1" x14ac:dyDescent="0.25">
      <c r="AA973" s="40" t="str">
        <f t="shared" si="15"/>
        <v/>
      </c>
    </row>
    <row r="974" spans="27:27" ht="15" customHeight="1" x14ac:dyDescent="0.25">
      <c r="AA974" s="40" t="str">
        <f t="shared" si="15"/>
        <v/>
      </c>
    </row>
    <row r="975" spans="27:27" ht="15" customHeight="1" x14ac:dyDescent="0.25">
      <c r="AA975" s="40" t="str">
        <f t="shared" si="15"/>
        <v/>
      </c>
    </row>
    <row r="976" spans="27:27" ht="15" customHeight="1" x14ac:dyDescent="0.25">
      <c r="AA976" s="40" t="str">
        <f t="shared" si="15"/>
        <v/>
      </c>
    </row>
    <row r="977" spans="27:27" ht="15" customHeight="1" x14ac:dyDescent="0.25">
      <c r="AA977" s="40" t="str">
        <f t="shared" si="15"/>
        <v/>
      </c>
    </row>
    <row r="978" spans="27:27" ht="15" customHeight="1" x14ac:dyDescent="0.25">
      <c r="AA978" s="40" t="str">
        <f t="shared" si="15"/>
        <v/>
      </c>
    </row>
    <row r="979" spans="27:27" ht="15" customHeight="1" x14ac:dyDescent="0.25">
      <c r="AA979" s="40" t="str">
        <f t="shared" si="15"/>
        <v/>
      </c>
    </row>
    <row r="980" spans="27:27" ht="15" customHeight="1" x14ac:dyDescent="0.25">
      <c r="AA980" s="40" t="str">
        <f t="shared" si="15"/>
        <v/>
      </c>
    </row>
    <row r="981" spans="27:27" ht="15" customHeight="1" x14ac:dyDescent="0.25">
      <c r="AA981" s="40" t="str">
        <f t="shared" si="15"/>
        <v/>
      </c>
    </row>
    <row r="982" spans="27:27" ht="15" customHeight="1" x14ac:dyDescent="0.25">
      <c r="AA982" s="40" t="str">
        <f t="shared" si="15"/>
        <v/>
      </c>
    </row>
    <row r="983" spans="27:27" ht="15" customHeight="1" x14ac:dyDescent="0.25">
      <c r="AA983" s="40" t="str">
        <f t="shared" si="15"/>
        <v/>
      </c>
    </row>
    <row r="984" spans="27:27" ht="15" customHeight="1" x14ac:dyDescent="0.25">
      <c r="AA984" s="40" t="str">
        <f t="shared" si="15"/>
        <v/>
      </c>
    </row>
    <row r="985" spans="27:27" ht="15" customHeight="1" x14ac:dyDescent="0.25">
      <c r="AA985" s="40" t="str">
        <f t="shared" si="15"/>
        <v/>
      </c>
    </row>
    <row r="986" spans="27:27" ht="15" customHeight="1" x14ac:dyDescent="0.25">
      <c r="AA986" s="40" t="str">
        <f t="shared" si="15"/>
        <v/>
      </c>
    </row>
    <row r="987" spans="27:27" ht="15" customHeight="1" x14ac:dyDescent="0.25">
      <c r="AA987" s="40" t="str">
        <f t="shared" si="15"/>
        <v/>
      </c>
    </row>
    <row r="988" spans="27:27" ht="15" customHeight="1" x14ac:dyDescent="0.25">
      <c r="AA988" s="40" t="str">
        <f t="shared" si="15"/>
        <v/>
      </c>
    </row>
    <row r="989" spans="27:27" ht="15" customHeight="1" x14ac:dyDescent="0.25">
      <c r="AA989" s="40" t="str">
        <f t="shared" si="15"/>
        <v/>
      </c>
    </row>
    <row r="990" spans="27:27" ht="15" customHeight="1" x14ac:dyDescent="0.25">
      <c r="AA990" s="40" t="str">
        <f t="shared" si="15"/>
        <v/>
      </c>
    </row>
    <row r="991" spans="27:27" ht="15" customHeight="1" x14ac:dyDescent="0.25">
      <c r="AA991" s="40" t="str">
        <f t="shared" si="15"/>
        <v/>
      </c>
    </row>
    <row r="992" spans="27:27" ht="15" customHeight="1" x14ac:dyDescent="0.25">
      <c r="AA992" s="40" t="str">
        <f t="shared" si="15"/>
        <v/>
      </c>
    </row>
    <row r="993" spans="27:27" ht="15" customHeight="1" x14ac:dyDescent="0.25">
      <c r="AA993" s="40" t="str">
        <f t="shared" si="15"/>
        <v/>
      </c>
    </row>
    <row r="994" spans="27:27" ht="15" customHeight="1" x14ac:dyDescent="0.25">
      <c r="AA994" s="40" t="str">
        <f t="shared" si="15"/>
        <v/>
      </c>
    </row>
    <row r="995" spans="27:27" ht="15" customHeight="1" x14ac:dyDescent="0.25">
      <c r="AA995" s="40" t="str">
        <f t="shared" si="15"/>
        <v/>
      </c>
    </row>
    <row r="996" spans="27:27" ht="15" customHeight="1" x14ac:dyDescent="0.25">
      <c r="AA996" s="40" t="str">
        <f t="shared" si="15"/>
        <v/>
      </c>
    </row>
    <row r="997" spans="27:27" ht="15" customHeight="1" x14ac:dyDescent="0.25">
      <c r="AA997" s="40" t="str">
        <f t="shared" si="15"/>
        <v/>
      </c>
    </row>
    <row r="998" spans="27:27" ht="15" customHeight="1" x14ac:dyDescent="0.25">
      <c r="AA998" s="40" t="str">
        <f t="shared" si="15"/>
        <v/>
      </c>
    </row>
    <row r="999" spans="27:27" ht="15" customHeight="1" x14ac:dyDescent="0.25">
      <c r="AA999" s="40" t="str">
        <f t="shared" si="15"/>
        <v/>
      </c>
    </row>
    <row r="1000" spans="27:27" ht="15" customHeight="1" x14ac:dyDescent="0.25">
      <c r="AA1000" s="40" t="str">
        <f t="shared" si="15"/>
        <v/>
      </c>
    </row>
    <row r="1001" spans="27:27" ht="15" customHeight="1" x14ac:dyDescent="0.25">
      <c r="AA1001" s="40" t="str">
        <f t="shared" si="15"/>
        <v/>
      </c>
    </row>
    <row r="1002" spans="27:27" ht="15" customHeight="1" x14ac:dyDescent="0.25">
      <c r="AA1002" s="40" t="str">
        <f t="shared" si="15"/>
        <v/>
      </c>
    </row>
    <row r="1003" spans="27:27" ht="15" customHeight="1" x14ac:dyDescent="0.25">
      <c r="AA1003" s="40" t="str">
        <f t="shared" si="15"/>
        <v/>
      </c>
    </row>
    <row r="1004" spans="27:27" ht="15" customHeight="1" x14ac:dyDescent="0.25">
      <c r="AA1004" s="40" t="str">
        <f t="shared" si="15"/>
        <v/>
      </c>
    </row>
    <row r="1005" spans="27:27" ht="15" customHeight="1" x14ac:dyDescent="0.25">
      <c r="AA1005" s="40" t="str">
        <f t="shared" si="15"/>
        <v/>
      </c>
    </row>
    <row r="1006" spans="27:27" ht="15" customHeight="1" x14ac:dyDescent="0.25">
      <c r="AA1006" s="40" t="str">
        <f t="shared" si="15"/>
        <v/>
      </c>
    </row>
    <row r="1007" spans="27:27" ht="15" customHeight="1" x14ac:dyDescent="0.25">
      <c r="AA1007" s="40" t="str">
        <f t="shared" si="15"/>
        <v/>
      </c>
    </row>
    <row r="1008" spans="27:27" ht="15" customHeight="1" x14ac:dyDescent="0.25">
      <c r="AA1008" s="40" t="str">
        <f t="shared" si="15"/>
        <v/>
      </c>
    </row>
    <row r="1009" spans="27:27" ht="15" customHeight="1" x14ac:dyDescent="0.25">
      <c r="AA1009" s="40" t="str">
        <f t="shared" si="15"/>
        <v/>
      </c>
    </row>
    <row r="1010" spans="27:27" ht="15" customHeight="1" x14ac:dyDescent="0.25">
      <c r="AA1010" s="40" t="str">
        <f t="shared" si="15"/>
        <v/>
      </c>
    </row>
    <row r="1011" spans="27:27" ht="15" customHeight="1" x14ac:dyDescent="0.25">
      <c r="AA1011" s="40" t="str">
        <f t="shared" si="15"/>
        <v/>
      </c>
    </row>
    <row r="1012" spans="27:27" ht="15" customHeight="1" x14ac:dyDescent="0.25">
      <c r="AA1012" s="40" t="str">
        <f t="shared" si="15"/>
        <v/>
      </c>
    </row>
    <row r="1013" spans="27:27" ht="15" customHeight="1" x14ac:dyDescent="0.25">
      <c r="AA1013" s="40" t="str">
        <f t="shared" si="15"/>
        <v/>
      </c>
    </row>
    <row r="1014" spans="27:27" ht="15" customHeight="1" x14ac:dyDescent="0.25">
      <c r="AA1014" s="40" t="str">
        <f t="shared" si="15"/>
        <v/>
      </c>
    </row>
    <row r="1015" spans="27:27" ht="15" customHeight="1" x14ac:dyDescent="0.25">
      <c r="AA1015" s="40" t="str">
        <f t="shared" si="15"/>
        <v/>
      </c>
    </row>
    <row r="1016" spans="27:27" ht="15" customHeight="1" x14ac:dyDescent="0.25">
      <c r="AA1016" s="40" t="str">
        <f t="shared" si="15"/>
        <v/>
      </c>
    </row>
    <row r="1017" spans="27:27" ht="15" customHeight="1" x14ac:dyDescent="0.25">
      <c r="AA1017" s="40" t="str">
        <f t="shared" si="15"/>
        <v/>
      </c>
    </row>
    <row r="1018" spans="27:27" ht="15" customHeight="1" x14ac:dyDescent="0.25">
      <c r="AA1018" s="40" t="str">
        <f t="shared" si="15"/>
        <v/>
      </c>
    </row>
    <row r="1019" spans="27:27" ht="15" customHeight="1" x14ac:dyDescent="0.25">
      <c r="AA1019" s="40" t="str">
        <f t="shared" si="15"/>
        <v/>
      </c>
    </row>
    <row r="1020" spans="27:27" ht="15" customHeight="1" x14ac:dyDescent="0.25">
      <c r="AA1020" s="40" t="str">
        <f t="shared" si="15"/>
        <v/>
      </c>
    </row>
    <row r="1021" spans="27:27" ht="15" customHeight="1" x14ac:dyDescent="0.25">
      <c r="AA1021" s="40" t="str">
        <f t="shared" si="15"/>
        <v/>
      </c>
    </row>
    <row r="1022" spans="27:27" ht="15" customHeight="1" x14ac:dyDescent="0.25">
      <c r="AA1022" s="40" t="str">
        <f t="shared" si="15"/>
        <v/>
      </c>
    </row>
    <row r="1023" spans="27:27" ht="15" customHeight="1" x14ac:dyDescent="0.25">
      <c r="AA1023" s="40" t="str">
        <f t="shared" si="15"/>
        <v/>
      </c>
    </row>
    <row r="1024" spans="27:27" ht="15" customHeight="1" x14ac:dyDescent="0.25">
      <c r="AA1024" s="40" t="str">
        <f t="shared" si="15"/>
        <v/>
      </c>
    </row>
    <row r="1025" spans="27:27" ht="15" customHeight="1" x14ac:dyDescent="0.25">
      <c r="AA1025" s="40" t="str">
        <f t="shared" si="15"/>
        <v/>
      </c>
    </row>
    <row r="1026" spans="27:27" ht="15" customHeight="1" x14ac:dyDescent="0.25">
      <c r="AA1026" s="40" t="str">
        <f t="shared" si="15"/>
        <v/>
      </c>
    </row>
    <row r="1027" spans="27:27" ht="15" customHeight="1" x14ac:dyDescent="0.25">
      <c r="AA1027" s="40" t="str">
        <f t="shared" si="15"/>
        <v/>
      </c>
    </row>
    <row r="1028" spans="27:27" ht="15" customHeight="1" x14ac:dyDescent="0.25">
      <c r="AA1028" s="40" t="str">
        <f t="shared" si="15"/>
        <v/>
      </c>
    </row>
    <row r="1029" spans="27:27" ht="15" customHeight="1" x14ac:dyDescent="0.25">
      <c r="AA1029" s="40" t="str">
        <f t="shared" si="15"/>
        <v/>
      </c>
    </row>
    <row r="1030" spans="27:27" ht="15" customHeight="1" x14ac:dyDescent="0.25">
      <c r="AA1030" s="40" t="str">
        <f t="shared" si="15"/>
        <v/>
      </c>
    </row>
    <row r="1031" spans="27:27" ht="15" customHeight="1" x14ac:dyDescent="0.25">
      <c r="AA1031" s="40" t="str">
        <f t="shared" si="15"/>
        <v/>
      </c>
    </row>
    <row r="1032" spans="27:27" ht="15" customHeight="1" x14ac:dyDescent="0.25">
      <c r="AA1032" s="40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40" t="str">
        <f t="shared" si="16"/>
        <v/>
      </c>
    </row>
    <row r="1034" spans="27:27" ht="15" customHeight="1" x14ac:dyDescent="0.25">
      <c r="AA1034" s="40" t="str">
        <f t="shared" si="16"/>
        <v/>
      </c>
    </row>
    <row r="1035" spans="27:27" ht="15" customHeight="1" x14ac:dyDescent="0.25">
      <c r="AA1035" s="40" t="str">
        <f t="shared" si="16"/>
        <v/>
      </c>
    </row>
    <row r="1036" spans="27:27" ht="15" customHeight="1" x14ac:dyDescent="0.25">
      <c r="AA1036" s="40" t="str">
        <f t="shared" si="16"/>
        <v/>
      </c>
    </row>
    <row r="1037" spans="27:27" ht="15" customHeight="1" x14ac:dyDescent="0.25">
      <c r="AA1037" s="40" t="str">
        <f t="shared" si="16"/>
        <v/>
      </c>
    </row>
    <row r="1038" spans="27:27" ht="15" customHeight="1" x14ac:dyDescent="0.25">
      <c r="AA1038" s="40" t="str">
        <f t="shared" si="16"/>
        <v/>
      </c>
    </row>
    <row r="1039" spans="27:27" ht="15" customHeight="1" x14ac:dyDescent="0.25">
      <c r="AA1039" s="40" t="str">
        <f t="shared" si="16"/>
        <v/>
      </c>
    </row>
    <row r="1040" spans="27:27" ht="15" customHeight="1" x14ac:dyDescent="0.25">
      <c r="AA1040" s="40" t="str">
        <f t="shared" si="16"/>
        <v/>
      </c>
    </row>
    <row r="1041" spans="27:27" ht="15" customHeight="1" x14ac:dyDescent="0.25">
      <c r="AA1041" s="40" t="str">
        <f t="shared" si="16"/>
        <v/>
      </c>
    </row>
    <row r="1042" spans="27:27" ht="15" customHeight="1" x14ac:dyDescent="0.25">
      <c r="AA1042" s="40" t="str">
        <f t="shared" si="16"/>
        <v/>
      </c>
    </row>
    <row r="1043" spans="27:27" ht="15" customHeight="1" x14ac:dyDescent="0.25">
      <c r="AA1043" s="40" t="str">
        <f t="shared" si="16"/>
        <v/>
      </c>
    </row>
    <row r="1044" spans="27:27" ht="15" customHeight="1" x14ac:dyDescent="0.25">
      <c r="AA1044" s="40" t="str">
        <f t="shared" si="16"/>
        <v/>
      </c>
    </row>
    <row r="1045" spans="27:27" ht="15" customHeight="1" x14ac:dyDescent="0.25">
      <c r="AA1045" s="40" t="str">
        <f t="shared" si="16"/>
        <v/>
      </c>
    </row>
    <row r="1046" spans="27:27" ht="15" customHeight="1" x14ac:dyDescent="0.25">
      <c r="AA1046" s="40" t="str">
        <f t="shared" si="16"/>
        <v/>
      </c>
    </row>
    <row r="1047" spans="27:27" ht="15" customHeight="1" x14ac:dyDescent="0.25">
      <c r="AA1047" s="40" t="str">
        <f t="shared" si="16"/>
        <v/>
      </c>
    </row>
    <row r="1048" spans="27:27" ht="15" customHeight="1" x14ac:dyDescent="0.25">
      <c r="AA1048" s="40" t="str">
        <f t="shared" si="16"/>
        <v/>
      </c>
    </row>
    <row r="1049" spans="27:27" ht="15" customHeight="1" x14ac:dyDescent="0.25">
      <c r="AA1049" s="40" t="str">
        <f t="shared" si="16"/>
        <v/>
      </c>
    </row>
    <row r="1050" spans="27:27" ht="15" customHeight="1" x14ac:dyDescent="0.25">
      <c r="AA1050" s="40" t="str">
        <f t="shared" si="16"/>
        <v/>
      </c>
    </row>
    <row r="1051" spans="27:27" ht="15" customHeight="1" x14ac:dyDescent="0.25">
      <c r="AA1051" s="40" t="str">
        <f t="shared" si="16"/>
        <v/>
      </c>
    </row>
    <row r="1052" spans="27:27" ht="15" customHeight="1" x14ac:dyDescent="0.25">
      <c r="AA1052" s="40" t="str">
        <f t="shared" si="16"/>
        <v/>
      </c>
    </row>
    <row r="1053" spans="27:27" ht="15" customHeight="1" x14ac:dyDescent="0.25">
      <c r="AA1053" s="40" t="str">
        <f t="shared" si="16"/>
        <v/>
      </c>
    </row>
    <row r="1054" spans="27:27" ht="15" customHeight="1" x14ac:dyDescent="0.25">
      <c r="AA1054" s="40" t="str">
        <f t="shared" si="16"/>
        <v/>
      </c>
    </row>
    <row r="1055" spans="27:27" ht="15" customHeight="1" x14ac:dyDescent="0.25">
      <c r="AA1055" s="40" t="str">
        <f t="shared" si="16"/>
        <v/>
      </c>
    </row>
    <row r="1056" spans="27:27" ht="15" customHeight="1" x14ac:dyDescent="0.25">
      <c r="AA1056" s="40" t="str">
        <f t="shared" si="16"/>
        <v/>
      </c>
    </row>
    <row r="1057" spans="27:27" ht="15" customHeight="1" x14ac:dyDescent="0.25">
      <c r="AA1057" s="40" t="str">
        <f t="shared" si="16"/>
        <v/>
      </c>
    </row>
    <row r="1058" spans="27:27" ht="15" customHeight="1" x14ac:dyDescent="0.25">
      <c r="AA1058" s="40" t="str">
        <f t="shared" si="16"/>
        <v/>
      </c>
    </row>
    <row r="1059" spans="27:27" ht="15" customHeight="1" x14ac:dyDescent="0.25">
      <c r="AA1059" s="40" t="str">
        <f t="shared" si="16"/>
        <v/>
      </c>
    </row>
    <row r="1060" spans="27:27" ht="15" customHeight="1" x14ac:dyDescent="0.25">
      <c r="AA1060" s="40" t="str">
        <f t="shared" si="16"/>
        <v/>
      </c>
    </row>
    <row r="1061" spans="27:27" ht="15" customHeight="1" x14ac:dyDescent="0.25">
      <c r="AA1061" s="40" t="str">
        <f t="shared" si="16"/>
        <v/>
      </c>
    </row>
    <row r="1062" spans="27:27" ht="15" customHeight="1" x14ac:dyDescent="0.25">
      <c r="AA1062" s="40" t="str">
        <f t="shared" si="16"/>
        <v/>
      </c>
    </row>
    <row r="1063" spans="27:27" ht="15" customHeight="1" x14ac:dyDescent="0.25">
      <c r="AA1063" s="40" t="str">
        <f t="shared" si="16"/>
        <v/>
      </c>
    </row>
    <row r="1064" spans="27:27" ht="15" customHeight="1" x14ac:dyDescent="0.25">
      <c r="AA1064" s="40" t="str">
        <f t="shared" si="16"/>
        <v/>
      </c>
    </row>
    <row r="1065" spans="27:27" ht="15" customHeight="1" x14ac:dyDescent="0.25">
      <c r="AA1065" s="40" t="str">
        <f t="shared" si="16"/>
        <v/>
      </c>
    </row>
    <row r="1066" spans="27:27" ht="15" customHeight="1" x14ac:dyDescent="0.25">
      <c r="AA1066" s="40" t="str">
        <f t="shared" si="16"/>
        <v/>
      </c>
    </row>
    <row r="1067" spans="27:27" ht="15" customHeight="1" x14ac:dyDescent="0.25">
      <c r="AA1067" s="40" t="str">
        <f t="shared" si="16"/>
        <v/>
      </c>
    </row>
    <row r="1068" spans="27:27" ht="15" customHeight="1" x14ac:dyDescent="0.25">
      <c r="AA1068" s="40" t="str">
        <f t="shared" si="16"/>
        <v/>
      </c>
    </row>
    <row r="1069" spans="27:27" ht="15" customHeight="1" x14ac:dyDescent="0.25">
      <c r="AA1069" s="40" t="str">
        <f t="shared" si="16"/>
        <v/>
      </c>
    </row>
    <row r="1070" spans="27:27" ht="15" customHeight="1" x14ac:dyDescent="0.25">
      <c r="AA1070" s="40" t="str">
        <f t="shared" si="16"/>
        <v/>
      </c>
    </row>
    <row r="1071" spans="27:27" ht="15" customHeight="1" x14ac:dyDescent="0.25">
      <c r="AA1071" s="40" t="str">
        <f t="shared" si="16"/>
        <v/>
      </c>
    </row>
    <row r="1072" spans="27:27" ht="15" customHeight="1" x14ac:dyDescent="0.25">
      <c r="AA1072" s="40" t="str">
        <f t="shared" si="16"/>
        <v/>
      </c>
    </row>
    <row r="1073" spans="27:27" ht="15" customHeight="1" x14ac:dyDescent="0.25">
      <c r="AA1073" s="40" t="str">
        <f t="shared" si="16"/>
        <v/>
      </c>
    </row>
    <row r="1074" spans="27:27" ht="15" customHeight="1" x14ac:dyDescent="0.25">
      <c r="AA1074" s="40" t="str">
        <f t="shared" si="16"/>
        <v/>
      </c>
    </row>
    <row r="1075" spans="27:27" ht="15" customHeight="1" x14ac:dyDescent="0.25">
      <c r="AA1075" s="40" t="str">
        <f t="shared" si="16"/>
        <v/>
      </c>
    </row>
    <row r="1076" spans="27:27" ht="15" customHeight="1" x14ac:dyDescent="0.25">
      <c r="AA1076" s="40" t="str">
        <f t="shared" si="16"/>
        <v/>
      </c>
    </row>
    <row r="1077" spans="27:27" ht="15" customHeight="1" x14ac:dyDescent="0.25">
      <c r="AA1077" s="40" t="str">
        <f t="shared" si="16"/>
        <v/>
      </c>
    </row>
    <row r="1078" spans="27:27" ht="15" customHeight="1" x14ac:dyDescent="0.25">
      <c r="AA1078" s="40" t="str">
        <f t="shared" si="16"/>
        <v/>
      </c>
    </row>
    <row r="1079" spans="27:27" ht="15" customHeight="1" x14ac:dyDescent="0.25">
      <c r="AA1079" s="40" t="str">
        <f t="shared" si="16"/>
        <v/>
      </c>
    </row>
    <row r="1080" spans="27:27" ht="15" customHeight="1" x14ac:dyDescent="0.25">
      <c r="AA1080" s="40" t="str">
        <f t="shared" si="16"/>
        <v/>
      </c>
    </row>
    <row r="1081" spans="27:27" ht="15" customHeight="1" x14ac:dyDescent="0.25">
      <c r="AA1081" s="40" t="str">
        <f t="shared" si="16"/>
        <v/>
      </c>
    </row>
    <row r="1082" spans="27:27" ht="15" customHeight="1" x14ac:dyDescent="0.25">
      <c r="AA1082" s="40" t="str">
        <f t="shared" si="16"/>
        <v/>
      </c>
    </row>
    <row r="1083" spans="27:27" ht="15" customHeight="1" x14ac:dyDescent="0.25">
      <c r="AA1083" s="40" t="str">
        <f t="shared" si="16"/>
        <v/>
      </c>
    </row>
    <row r="1084" spans="27:27" ht="15" customHeight="1" x14ac:dyDescent="0.25">
      <c r="AA1084" s="40" t="str">
        <f t="shared" si="16"/>
        <v/>
      </c>
    </row>
    <row r="1085" spans="27:27" ht="15" customHeight="1" x14ac:dyDescent="0.25">
      <c r="AA1085" s="40" t="str">
        <f t="shared" si="16"/>
        <v/>
      </c>
    </row>
    <row r="1086" spans="27:27" ht="15" customHeight="1" x14ac:dyDescent="0.25">
      <c r="AA1086" s="40" t="str">
        <f t="shared" si="16"/>
        <v/>
      </c>
    </row>
    <row r="1087" spans="27:27" ht="15" customHeight="1" x14ac:dyDescent="0.25">
      <c r="AA1087" s="40" t="str">
        <f t="shared" si="16"/>
        <v/>
      </c>
    </row>
    <row r="1088" spans="27:27" ht="15" customHeight="1" x14ac:dyDescent="0.25">
      <c r="AA1088" s="40" t="str">
        <f t="shared" si="16"/>
        <v/>
      </c>
    </row>
    <row r="1089" spans="27:27" ht="15" customHeight="1" x14ac:dyDescent="0.25">
      <c r="AA1089" s="40" t="str">
        <f t="shared" si="16"/>
        <v/>
      </c>
    </row>
    <row r="1090" spans="27:27" ht="15" customHeight="1" x14ac:dyDescent="0.25">
      <c r="AA1090" s="40" t="str">
        <f t="shared" si="16"/>
        <v/>
      </c>
    </row>
    <row r="1091" spans="27:27" ht="15" customHeight="1" x14ac:dyDescent="0.25">
      <c r="AA1091" s="40" t="str">
        <f t="shared" si="16"/>
        <v/>
      </c>
    </row>
    <row r="1092" spans="27:27" ht="15" customHeight="1" x14ac:dyDescent="0.25">
      <c r="AA1092" s="40" t="str">
        <f t="shared" si="16"/>
        <v/>
      </c>
    </row>
    <row r="1093" spans="27:27" ht="15" customHeight="1" x14ac:dyDescent="0.25">
      <c r="AA1093" s="40" t="str">
        <f t="shared" si="16"/>
        <v/>
      </c>
    </row>
    <row r="1094" spans="27:27" ht="15" customHeight="1" x14ac:dyDescent="0.25">
      <c r="AA1094" s="40" t="str">
        <f t="shared" si="16"/>
        <v/>
      </c>
    </row>
    <row r="1095" spans="27:27" ht="15" customHeight="1" x14ac:dyDescent="0.25">
      <c r="AA1095" s="40" t="str">
        <f t="shared" si="16"/>
        <v/>
      </c>
    </row>
    <row r="1096" spans="27:27" ht="15" customHeight="1" x14ac:dyDescent="0.25">
      <c r="AA1096" s="40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40" t="str">
        <f t="shared" si="17"/>
        <v/>
      </c>
    </row>
    <row r="1098" spans="27:27" ht="15" customHeight="1" x14ac:dyDescent="0.25">
      <c r="AA1098" s="40" t="str">
        <f t="shared" si="17"/>
        <v/>
      </c>
    </row>
    <row r="1099" spans="27:27" ht="15" customHeight="1" x14ac:dyDescent="0.25">
      <c r="AA1099" s="40" t="str">
        <f t="shared" si="17"/>
        <v/>
      </c>
    </row>
    <row r="1100" spans="27:27" ht="15" customHeight="1" x14ac:dyDescent="0.25">
      <c r="AA1100" s="40" t="str">
        <f t="shared" si="17"/>
        <v/>
      </c>
    </row>
    <row r="1101" spans="27:27" ht="15" customHeight="1" x14ac:dyDescent="0.25">
      <c r="AA1101" s="40" t="str">
        <f t="shared" si="17"/>
        <v/>
      </c>
    </row>
    <row r="1102" spans="27:27" ht="15" customHeight="1" x14ac:dyDescent="0.25">
      <c r="AA1102" s="40" t="str">
        <f t="shared" si="17"/>
        <v/>
      </c>
    </row>
    <row r="1103" spans="27:27" ht="15" customHeight="1" x14ac:dyDescent="0.25">
      <c r="AA1103" s="40" t="str">
        <f t="shared" si="17"/>
        <v/>
      </c>
    </row>
    <row r="1104" spans="27:27" ht="15" customHeight="1" x14ac:dyDescent="0.25">
      <c r="AA1104" s="40" t="str">
        <f t="shared" si="17"/>
        <v/>
      </c>
    </row>
    <row r="1105" spans="27:27" ht="15" customHeight="1" x14ac:dyDescent="0.25">
      <c r="AA1105" s="40" t="str">
        <f t="shared" si="17"/>
        <v/>
      </c>
    </row>
    <row r="1106" spans="27:27" ht="15" customHeight="1" x14ac:dyDescent="0.25">
      <c r="AA1106" s="40" t="str">
        <f t="shared" si="17"/>
        <v/>
      </c>
    </row>
    <row r="1107" spans="27:27" ht="15" customHeight="1" x14ac:dyDescent="0.25">
      <c r="AA1107" s="40" t="str">
        <f t="shared" si="17"/>
        <v/>
      </c>
    </row>
    <row r="1108" spans="27:27" ht="15" customHeight="1" x14ac:dyDescent="0.25">
      <c r="AA1108" s="40" t="str">
        <f t="shared" si="17"/>
        <v/>
      </c>
    </row>
    <row r="1109" spans="27:27" ht="15" customHeight="1" x14ac:dyDescent="0.25">
      <c r="AA1109" s="40" t="str">
        <f t="shared" si="17"/>
        <v/>
      </c>
    </row>
    <row r="1110" spans="27:27" ht="15" customHeight="1" x14ac:dyDescent="0.25">
      <c r="AA1110" s="40" t="str">
        <f t="shared" si="17"/>
        <v/>
      </c>
    </row>
    <row r="1111" spans="27:27" ht="15" customHeight="1" x14ac:dyDescent="0.25">
      <c r="AA1111" s="40" t="str">
        <f t="shared" si="17"/>
        <v/>
      </c>
    </row>
    <row r="1112" spans="27:27" ht="15" customHeight="1" x14ac:dyDescent="0.25">
      <c r="AA1112" s="40" t="str">
        <f t="shared" si="17"/>
        <v/>
      </c>
    </row>
    <row r="1113" spans="27:27" ht="15" customHeight="1" x14ac:dyDescent="0.25">
      <c r="AA1113" s="40" t="str">
        <f t="shared" si="17"/>
        <v/>
      </c>
    </row>
    <row r="1114" spans="27:27" ht="15" customHeight="1" x14ac:dyDescent="0.25">
      <c r="AA1114" s="40" t="str">
        <f t="shared" si="17"/>
        <v/>
      </c>
    </row>
    <row r="1115" spans="27:27" ht="15" customHeight="1" x14ac:dyDescent="0.25">
      <c r="AA1115" s="40" t="str">
        <f t="shared" si="17"/>
        <v/>
      </c>
    </row>
    <row r="1116" spans="27:27" ht="15" customHeight="1" x14ac:dyDescent="0.25">
      <c r="AA1116" s="40" t="str">
        <f t="shared" si="17"/>
        <v/>
      </c>
    </row>
    <row r="1117" spans="27:27" ht="15" customHeight="1" x14ac:dyDescent="0.25">
      <c r="AA1117" s="40" t="str">
        <f t="shared" si="17"/>
        <v/>
      </c>
    </row>
    <row r="1118" spans="27:27" ht="15" customHeight="1" x14ac:dyDescent="0.25">
      <c r="AA1118" s="40" t="str">
        <f t="shared" si="17"/>
        <v/>
      </c>
    </row>
    <row r="1119" spans="27:27" ht="15" customHeight="1" x14ac:dyDescent="0.25">
      <c r="AA1119" s="40" t="str">
        <f t="shared" si="17"/>
        <v/>
      </c>
    </row>
    <row r="1120" spans="27:27" ht="15" customHeight="1" x14ac:dyDescent="0.25">
      <c r="AA1120" s="40" t="str">
        <f t="shared" si="17"/>
        <v/>
      </c>
    </row>
    <row r="1121" spans="27:27" ht="15" customHeight="1" x14ac:dyDescent="0.25">
      <c r="AA1121" s="40" t="str">
        <f t="shared" si="17"/>
        <v/>
      </c>
    </row>
    <row r="1122" spans="27:27" ht="15" customHeight="1" x14ac:dyDescent="0.25">
      <c r="AA1122" s="40" t="str">
        <f t="shared" si="17"/>
        <v/>
      </c>
    </row>
    <row r="1123" spans="27:27" ht="15" customHeight="1" x14ac:dyDescent="0.25">
      <c r="AA1123" s="40" t="str">
        <f t="shared" si="17"/>
        <v/>
      </c>
    </row>
    <row r="1124" spans="27:27" ht="15" customHeight="1" x14ac:dyDescent="0.25">
      <c r="AA1124" s="40" t="str">
        <f t="shared" si="17"/>
        <v/>
      </c>
    </row>
    <row r="1125" spans="27:27" ht="15" customHeight="1" x14ac:dyDescent="0.25">
      <c r="AA1125" s="40" t="str">
        <f t="shared" si="17"/>
        <v/>
      </c>
    </row>
    <row r="1126" spans="27:27" ht="15" customHeight="1" x14ac:dyDescent="0.25">
      <c r="AA1126" s="40" t="str">
        <f t="shared" si="17"/>
        <v/>
      </c>
    </row>
    <row r="1127" spans="27:27" ht="15" customHeight="1" x14ac:dyDescent="0.25">
      <c r="AA1127" s="40" t="str">
        <f t="shared" si="17"/>
        <v/>
      </c>
    </row>
    <row r="1128" spans="27:27" ht="15" customHeight="1" x14ac:dyDescent="0.25">
      <c r="AA1128" s="40" t="str">
        <f t="shared" si="17"/>
        <v/>
      </c>
    </row>
    <row r="1129" spans="27:27" ht="15" customHeight="1" x14ac:dyDescent="0.25">
      <c r="AA1129" s="40" t="str">
        <f t="shared" si="17"/>
        <v/>
      </c>
    </row>
    <row r="1130" spans="27:27" ht="15" customHeight="1" x14ac:dyDescent="0.25">
      <c r="AA1130" s="40" t="str">
        <f t="shared" si="17"/>
        <v/>
      </c>
    </row>
    <row r="1131" spans="27:27" ht="15" customHeight="1" x14ac:dyDescent="0.25">
      <c r="AA1131" s="40" t="str">
        <f t="shared" si="17"/>
        <v/>
      </c>
    </row>
    <row r="1132" spans="27:27" ht="15" customHeight="1" x14ac:dyDescent="0.25">
      <c r="AA1132" s="40" t="str">
        <f t="shared" si="17"/>
        <v/>
      </c>
    </row>
    <row r="1133" spans="27:27" ht="15" customHeight="1" x14ac:dyDescent="0.25">
      <c r="AA1133" s="40" t="str">
        <f t="shared" si="17"/>
        <v/>
      </c>
    </row>
    <row r="1134" spans="27:27" ht="15" customHeight="1" x14ac:dyDescent="0.25">
      <c r="AA1134" s="40" t="str">
        <f t="shared" si="17"/>
        <v/>
      </c>
    </row>
    <row r="1135" spans="27:27" ht="15" customHeight="1" x14ac:dyDescent="0.25">
      <c r="AA1135" s="40" t="str">
        <f t="shared" si="17"/>
        <v/>
      </c>
    </row>
    <row r="1136" spans="27:27" ht="15" customHeight="1" x14ac:dyDescent="0.25">
      <c r="AA1136" s="40" t="str">
        <f t="shared" si="17"/>
        <v/>
      </c>
    </row>
    <row r="1137" spans="27:27" ht="15" customHeight="1" x14ac:dyDescent="0.25">
      <c r="AA1137" s="40" t="str">
        <f t="shared" si="17"/>
        <v/>
      </c>
    </row>
    <row r="1138" spans="27:27" ht="15" customHeight="1" x14ac:dyDescent="0.25">
      <c r="AA1138" s="40" t="str">
        <f t="shared" si="17"/>
        <v/>
      </c>
    </row>
    <row r="1139" spans="27:27" ht="15" customHeight="1" x14ac:dyDescent="0.25">
      <c r="AA1139" s="40" t="str">
        <f t="shared" si="17"/>
        <v/>
      </c>
    </row>
    <row r="1140" spans="27:27" ht="15" customHeight="1" x14ac:dyDescent="0.25">
      <c r="AA1140" s="40" t="str">
        <f t="shared" si="17"/>
        <v/>
      </c>
    </row>
    <row r="1141" spans="27:27" ht="15" customHeight="1" x14ac:dyDescent="0.25">
      <c r="AA1141" s="40" t="str">
        <f t="shared" si="17"/>
        <v/>
      </c>
    </row>
    <row r="1142" spans="27:27" ht="15" customHeight="1" x14ac:dyDescent="0.25">
      <c r="AA1142" s="40" t="str">
        <f t="shared" si="17"/>
        <v/>
      </c>
    </row>
    <row r="1143" spans="27:27" ht="15" customHeight="1" x14ac:dyDescent="0.25">
      <c r="AA1143" s="40" t="str">
        <f t="shared" si="17"/>
        <v/>
      </c>
    </row>
    <row r="1144" spans="27:27" ht="15" customHeight="1" x14ac:dyDescent="0.25">
      <c r="AA1144" s="40" t="str">
        <f t="shared" si="17"/>
        <v/>
      </c>
    </row>
    <row r="1145" spans="27:27" ht="15" customHeight="1" x14ac:dyDescent="0.25">
      <c r="AA1145" s="40" t="str">
        <f t="shared" si="17"/>
        <v/>
      </c>
    </row>
    <row r="1146" spans="27:27" ht="15" customHeight="1" x14ac:dyDescent="0.25">
      <c r="AA1146" s="40" t="str">
        <f t="shared" si="17"/>
        <v/>
      </c>
    </row>
    <row r="1147" spans="27:27" ht="15" customHeight="1" x14ac:dyDescent="0.25">
      <c r="AA1147" s="40" t="str">
        <f t="shared" si="17"/>
        <v/>
      </c>
    </row>
    <row r="1148" spans="27:27" ht="15" customHeight="1" x14ac:dyDescent="0.25">
      <c r="AA1148" s="40" t="str">
        <f t="shared" si="17"/>
        <v/>
      </c>
    </row>
    <row r="1149" spans="27:27" ht="15" customHeight="1" x14ac:dyDescent="0.25">
      <c r="AA1149" s="40" t="str">
        <f t="shared" si="17"/>
        <v/>
      </c>
    </row>
    <row r="1150" spans="27:27" ht="15" customHeight="1" x14ac:dyDescent="0.25">
      <c r="AA1150" s="40" t="str">
        <f t="shared" si="17"/>
        <v/>
      </c>
    </row>
    <row r="1151" spans="27:27" ht="15" customHeight="1" x14ac:dyDescent="0.25">
      <c r="AA1151" s="40" t="str">
        <f t="shared" si="17"/>
        <v/>
      </c>
    </row>
    <row r="1152" spans="27:27" ht="15" customHeight="1" x14ac:dyDescent="0.25">
      <c r="AA1152" s="40" t="str">
        <f t="shared" si="17"/>
        <v/>
      </c>
    </row>
    <row r="1153" spans="27:27" ht="15" customHeight="1" x14ac:dyDescent="0.25">
      <c r="AA1153" s="40" t="str">
        <f t="shared" si="17"/>
        <v/>
      </c>
    </row>
    <row r="1154" spans="27:27" ht="15" customHeight="1" x14ac:dyDescent="0.25">
      <c r="AA1154" s="40" t="str">
        <f t="shared" si="17"/>
        <v/>
      </c>
    </row>
    <row r="1155" spans="27:27" ht="15" customHeight="1" x14ac:dyDescent="0.25">
      <c r="AA1155" s="40" t="str">
        <f t="shared" si="17"/>
        <v/>
      </c>
    </row>
    <row r="1156" spans="27:27" ht="15" customHeight="1" x14ac:dyDescent="0.25">
      <c r="AA1156" s="40" t="str">
        <f t="shared" si="17"/>
        <v/>
      </c>
    </row>
    <row r="1157" spans="27:27" ht="15" customHeight="1" x14ac:dyDescent="0.25">
      <c r="AA1157" s="40" t="str">
        <f t="shared" si="17"/>
        <v/>
      </c>
    </row>
    <row r="1158" spans="27:27" ht="15" customHeight="1" x14ac:dyDescent="0.25">
      <c r="AA1158" s="40" t="str">
        <f t="shared" si="17"/>
        <v/>
      </c>
    </row>
    <row r="1159" spans="27:27" ht="15" customHeight="1" x14ac:dyDescent="0.25">
      <c r="AA1159" s="40" t="str">
        <f t="shared" si="17"/>
        <v/>
      </c>
    </row>
    <row r="1160" spans="27:27" ht="15" customHeight="1" x14ac:dyDescent="0.25">
      <c r="AA1160" s="40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40" t="str">
        <f t="shared" si="18"/>
        <v/>
      </c>
    </row>
    <row r="1162" spans="27:27" ht="15" customHeight="1" x14ac:dyDescent="0.25">
      <c r="AA1162" s="40" t="str">
        <f t="shared" si="18"/>
        <v/>
      </c>
    </row>
    <row r="1163" spans="27:27" ht="15" customHeight="1" x14ac:dyDescent="0.25">
      <c r="AA1163" s="40" t="str">
        <f t="shared" si="18"/>
        <v/>
      </c>
    </row>
    <row r="1164" spans="27:27" ht="15" customHeight="1" x14ac:dyDescent="0.25">
      <c r="AA1164" s="40" t="str">
        <f t="shared" si="18"/>
        <v/>
      </c>
    </row>
    <row r="1165" spans="27:27" ht="15" customHeight="1" x14ac:dyDescent="0.25">
      <c r="AA1165" s="40" t="str">
        <f t="shared" si="18"/>
        <v/>
      </c>
    </row>
    <row r="1166" spans="27:27" ht="15" customHeight="1" x14ac:dyDescent="0.25">
      <c r="AA1166" s="40" t="str">
        <f t="shared" si="18"/>
        <v/>
      </c>
    </row>
    <row r="1167" spans="27:27" ht="15" customHeight="1" x14ac:dyDescent="0.25">
      <c r="AA1167" s="40" t="str">
        <f t="shared" si="18"/>
        <v/>
      </c>
    </row>
    <row r="1168" spans="27:27" ht="15" customHeight="1" x14ac:dyDescent="0.25">
      <c r="AA1168" s="40" t="str">
        <f t="shared" si="18"/>
        <v/>
      </c>
    </row>
    <row r="1169" spans="27:27" ht="15" customHeight="1" x14ac:dyDescent="0.25">
      <c r="AA1169" s="40" t="str">
        <f t="shared" si="18"/>
        <v/>
      </c>
    </row>
    <row r="1170" spans="27:27" ht="15" customHeight="1" x14ac:dyDescent="0.25">
      <c r="AA1170" s="40" t="str">
        <f t="shared" si="18"/>
        <v/>
      </c>
    </row>
    <row r="1171" spans="27:27" ht="15" customHeight="1" x14ac:dyDescent="0.25">
      <c r="AA1171" s="40" t="str">
        <f t="shared" si="18"/>
        <v/>
      </c>
    </row>
    <row r="1172" spans="27:27" ht="15" customHeight="1" x14ac:dyDescent="0.25">
      <c r="AA1172" s="40" t="str">
        <f t="shared" si="18"/>
        <v/>
      </c>
    </row>
    <row r="1173" spans="27:27" ht="15" customHeight="1" x14ac:dyDescent="0.25">
      <c r="AA1173" s="40" t="str">
        <f t="shared" si="18"/>
        <v/>
      </c>
    </row>
    <row r="1174" spans="27:27" ht="15" customHeight="1" x14ac:dyDescent="0.25">
      <c r="AA1174" s="40" t="str">
        <f t="shared" si="18"/>
        <v/>
      </c>
    </row>
    <row r="1175" spans="27:27" ht="15" customHeight="1" x14ac:dyDescent="0.25">
      <c r="AA1175" s="40" t="str">
        <f t="shared" si="18"/>
        <v/>
      </c>
    </row>
    <row r="1176" spans="27:27" ht="15" customHeight="1" x14ac:dyDescent="0.25">
      <c r="AA1176" s="40" t="str">
        <f t="shared" si="18"/>
        <v/>
      </c>
    </row>
    <row r="1177" spans="27:27" ht="15" customHeight="1" x14ac:dyDescent="0.25">
      <c r="AA1177" s="40" t="str">
        <f t="shared" si="18"/>
        <v/>
      </c>
    </row>
    <row r="1178" spans="27:27" ht="15" customHeight="1" x14ac:dyDescent="0.25">
      <c r="AA1178" s="40" t="str">
        <f t="shared" si="18"/>
        <v/>
      </c>
    </row>
    <row r="1179" spans="27:27" ht="15" customHeight="1" x14ac:dyDescent="0.25">
      <c r="AA1179" s="40" t="str">
        <f t="shared" si="18"/>
        <v/>
      </c>
    </row>
    <row r="1180" spans="27:27" ht="15" customHeight="1" x14ac:dyDescent="0.25">
      <c r="AA1180" s="40" t="str">
        <f t="shared" si="18"/>
        <v/>
      </c>
    </row>
    <row r="1181" spans="27:27" ht="15" customHeight="1" x14ac:dyDescent="0.25">
      <c r="AA1181" s="40" t="str">
        <f t="shared" si="18"/>
        <v/>
      </c>
    </row>
    <row r="1182" spans="27:27" ht="15" customHeight="1" x14ac:dyDescent="0.25">
      <c r="AA1182" s="40" t="str">
        <f t="shared" si="18"/>
        <v/>
      </c>
    </row>
    <row r="1183" spans="27:27" ht="15" customHeight="1" x14ac:dyDescent="0.25">
      <c r="AA1183" s="40" t="str">
        <f t="shared" si="18"/>
        <v/>
      </c>
    </row>
    <row r="1184" spans="27:27" ht="15" customHeight="1" x14ac:dyDescent="0.25">
      <c r="AA1184" s="40" t="str">
        <f t="shared" si="18"/>
        <v/>
      </c>
    </row>
    <row r="1185" spans="27:27" ht="15" customHeight="1" x14ac:dyDescent="0.25">
      <c r="AA1185" s="40" t="str">
        <f t="shared" si="18"/>
        <v/>
      </c>
    </row>
    <row r="1186" spans="27:27" ht="15" customHeight="1" x14ac:dyDescent="0.25">
      <c r="AA1186" s="40" t="str">
        <f t="shared" si="18"/>
        <v/>
      </c>
    </row>
    <row r="1187" spans="27:27" ht="15" customHeight="1" x14ac:dyDescent="0.25">
      <c r="AA1187" s="40" t="str">
        <f t="shared" si="18"/>
        <v/>
      </c>
    </row>
    <row r="1188" spans="27:27" ht="15" customHeight="1" x14ac:dyDescent="0.25">
      <c r="AA1188" s="40" t="str">
        <f t="shared" si="18"/>
        <v/>
      </c>
    </row>
    <row r="1189" spans="27:27" ht="15" customHeight="1" x14ac:dyDescent="0.25">
      <c r="AA1189" s="40" t="str">
        <f t="shared" si="18"/>
        <v/>
      </c>
    </row>
    <row r="1190" spans="27:27" ht="15" customHeight="1" x14ac:dyDescent="0.25">
      <c r="AA1190" s="40" t="str">
        <f t="shared" si="18"/>
        <v/>
      </c>
    </row>
    <row r="1191" spans="27:27" ht="15" customHeight="1" x14ac:dyDescent="0.25">
      <c r="AA1191" s="40" t="str">
        <f t="shared" si="18"/>
        <v/>
      </c>
    </row>
    <row r="1192" spans="27:27" ht="15" customHeight="1" x14ac:dyDescent="0.25">
      <c r="AA1192" s="40" t="str">
        <f t="shared" si="18"/>
        <v/>
      </c>
    </row>
    <row r="1193" spans="27:27" ht="15" customHeight="1" x14ac:dyDescent="0.25">
      <c r="AA1193" s="40" t="str">
        <f t="shared" si="18"/>
        <v/>
      </c>
    </row>
    <row r="1194" spans="27:27" ht="15" customHeight="1" x14ac:dyDescent="0.25">
      <c r="AA1194" s="40" t="str">
        <f t="shared" si="18"/>
        <v/>
      </c>
    </row>
    <row r="1195" spans="27:27" ht="15" customHeight="1" x14ac:dyDescent="0.25">
      <c r="AA1195" s="40" t="str">
        <f t="shared" si="18"/>
        <v/>
      </c>
    </row>
    <row r="1196" spans="27:27" ht="15" customHeight="1" x14ac:dyDescent="0.25">
      <c r="AA1196" s="40" t="str">
        <f t="shared" si="18"/>
        <v/>
      </c>
    </row>
    <row r="1197" spans="27:27" ht="15" customHeight="1" x14ac:dyDescent="0.25">
      <c r="AA1197" s="40" t="str">
        <f t="shared" si="18"/>
        <v/>
      </c>
    </row>
    <row r="1198" spans="27:27" ht="15" customHeight="1" x14ac:dyDescent="0.25">
      <c r="AA1198" s="40" t="str">
        <f t="shared" si="18"/>
        <v/>
      </c>
    </row>
    <row r="1199" spans="27:27" ht="15" customHeight="1" x14ac:dyDescent="0.25">
      <c r="AA1199" s="40" t="str">
        <f t="shared" si="18"/>
        <v/>
      </c>
    </row>
    <row r="1200" spans="27:27" ht="15" customHeight="1" x14ac:dyDescent="0.25">
      <c r="AA1200" s="40" t="str">
        <f t="shared" si="18"/>
        <v/>
      </c>
    </row>
    <row r="1201" spans="27:27" ht="15" customHeight="1" x14ac:dyDescent="0.25">
      <c r="AA1201" s="40" t="str">
        <f t="shared" si="18"/>
        <v/>
      </c>
    </row>
    <row r="1202" spans="27:27" ht="15" customHeight="1" x14ac:dyDescent="0.25">
      <c r="AA1202" s="40" t="str">
        <f t="shared" si="18"/>
        <v/>
      </c>
    </row>
    <row r="1203" spans="27:27" ht="15" customHeight="1" x14ac:dyDescent="0.25">
      <c r="AA1203" s="40" t="str">
        <f t="shared" si="18"/>
        <v/>
      </c>
    </row>
    <row r="1204" spans="27:27" ht="15" customHeight="1" x14ac:dyDescent="0.25">
      <c r="AA1204" s="40" t="str">
        <f t="shared" si="18"/>
        <v/>
      </c>
    </row>
    <row r="1205" spans="27:27" ht="15" customHeight="1" x14ac:dyDescent="0.25">
      <c r="AA1205" s="40" t="str">
        <f t="shared" si="18"/>
        <v/>
      </c>
    </row>
    <row r="1206" spans="27:27" ht="15" customHeight="1" x14ac:dyDescent="0.25">
      <c r="AA1206" s="40" t="str">
        <f t="shared" si="18"/>
        <v/>
      </c>
    </row>
    <row r="1207" spans="27:27" ht="15" customHeight="1" x14ac:dyDescent="0.25">
      <c r="AA1207" s="40" t="str">
        <f t="shared" si="18"/>
        <v/>
      </c>
    </row>
    <row r="1208" spans="27:27" ht="15" customHeight="1" x14ac:dyDescent="0.25">
      <c r="AA1208" s="40" t="str">
        <f t="shared" si="18"/>
        <v/>
      </c>
    </row>
    <row r="1209" spans="27:27" ht="15" customHeight="1" x14ac:dyDescent="0.25">
      <c r="AA1209" s="40" t="str">
        <f t="shared" si="18"/>
        <v/>
      </c>
    </row>
    <row r="1210" spans="27:27" ht="15" customHeight="1" x14ac:dyDescent="0.25">
      <c r="AA1210" s="40" t="str">
        <f t="shared" si="18"/>
        <v/>
      </c>
    </row>
    <row r="1211" spans="27:27" ht="15" customHeight="1" x14ac:dyDescent="0.25">
      <c r="AA1211" s="40" t="str">
        <f t="shared" si="18"/>
        <v/>
      </c>
    </row>
    <row r="1212" spans="27:27" ht="15" customHeight="1" x14ac:dyDescent="0.25">
      <c r="AA1212" s="40" t="str">
        <f t="shared" si="18"/>
        <v/>
      </c>
    </row>
    <row r="1213" spans="27:27" ht="15" customHeight="1" x14ac:dyDescent="0.25">
      <c r="AA1213" s="40" t="str">
        <f t="shared" si="18"/>
        <v/>
      </c>
    </row>
    <row r="1214" spans="27:27" ht="15" customHeight="1" x14ac:dyDescent="0.25">
      <c r="AA1214" s="40" t="str">
        <f t="shared" si="18"/>
        <v/>
      </c>
    </row>
    <row r="1215" spans="27:27" ht="15" customHeight="1" x14ac:dyDescent="0.25">
      <c r="AA1215" s="40" t="str">
        <f t="shared" si="18"/>
        <v/>
      </c>
    </row>
    <row r="1216" spans="27:27" ht="15" customHeight="1" x14ac:dyDescent="0.25">
      <c r="AA1216" s="40" t="str">
        <f t="shared" si="18"/>
        <v/>
      </c>
    </row>
    <row r="1217" spans="27:27" ht="15" customHeight="1" x14ac:dyDescent="0.25">
      <c r="AA1217" s="40" t="str">
        <f t="shared" si="18"/>
        <v/>
      </c>
    </row>
    <row r="1218" spans="27:27" ht="15" customHeight="1" x14ac:dyDescent="0.25">
      <c r="AA1218" s="40" t="str">
        <f t="shared" si="18"/>
        <v/>
      </c>
    </row>
    <row r="1219" spans="27:27" ht="15" customHeight="1" x14ac:dyDescent="0.25">
      <c r="AA1219" s="40" t="str">
        <f t="shared" si="18"/>
        <v/>
      </c>
    </row>
    <row r="1220" spans="27:27" ht="15" customHeight="1" x14ac:dyDescent="0.25">
      <c r="AA1220" s="40" t="str">
        <f t="shared" si="18"/>
        <v/>
      </c>
    </row>
    <row r="1221" spans="27:27" ht="15" customHeight="1" x14ac:dyDescent="0.25">
      <c r="AA1221" s="40" t="str">
        <f t="shared" si="18"/>
        <v/>
      </c>
    </row>
    <row r="1222" spans="27:27" ht="15" customHeight="1" x14ac:dyDescent="0.25">
      <c r="AA1222" s="40" t="str">
        <f t="shared" si="18"/>
        <v/>
      </c>
    </row>
    <row r="1223" spans="27:27" ht="15" customHeight="1" x14ac:dyDescent="0.25">
      <c r="AA1223" s="40" t="str">
        <f t="shared" si="18"/>
        <v/>
      </c>
    </row>
    <row r="1224" spans="27:27" ht="15" customHeight="1" x14ac:dyDescent="0.25">
      <c r="AA1224" s="40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40" t="str">
        <f t="shared" si="19"/>
        <v/>
      </c>
    </row>
    <row r="1226" spans="27:27" ht="15" customHeight="1" x14ac:dyDescent="0.25">
      <c r="AA1226" s="40" t="str">
        <f t="shared" si="19"/>
        <v/>
      </c>
    </row>
    <row r="1227" spans="27:27" ht="15" customHeight="1" x14ac:dyDescent="0.25">
      <c r="AA1227" s="40" t="str">
        <f t="shared" si="19"/>
        <v/>
      </c>
    </row>
    <row r="1228" spans="27:27" ht="15" customHeight="1" x14ac:dyDescent="0.25">
      <c r="AA1228" s="40" t="str">
        <f t="shared" si="19"/>
        <v/>
      </c>
    </row>
    <row r="1229" spans="27:27" ht="15" customHeight="1" x14ac:dyDescent="0.25">
      <c r="AA1229" s="40" t="str">
        <f t="shared" si="19"/>
        <v/>
      </c>
    </row>
    <row r="1230" spans="27:27" ht="15" customHeight="1" x14ac:dyDescent="0.25">
      <c r="AA1230" s="40" t="str">
        <f t="shared" si="19"/>
        <v/>
      </c>
    </row>
    <row r="1231" spans="27:27" ht="15" customHeight="1" x14ac:dyDescent="0.25">
      <c r="AA1231" s="40" t="str">
        <f t="shared" si="19"/>
        <v/>
      </c>
    </row>
    <row r="1232" spans="27:27" ht="15" customHeight="1" x14ac:dyDescent="0.25">
      <c r="AA1232" s="40" t="str">
        <f t="shared" si="19"/>
        <v/>
      </c>
    </row>
    <row r="1233" spans="27:27" ht="15" customHeight="1" x14ac:dyDescent="0.25">
      <c r="AA1233" s="40" t="str">
        <f t="shared" si="19"/>
        <v/>
      </c>
    </row>
    <row r="1234" spans="27:27" ht="15" customHeight="1" x14ac:dyDescent="0.25">
      <c r="AA1234" s="40" t="str">
        <f t="shared" si="19"/>
        <v/>
      </c>
    </row>
    <row r="1235" spans="27:27" ht="15" customHeight="1" x14ac:dyDescent="0.25">
      <c r="AA1235" s="40" t="str">
        <f t="shared" si="19"/>
        <v/>
      </c>
    </row>
    <row r="1236" spans="27:27" ht="15" customHeight="1" x14ac:dyDescent="0.25">
      <c r="AA1236" s="40" t="str">
        <f t="shared" si="19"/>
        <v/>
      </c>
    </row>
    <row r="1237" spans="27:27" ht="15" customHeight="1" x14ac:dyDescent="0.25">
      <c r="AA1237" s="40" t="str">
        <f t="shared" si="19"/>
        <v/>
      </c>
    </row>
    <row r="1238" spans="27:27" ht="15" customHeight="1" x14ac:dyDescent="0.25">
      <c r="AA1238" s="40" t="str">
        <f t="shared" si="19"/>
        <v/>
      </c>
    </row>
    <row r="1239" spans="27:27" ht="15" customHeight="1" x14ac:dyDescent="0.25">
      <c r="AA1239" s="40" t="str">
        <f t="shared" si="19"/>
        <v/>
      </c>
    </row>
    <row r="1240" spans="27:27" ht="15" customHeight="1" x14ac:dyDescent="0.25">
      <c r="AA1240" s="40" t="str">
        <f t="shared" si="19"/>
        <v/>
      </c>
    </row>
    <row r="1241" spans="27:27" ht="15" customHeight="1" x14ac:dyDescent="0.25">
      <c r="AA1241" s="40" t="str">
        <f t="shared" si="19"/>
        <v/>
      </c>
    </row>
    <row r="1242" spans="27:27" ht="15" customHeight="1" x14ac:dyDescent="0.25">
      <c r="AA1242" s="40" t="str">
        <f t="shared" si="19"/>
        <v/>
      </c>
    </row>
    <row r="1243" spans="27:27" ht="15" customHeight="1" x14ac:dyDescent="0.25">
      <c r="AA1243" s="40" t="str">
        <f t="shared" si="19"/>
        <v/>
      </c>
    </row>
    <row r="1244" spans="27:27" ht="15" customHeight="1" x14ac:dyDescent="0.25">
      <c r="AA1244" s="40" t="str">
        <f t="shared" si="19"/>
        <v/>
      </c>
    </row>
    <row r="1245" spans="27:27" ht="15" customHeight="1" x14ac:dyDescent="0.25">
      <c r="AA1245" s="40" t="str">
        <f t="shared" si="19"/>
        <v/>
      </c>
    </row>
    <row r="1246" spans="27:27" ht="15" customHeight="1" x14ac:dyDescent="0.25">
      <c r="AA1246" s="40" t="str">
        <f t="shared" si="19"/>
        <v/>
      </c>
    </row>
    <row r="1247" spans="27:27" ht="15" customHeight="1" x14ac:dyDescent="0.25">
      <c r="AA1247" s="40" t="str">
        <f t="shared" si="19"/>
        <v/>
      </c>
    </row>
    <row r="1248" spans="27:27" ht="15" customHeight="1" x14ac:dyDescent="0.25">
      <c r="AA1248" s="40" t="str">
        <f t="shared" si="19"/>
        <v/>
      </c>
    </row>
    <row r="1249" spans="27:27" ht="15" customHeight="1" x14ac:dyDescent="0.25">
      <c r="AA1249" s="40" t="str">
        <f t="shared" si="19"/>
        <v/>
      </c>
    </row>
    <row r="1250" spans="27:27" ht="15" customHeight="1" x14ac:dyDescent="0.25">
      <c r="AA1250" s="40" t="str">
        <f t="shared" si="19"/>
        <v/>
      </c>
    </row>
    <row r="1251" spans="27:27" ht="15" customHeight="1" x14ac:dyDescent="0.25">
      <c r="AA1251" s="40" t="str">
        <f t="shared" si="19"/>
        <v/>
      </c>
    </row>
    <row r="1252" spans="27:27" ht="15" customHeight="1" x14ac:dyDescent="0.25">
      <c r="AA1252" s="40" t="str">
        <f t="shared" si="19"/>
        <v/>
      </c>
    </row>
    <row r="1253" spans="27:27" ht="15" customHeight="1" x14ac:dyDescent="0.25">
      <c r="AA1253" s="40" t="str">
        <f t="shared" si="19"/>
        <v/>
      </c>
    </row>
    <row r="1254" spans="27:27" ht="15" customHeight="1" x14ac:dyDescent="0.25">
      <c r="AA1254" s="40" t="str">
        <f t="shared" si="19"/>
        <v/>
      </c>
    </row>
    <row r="1255" spans="27:27" ht="15" customHeight="1" x14ac:dyDescent="0.25">
      <c r="AA1255" s="40" t="str">
        <f t="shared" si="19"/>
        <v/>
      </c>
    </row>
    <row r="1256" spans="27:27" ht="15" customHeight="1" x14ac:dyDescent="0.25">
      <c r="AA1256" s="40" t="str">
        <f t="shared" si="19"/>
        <v/>
      </c>
    </row>
    <row r="1257" spans="27:27" ht="15" customHeight="1" x14ac:dyDescent="0.25">
      <c r="AA1257" s="40" t="str">
        <f t="shared" si="19"/>
        <v/>
      </c>
    </row>
    <row r="1258" spans="27:27" ht="15" customHeight="1" x14ac:dyDescent="0.25">
      <c r="AA1258" s="40" t="str">
        <f t="shared" si="19"/>
        <v/>
      </c>
    </row>
    <row r="1259" spans="27:27" ht="15" customHeight="1" x14ac:dyDescent="0.25">
      <c r="AA1259" s="40" t="str">
        <f t="shared" si="19"/>
        <v/>
      </c>
    </row>
    <row r="1260" spans="27:27" ht="15" customHeight="1" x14ac:dyDescent="0.25">
      <c r="AA1260" s="40" t="str">
        <f t="shared" si="19"/>
        <v/>
      </c>
    </row>
    <row r="1261" spans="27:27" ht="15" customHeight="1" x14ac:dyDescent="0.25">
      <c r="AA1261" s="40" t="str">
        <f t="shared" si="19"/>
        <v/>
      </c>
    </row>
    <row r="1262" spans="27:27" ht="15" customHeight="1" x14ac:dyDescent="0.25">
      <c r="AA1262" s="40" t="str">
        <f t="shared" si="19"/>
        <v/>
      </c>
    </row>
    <row r="1263" spans="27:27" ht="15" customHeight="1" x14ac:dyDescent="0.25">
      <c r="AA1263" s="40" t="str">
        <f t="shared" si="19"/>
        <v/>
      </c>
    </row>
    <row r="1264" spans="27:27" ht="15" customHeight="1" x14ac:dyDescent="0.25">
      <c r="AA1264" s="40" t="str">
        <f t="shared" si="19"/>
        <v/>
      </c>
    </row>
    <row r="1265" spans="27:27" ht="15" customHeight="1" x14ac:dyDescent="0.25">
      <c r="AA1265" s="40" t="str">
        <f t="shared" si="19"/>
        <v/>
      </c>
    </row>
    <row r="1266" spans="27:27" ht="15" customHeight="1" x14ac:dyDescent="0.25">
      <c r="AA1266" s="40" t="str">
        <f t="shared" si="19"/>
        <v/>
      </c>
    </row>
    <row r="1267" spans="27:27" ht="15" customHeight="1" x14ac:dyDescent="0.25">
      <c r="AA1267" s="40" t="str">
        <f t="shared" si="19"/>
        <v/>
      </c>
    </row>
    <row r="1268" spans="27:27" ht="15" customHeight="1" x14ac:dyDescent="0.25">
      <c r="AA1268" s="40" t="str">
        <f t="shared" si="19"/>
        <v/>
      </c>
    </row>
    <row r="1269" spans="27:27" ht="15" customHeight="1" x14ac:dyDescent="0.25">
      <c r="AA1269" s="40" t="str">
        <f t="shared" si="19"/>
        <v/>
      </c>
    </row>
    <row r="1270" spans="27:27" ht="15" customHeight="1" x14ac:dyDescent="0.25">
      <c r="AA1270" s="40" t="str">
        <f t="shared" si="19"/>
        <v/>
      </c>
    </row>
    <row r="1271" spans="27:27" ht="15" customHeight="1" x14ac:dyDescent="0.25">
      <c r="AA1271" s="40" t="str">
        <f t="shared" si="19"/>
        <v/>
      </c>
    </row>
    <row r="1272" spans="27:27" ht="15" customHeight="1" x14ac:dyDescent="0.25">
      <c r="AA1272" s="40" t="str">
        <f t="shared" si="19"/>
        <v/>
      </c>
    </row>
    <row r="1273" spans="27:27" ht="15" customHeight="1" x14ac:dyDescent="0.25">
      <c r="AA1273" s="40" t="str">
        <f t="shared" si="19"/>
        <v/>
      </c>
    </row>
    <row r="1274" spans="27:27" ht="15" customHeight="1" x14ac:dyDescent="0.25">
      <c r="AA1274" s="40" t="str">
        <f t="shared" si="19"/>
        <v/>
      </c>
    </row>
    <row r="1275" spans="27:27" ht="15" customHeight="1" x14ac:dyDescent="0.25">
      <c r="AA1275" s="40" t="str">
        <f t="shared" si="19"/>
        <v/>
      </c>
    </row>
    <row r="1276" spans="27:27" ht="15" customHeight="1" x14ac:dyDescent="0.25">
      <c r="AA1276" s="40" t="str">
        <f t="shared" si="19"/>
        <v/>
      </c>
    </row>
    <row r="1277" spans="27:27" ht="15" customHeight="1" x14ac:dyDescent="0.25">
      <c r="AA1277" s="40" t="str">
        <f t="shared" si="19"/>
        <v/>
      </c>
    </row>
    <row r="1278" spans="27:27" ht="15" customHeight="1" x14ac:dyDescent="0.25">
      <c r="AA1278" s="40" t="str">
        <f t="shared" si="19"/>
        <v/>
      </c>
    </row>
    <row r="1279" spans="27:27" ht="15" customHeight="1" x14ac:dyDescent="0.25">
      <c r="AA1279" s="40" t="str">
        <f t="shared" si="19"/>
        <v/>
      </c>
    </row>
    <row r="1280" spans="27:27" ht="15" customHeight="1" x14ac:dyDescent="0.25">
      <c r="AA1280" s="40" t="str">
        <f t="shared" si="19"/>
        <v/>
      </c>
    </row>
    <row r="1281" spans="27:27" ht="15" customHeight="1" x14ac:dyDescent="0.25">
      <c r="AA1281" s="40" t="str">
        <f t="shared" si="19"/>
        <v/>
      </c>
    </row>
    <row r="1282" spans="27:27" ht="15" customHeight="1" x14ac:dyDescent="0.25">
      <c r="AA1282" s="40" t="str">
        <f t="shared" si="19"/>
        <v/>
      </c>
    </row>
    <row r="1283" spans="27:27" ht="15" customHeight="1" x14ac:dyDescent="0.25">
      <c r="AA1283" s="40" t="str">
        <f t="shared" si="19"/>
        <v/>
      </c>
    </row>
    <row r="1284" spans="27:27" ht="15" customHeight="1" x14ac:dyDescent="0.25">
      <c r="AA1284" s="40" t="str">
        <f t="shared" si="19"/>
        <v/>
      </c>
    </row>
    <row r="1285" spans="27:27" ht="15" customHeight="1" x14ac:dyDescent="0.25">
      <c r="AA1285" s="40" t="str">
        <f t="shared" si="19"/>
        <v/>
      </c>
    </row>
    <row r="1286" spans="27:27" ht="15" customHeight="1" x14ac:dyDescent="0.25">
      <c r="AA1286" s="40" t="str">
        <f t="shared" si="19"/>
        <v/>
      </c>
    </row>
    <row r="1287" spans="27:27" ht="15" customHeight="1" x14ac:dyDescent="0.25">
      <c r="AA1287" s="40" t="str">
        <f t="shared" si="19"/>
        <v/>
      </c>
    </row>
    <row r="1288" spans="27:27" ht="15" customHeight="1" x14ac:dyDescent="0.25">
      <c r="AA1288" s="40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40" t="str">
        <f t="shared" si="20"/>
        <v/>
      </c>
    </row>
    <row r="1290" spans="27:27" ht="15" customHeight="1" x14ac:dyDescent="0.25">
      <c r="AA1290" s="40" t="str">
        <f t="shared" si="20"/>
        <v/>
      </c>
    </row>
    <row r="1291" spans="27:27" ht="15" customHeight="1" x14ac:dyDescent="0.25">
      <c r="AA1291" s="40" t="str">
        <f t="shared" si="20"/>
        <v/>
      </c>
    </row>
    <row r="1292" spans="27:27" ht="15" customHeight="1" x14ac:dyDescent="0.25">
      <c r="AA1292" s="40" t="str">
        <f t="shared" si="20"/>
        <v/>
      </c>
    </row>
    <row r="1293" spans="27:27" ht="15" customHeight="1" x14ac:dyDescent="0.25">
      <c r="AA1293" s="40" t="str">
        <f t="shared" si="20"/>
        <v/>
      </c>
    </row>
    <row r="1294" spans="27:27" ht="15" customHeight="1" x14ac:dyDescent="0.25">
      <c r="AA1294" s="40" t="str">
        <f t="shared" si="20"/>
        <v/>
      </c>
    </row>
    <row r="1295" spans="27:27" ht="15" customHeight="1" x14ac:dyDescent="0.25">
      <c r="AA1295" s="40" t="str">
        <f t="shared" si="20"/>
        <v/>
      </c>
    </row>
    <row r="1296" spans="27:27" ht="15" customHeight="1" x14ac:dyDescent="0.25">
      <c r="AA1296" s="40" t="str">
        <f t="shared" si="20"/>
        <v/>
      </c>
    </row>
    <row r="1297" spans="27:27" ht="15" customHeight="1" x14ac:dyDescent="0.25">
      <c r="AA1297" s="40" t="str">
        <f t="shared" si="20"/>
        <v/>
      </c>
    </row>
    <row r="1298" spans="27:27" ht="15" customHeight="1" x14ac:dyDescent="0.25">
      <c r="AA1298" s="40" t="str">
        <f t="shared" si="20"/>
        <v/>
      </c>
    </row>
    <row r="1299" spans="27:27" ht="15" customHeight="1" x14ac:dyDescent="0.25">
      <c r="AA1299" s="40" t="str">
        <f t="shared" si="20"/>
        <v/>
      </c>
    </row>
    <row r="1300" spans="27:27" ht="15" customHeight="1" x14ac:dyDescent="0.25">
      <c r="AA1300" s="40" t="str">
        <f t="shared" si="20"/>
        <v/>
      </c>
    </row>
    <row r="1301" spans="27:27" ht="15" customHeight="1" x14ac:dyDescent="0.25">
      <c r="AA1301" s="40" t="str">
        <f t="shared" si="20"/>
        <v/>
      </c>
    </row>
    <row r="1302" spans="27:27" ht="15" customHeight="1" x14ac:dyDescent="0.25">
      <c r="AA1302" s="40" t="str">
        <f t="shared" si="20"/>
        <v/>
      </c>
    </row>
    <row r="1303" spans="27:27" ht="15" customHeight="1" x14ac:dyDescent="0.25">
      <c r="AA1303" s="40" t="str">
        <f t="shared" si="20"/>
        <v/>
      </c>
    </row>
    <row r="1304" spans="27:27" ht="15" customHeight="1" x14ac:dyDescent="0.25">
      <c r="AA1304" s="40" t="str">
        <f t="shared" si="20"/>
        <v/>
      </c>
    </row>
    <row r="1305" spans="27:27" ht="15" customHeight="1" x14ac:dyDescent="0.25">
      <c r="AA1305" s="40" t="str">
        <f t="shared" si="20"/>
        <v/>
      </c>
    </row>
    <row r="1306" spans="27:27" ht="15" customHeight="1" x14ac:dyDescent="0.25">
      <c r="AA1306" s="40" t="str">
        <f t="shared" si="20"/>
        <v/>
      </c>
    </row>
    <row r="1307" spans="27:27" ht="15" customHeight="1" x14ac:dyDescent="0.25">
      <c r="AA1307" s="40" t="str">
        <f t="shared" si="20"/>
        <v/>
      </c>
    </row>
    <row r="1308" spans="27:27" ht="15" customHeight="1" x14ac:dyDescent="0.25">
      <c r="AA1308" s="40" t="str">
        <f t="shared" si="20"/>
        <v/>
      </c>
    </row>
    <row r="1309" spans="27:27" ht="15" customHeight="1" x14ac:dyDescent="0.25">
      <c r="AA1309" s="40" t="str">
        <f t="shared" si="20"/>
        <v/>
      </c>
    </row>
    <row r="1310" spans="27:27" ht="15" customHeight="1" x14ac:dyDescent="0.25">
      <c r="AA1310" s="40" t="str">
        <f t="shared" si="20"/>
        <v/>
      </c>
    </row>
    <row r="1311" spans="27:27" ht="15" customHeight="1" x14ac:dyDescent="0.25">
      <c r="AA1311" s="40" t="str">
        <f t="shared" si="20"/>
        <v/>
      </c>
    </row>
    <row r="1312" spans="27:27" ht="15" customHeight="1" x14ac:dyDescent="0.25">
      <c r="AA1312" s="40" t="str">
        <f t="shared" si="20"/>
        <v/>
      </c>
    </row>
    <row r="1313" spans="27:27" ht="15" customHeight="1" x14ac:dyDescent="0.25">
      <c r="AA1313" s="40" t="str">
        <f t="shared" si="20"/>
        <v/>
      </c>
    </row>
    <row r="1314" spans="27:27" ht="15" customHeight="1" x14ac:dyDescent="0.25">
      <c r="AA1314" s="40" t="str">
        <f t="shared" si="20"/>
        <v/>
      </c>
    </row>
    <row r="1315" spans="27:27" ht="15" customHeight="1" x14ac:dyDescent="0.25">
      <c r="AA1315" s="40" t="str">
        <f t="shared" si="20"/>
        <v/>
      </c>
    </row>
    <row r="1316" spans="27:27" ht="15" customHeight="1" x14ac:dyDescent="0.25">
      <c r="AA1316" s="40" t="str">
        <f t="shared" si="20"/>
        <v/>
      </c>
    </row>
    <row r="1317" spans="27:27" ht="15" customHeight="1" x14ac:dyDescent="0.25">
      <c r="AA1317" s="40" t="str">
        <f t="shared" si="20"/>
        <v/>
      </c>
    </row>
    <row r="1318" spans="27:27" ht="15" customHeight="1" x14ac:dyDescent="0.25">
      <c r="AA1318" s="40" t="str">
        <f t="shared" si="20"/>
        <v/>
      </c>
    </row>
    <row r="1319" spans="27:27" ht="15" customHeight="1" x14ac:dyDescent="0.25">
      <c r="AA1319" s="40" t="str">
        <f t="shared" si="20"/>
        <v/>
      </c>
    </row>
    <row r="1320" spans="27:27" ht="15" customHeight="1" x14ac:dyDescent="0.25">
      <c r="AA1320" s="40" t="str">
        <f t="shared" si="20"/>
        <v/>
      </c>
    </row>
    <row r="1321" spans="27:27" ht="15" customHeight="1" x14ac:dyDescent="0.25">
      <c r="AA1321" s="40" t="str">
        <f t="shared" si="20"/>
        <v/>
      </c>
    </row>
    <row r="1322" spans="27:27" ht="15" customHeight="1" x14ac:dyDescent="0.25">
      <c r="AA1322" s="40" t="str">
        <f t="shared" si="20"/>
        <v/>
      </c>
    </row>
    <row r="1323" spans="27:27" ht="15" customHeight="1" x14ac:dyDescent="0.25">
      <c r="AA1323" s="40" t="str">
        <f t="shared" si="20"/>
        <v/>
      </c>
    </row>
    <row r="1324" spans="27:27" ht="15" customHeight="1" x14ac:dyDescent="0.25">
      <c r="AA1324" s="40" t="str">
        <f t="shared" si="20"/>
        <v/>
      </c>
    </row>
    <row r="1325" spans="27:27" ht="15" customHeight="1" x14ac:dyDescent="0.25">
      <c r="AA1325" s="40" t="str">
        <f t="shared" si="20"/>
        <v/>
      </c>
    </row>
    <row r="1326" spans="27:27" ht="15" customHeight="1" x14ac:dyDescent="0.25">
      <c r="AA1326" s="40" t="str">
        <f t="shared" si="20"/>
        <v/>
      </c>
    </row>
    <row r="1327" spans="27:27" ht="15" customHeight="1" x14ac:dyDescent="0.25">
      <c r="AA1327" s="40" t="str">
        <f t="shared" si="20"/>
        <v/>
      </c>
    </row>
    <row r="1328" spans="27:27" ht="15" customHeight="1" x14ac:dyDescent="0.25">
      <c r="AA1328" s="40" t="str">
        <f t="shared" si="20"/>
        <v/>
      </c>
    </row>
    <row r="1329" spans="27:27" ht="15" customHeight="1" x14ac:dyDescent="0.25">
      <c r="AA1329" s="40" t="str">
        <f t="shared" si="20"/>
        <v/>
      </c>
    </row>
    <row r="1330" spans="27:27" ht="15" customHeight="1" x14ac:dyDescent="0.25">
      <c r="AA1330" s="40" t="str">
        <f t="shared" si="20"/>
        <v/>
      </c>
    </row>
    <row r="1331" spans="27:27" ht="15" customHeight="1" x14ac:dyDescent="0.25">
      <c r="AA1331" s="40" t="str">
        <f t="shared" si="20"/>
        <v/>
      </c>
    </row>
    <row r="1332" spans="27:27" ht="15" customHeight="1" x14ac:dyDescent="0.25">
      <c r="AA1332" s="40" t="str">
        <f t="shared" si="20"/>
        <v/>
      </c>
    </row>
    <row r="1333" spans="27:27" ht="15" customHeight="1" x14ac:dyDescent="0.25">
      <c r="AA1333" s="40" t="str">
        <f t="shared" si="20"/>
        <v/>
      </c>
    </row>
    <row r="1334" spans="27:27" ht="15" customHeight="1" x14ac:dyDescent="0.25">
      <c r="AA1334" s="40" t="str">
        <f t="shared" si="20"/>
        <v/>
      </c>
    </row>
    <row r="1335" spans="27:27" ht="15" customHeight="1" x14ac:dyDescent="0.25">
      <c r="AA1335" s="40" t="str">
        <f t="shared" si="20"/>
        <v/>
      </c>
    </row>
    <row r="1336" spans="27:27" ht="15" customHeight="1" x14ac:dyDescent="0.25">
      <c r="AA1336" s="40" t="str">
        <f t="shared" si="20"/>
        <v/>
      </c>
    </row>
    <row r="1337" spans="27:27" ht="15" customHeight="1" x14ac:dyDescent="0.25">
      <c r="AA1337" s="40" t="str">
        <f t="shared" si="20"/>
        <v/>
      </c>
    </row>
    <row r="1338" spans="27:27" ht="15" customHeight="1" x14ac:dyDescent="0.25">
      <c r="AA1338" s="40" t="str">
        <f t="shared" si="20"/>
        <v/>
      </c>
    </row>
    <row r="1339" spans="27:27" ht="15" customHeight="1" x14ac:dyDescent="0.25">
      <c r="AA1339" s="40" t="str">
        <f t="shared" si="20"/>
        <v/>
      </c>
    </row>
    <row r="1340" spans="27:27" ht="15" customHeight="1" x14ac:dyDescent="0.25">
      <c r="AA1340" s="40" t="str">
        <f t="shared" si="20"/>
        <v/>
      </c>
    </row>
    <row r="1341" spans="27:27" ht="15" customHeight="1" x14ac:dyDescent="0.25">
      <c r="AA1341" s="40" t="str">
        <f t="shared" si="20"/>
        <v/>
      </c>
    </row>
    <row r="1342" spans="27:27" ht="15" customHeight="1" x14ac:dyDescent="0.25">
      <c r="AA1342" s="40" t="str">
        <f t="shared" si="20"/>
        <v/>
      </c>
    </row>
    <row r="1343" spans="27:27" ht="15" customHeight="1" x14ac:dyDescent="0.25">
      <c r="AA1343" s="40" t="str">
        <f t="shared" si="20"/>
        <v/>
      </c>
    </row>
    <row r="1344" spans="27:27" ht="15" customHeight="1" x14ac:dyDescent="0.25">
      <c r="AA1344" s="40" t="str">
        <f t="shared" si="20"/>
        <v/>
      </c>
    </row>
    <row r="1345" spans="27:27" ht="15" customHeight="1" x14ac:dyDescent="0.25">
      <c r="AA1345" s="40" t="str">
        <f t="shared" si="20"/>
        <v/>
      </c>
    </row>
    <row r="1346" spans="27:27" ht="15" customHeight="1" x14ac:dyDescent="0.25">
      <c r="AA1346" s="40" t="str">
        <f t="shared" si="20"/>
        <v/>
      </c>
    </row>
    <row r="1347" spans="27:27" ht="15" customHeight="1" x14ac:dyDescent="0.25">
      <c r="AA1347" s="40" t="str">
        <f t="shared" si="20"/>
        <v/>
      </c>
    </row>
    <row r="1348" spans="27:27" ht="15" customHeight="1" x14ac:dyDescent="0.25">
      <c r="AA1348" s="40" t="str">
        <f t="shared" si="20"/>
        <v/>
      </c>
    </row>
    <row r="1349" spans="27:27" ht="15" customHeight="1" x14ac:dyDescent="0.25">
      <c r="AA1349" s="40" t="str">
        <f t="shared" si="20"/>
        <v/>
      </c>
    </row>
    <row r="1350" spans="27:27" ht="15" customHeight="1" x14ac:dyDescent="0.25">
      <c r="AA1350" s="40" t="str">
        <f t="shared" si="20"/>
        <v/>
      </c>
    </row>
    <row r="1351" spans="27:27" ht="15" customHeight="1" x14ac:dyDescent="0.25">
      <c r="AA1351" s="40" t="str">
        <f t="shared" si="20"/>
        <v/>
      </c>
    </row>
    <row r="1352" spans="27:27" ht="15" customHeight="1" x14ac:dyDescent="0.25">
      <c r="AA1352" s="40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40" t="str">
        <f t="shared" si="21"/>
        <v/>
      </c>
    </row>
    <row r="1354" spans="27:27" ht="15" customHeight="1" x14ac:dyDescent="0.25">
      <c r="AA1354" s="40" t="str">
        <f t="shared" si="21"/>
        <v/>
      </c>
    </row>
    <row r="1355" spans="27:27" ht="15" customHeight="1" x14ac:dyDescent="0.25">
      <c r="AA1355" s="40" t="str">
        <f t="shared" si="21"/>
        <v/>
      </c>
    </row>
    <row r="1356" spans="27:27" ht="15" customHeight="1" x14ac:dyDescent="0.25">
      <c r="AA1356" s="40" t="str">
        <f t="shared" si="21"/>
        <v/>
      </c>
    </row>
    <row r="1357" spans="27:27" ht="15" customHeight="1" x14ac:dyDescent="0.25">
      <c r="AA1357" s="40" t="str">
        <f t="shared" si="21"/>
        <v/>
      </c>
    </row>
    <row r="1358" spans="27:27" ht="15" customHeight="1" x14ac:dyDescent="0.25">
      <c r="AA1358" s="40" t="str">
        <f t="shared" si="21"/>
        <v/>
      </c>
    </row>
    <row r="1359" spans="27:27" ht="15" customHeight="1" x14ac:dyDescent="0.25">
      <c r="AA1359" s="40" t="str">
        <f t="shared" si="21"/>
        <v/>
      </c>
    </row>
    <row r="1360" spans="27:27" ht="15" customHeight="1" x14ac:dyDescent="0.25">
      <c r="AA1360" s="40" t="str">
        <f t="shared" si="21"/>
        <v/>
      </c>
    </row>
    <row r="1361" spans="27:27" ht="15" customHeight="1" x14ac:dyDescent="0.25">
      <c r="AA1361" s="40" t="str">
        <f t="shared" si="21"/>
        <v/>
      </c>
    </row>
    <row r="1362" spans="27:27" ht="15" customHeight="1" x14ac:dyDescent="0.25">
      <c r="AA1362" s="40" t="str">
        <f t="shared" si="21"/>
        <v/>
      </c>
    </row>
    <row r="1363" spans="27:27" ht="15" customHeight="1" x14ac:dyDescent="0.25">
      <c r="AA1363" s="40" t="str">
        <f t="shared" si="21"/>
        <v/>
      </c>
    </row>
    <row r="1364" spans="27:27" ht="15" customHeight="1" x14ac:dyDescent="0.25">
      <c r="AA1364" s="40" t="str">
        <f t="shared" si="21"/>
        <v/>
      </c>
    </row>
    <row r="1365" spans="27:27" ht="15" customHeight="1" x14ac:dyDescent="0.25">
      <c r="AA1365" s="40" t="str">
        <f t="shared" si="21"/>
        <v/>
      </c>
    </row>
    <row r="1366" spans="27:27" ht="15" customHeight="1" x14ac:dyDescent="0.25">
      <c r="AA1366" s="40" t="str">
        <f t="shared" si="21"/>
        <v/>
      </c>
    </row>
    <row r="1367" spans="27:27" ht="15" customHeight="1" x14ac:dyDescent="0.25">
      <c r="AA1367" s="40" t="str">
        <f t="shared" si="21"/>
        <v/>
      </c>
    </row>
    <row r="1368" spans="27:27" ht="15" customHeight="1" x14ac:dyDescent="0.25">
      <c r="AA1368" s="40" t="str">
        <f t="shared" si="21"/>
        <v/>
      </c>
    </row>
    <row r="1369" spans="27:27" ht="15" customHeight="1" x14ac:dyDescent="0.25">
      <c r="AA1369" s="40" t="str">
        <f t="shared" si="21"/>
        <v/>
      </c>
    </row>
    <row r="1370" spans="27:27" ht="15" customHeight="1" x14ac:dyDescent="0.25">
      <c r="AA1370" s="40" t="str">
        <f t="shared" si="21"/>
        <v/>
      </c>
    </row>
    <row r="1371" spans="27:27" ht="15" customHeight="1" x14ac:dyDescent="0.25">
      <c r="AA1371" s="40" t="str">
        <f t="shared" si="21"/>
        <v/>
      </c>
    </row>
    <row r="1372" spans="27:27" ht="15" customHeight="1" x14ac:dyDescent="0.25">
      <c r="AA1372" s="40" t="str">
        <f t="shared" si="21"/>
        <v/>
      </c>
    </row>
    <row r="1373" spans="27:27" ht="15" customHeight="1" x14ac:dyDescent="0.25">
      <c r="AA1373" s="40" t="str">
        <f t="shared" si="21"/>
        <v/>
      </c>
    </row>
    <row r="1374" spans="27:27" ht="15" customHeight="1" x14ac:dyDescent="0.25">
      <c r="AA1374" s="40" t="str">
        <f t="shared" si="21"/>
        <v/>
      </c>
    </row>
    <row r="1375" spans="27:27" ht="15" customHeight="1" x14ac:dyDescent="0.25">
      <c r="AA1375" s="40" t="str">
        <f t="shared" si="21"/>
        <v/>
      </c>
    </row>
    <row r="1376" spans="27:27" ht="15" customHeight="1" x14ac:dyDescent="0.25">
      <c r="AA1376" s="40" t="str">
        <f t="shared" si="21"/>
        <v/>
      </c>
    </row>
    <row r="1377" spans="27:27" ht="15" customHeight="1" x14ac:dyDescent="0.25">
      <c r="AA1377" s="40" t="str">
        <f t="shared" si="21"/>
        <v/>
      </c>
    </row>
    <row r="1378" spans="27:27" ht="15" customHeight="1" x14ac:dyDescent="0.25">
      <c r="AA1378" s="40" t="str">
        <f t="shared" si="21"/>
        <v/>
      </c>
    </row>
    <row r="1379" spans="27:27" ht="15" customHeight="1" x14ac:dyDescent="0.25">
      <c r="AA1379" s="40" t="str">
        <f t="shared" si="21"/>
        <v/>
      </c>
    </row>
    <row r="1380" spans="27:27" ht="15" customHeight="1" x14ac:dyDescent="0.25">
      <c r="AA1380" s="40" t="str">
        <f t="shared" si="21"/>
        <v/>
      </c>
    </row>
    <row r="1381" spans="27:27" ht="15" customHeight="1" x14ac:dyDescent="0.25">
      <c r="AA1381" s="40" t="str">
        <f t="shared" si="21"/>
        <v/>
      </c>
    </row>
    <row r="1382" spans="27:27" ht="15" customHeight="1" x14ac:dyDescent="0.25">
      <c r="AA1382" s="40" t="str">
        <f t="shared" si="21"/>
        <v/>
      </c>
    </row>
    <row r="1383" spans="27:27" ht="15" customHeight="1" x14ac:dyDescent="0.25">
      <c r="AA1383" s="40" t="str">
        <f t="shared" si="21"/>
        <v/>
      </c>
    </row>
    <row r="1384" spans="27:27" ht="15" customHeight="1" x14ac:dyDescent="0.25">
      <c r="AA1384" s="40" t="str">
        <f t="shared" si="21"/>
        <v/>
      </c>
    </row>
    <row r="1385" spans="27:27" ht="15" customHeight="1" x14ac:dyDescent="0.25">
      <c r="AA1385" s="40" t="str">
        <f t="shared" si="21"/>
        <v/>
      </c>
    </row>
    <row r="1386" spans="27:27" ht="15" customHeight="1" x14ac:dyDescent="0.25">
      <c r="AA1386" s="40" t="str">
        <f t="shared" si="21"/>
        <v/>
      </c>
    </row>
    <row r="1387" spans="27:27" ht="15" customHeight="1" x14ac:dyDescent="0.25">
      <c r="AA1387" s="40" t="str">
        <f t="shared" si="21"/>
        <v/>
      </c>
    </row>
    <row r="1388" spans="27:27" ht="15" customHeight="1" x14ac:dyDescent="0.25">
      <c r="AA1388" s="40" t="str">
        <f t="shared" si="21"/>
        <v/>
      </c>
    </row>
    <row r="1389" spans="27:27" ht="15" customHeight="1" x14ac:dyDescent="0.25">
      <c r="AA1389" s="40" t="str">
        <f t="shared" si="21"/>
        <v/>
      </c>
    </row>
    <row r="1390" spans="27:27" ht="15" customHeight="1" x14ac:dyDescent="0.25">
      <c r="AA1390" s="40" t="str">
        <f t="shared" si="21"/>
        <v/>
      </c>
    </row>
    <row r="1391" spans="27:27" ht="15" customHeight="1" x14ac:dyDescent="0.25">
      <c r="AA1391" s="40" t="str">
        <f t="shared" si="21"/>
        <v/>
      </c>
    </row>
    <row r="1392" spans="27:27" ht="15" customHeight="1" x14ac:dyDescent="0.25">
      <c r="AA1392" s="40" t="str">
        <f t="shared" si="21"/>
        <v/>
      </c>
    </row>
    <row r="1393" spans="27:27" ht="15" customHeight="1" x14ac:dyDescent="0.25">
      <c r="AA1393" s="40" t="str">
        <f t="shared" si="21"/>
        <v/>
      </c>
    </row>
    <row r="1394" spans="27:27" ht="15" customHeight="1" x14ac:dyDescent="0.25">
      <c r="AA1394" s="40" t="str">
        <f t="shared" si="21"/>
        <v/>
      </c>
    </row>
    <row r="1395" spans="27:27" ht="15" customHeight="1" x14ac:dyDescent="0.25">
      <c r="AA1395" s="40" t="str">
        <f t="shared" si="21"/>
        <v/>
      </c>
    </row>
    <row r="1396" spans="27:27" ht="15" customHeight="1" x14ac:dyDescent="0.25">
      <c r="AA1396" s="40" t="str">
        <f t="shared" si="21"/>
        <v/>
      </c>
    </row>
    <row r="1397" spans="27:27" ht="15" customHeight="1" x14ac:dyDescent="0.25">
      <c r="AA1397" s="40" t="str">
        <f t="shared" si="21"/>
        <v/>
      </c>
    </row>
    <row r="1398" spans="27:27" ht="15" customHeight="1" x14ac:dyDescent="0.25">
      <c r="AA1398" s="40" t="str">
        <f t="shared" si="21"/>
        <v/>
      </c>
    </row>
    <row r="1399" spans="27:27" ht="15" customHeight="1" x14ac:dyDescent="0.25">
      <c r="AA1399" s="40" t="str">
        <f t="shared" si="21"/>
        <v/>
      </c>
    </row>
    <row r="1400" spans="27:27" ht="15" customHeight="1" x14ac:dyDescent="0.25">
      <c r="AA1400" s="40" t="str">
        <f t="shared" si="21"/>
        <v/>
      </c>
    </row>
    <row r="1401" spans="27:27" ht="15" customHeight="1" x14ac:dyDescent="0.25">
      <c r="AA1401" s="40" t="str">
        <f t="shared" si="21"/>
        <v/>
      </c>
    </row>
    <row r="1402" spans="27:27" ht="15" customHeight="1" x14ac:dyDescent="0.25">
      <c r="AA1402" s="40" t="str">
        <f t="shared" si="21"/>
        <v/>
      </c>
    </row>
    <row r="1403" spans="27:27" ht="15" customHeight="1" x14ac:dyDescent="0.25">
      <c r="AA1403" s="40" t="str">
        <f t="shared" si="21"/>
        <v/>
      </c>
    </row>
    <row r="1404" spans="27:27" ht="15" customHeight="1" x14ac:dyDescent="0.25">
      <c r="AA1404" s="40" t="str">
        <f t="shared" si="21"/>
        <v/>
      </c>
    </row>
    <row r="1405" spans="27:27" ht="15" customHeight="1" x14ac:dyDescent="0.25">
      <c r="AA1405" s="40" t="str">
        <f t="shared" si="21"/>
        <v/>
      </c>
    </row>
    <row r="1406" spans="27:27" ht="15" customHeight="1" x14ac:dyDescent="0.25">
      <c r="AA1406" s="40" t="str">
        <f t="shared" si="21"/>
        <v/>
      </c>
    </row>
    <row r="1407" spans="27:27" ht="15" customHeight="1" x14ac:dyDescent="0.25">
      <c r="AA1407" s="40" t="str">
        <f t="shared" si="21"/>
        <v/>
      </c>
    </row>
    <row r="1408" spans="27:27" ht="15" customHeight="1" x14ac:dyDescent="0.25">
      <c r="AA1408" s="40" t="str">
        <f t="shared" si="21"/>
        <v/>
      </c>
    </row>
    <row r="1409" spans="27:27" ht="15" customHeight="1" x14ac:dyDescent="0.25">
      <c r="AA1409" s="40" t="str">
        <f t="shared" si="21"/>
        <v/>
      </c>
    </row>
    <row r="1410" spans="27:27" ht="15" customHeight="1" x14ac:dyDescent="0.25">
      <c r="AA1410" s="40" t="str">
        <f t="shared" si="21"/>
        <v/>
      </c>
    </row>
    <row r="1411" spans="27:27" ht="15" customHeight="1" x14ac:dyDescent="0.25">
      <c r="AA1411" s="40" t="str">
        <f t="shared" si="21"/>
        <v/>
      </c>
    </row>
    <row r="1412" spans="27:27" ht="15" customHeight="1" x14ac:dyDescent="0.25">
      <c r="AA1412" s="40" t="str">
        <f t="shared" si="21"/>
        <v/>
      </c>
    </row>
    <row r="1413" spans="27:27" ht="15" customHeight="1" x14ac:dyDescent="0.25">
      <c r="AA1413" s="40" t="str">
        <f t="shared" si="21"/>
        <v/>
      </c>
    </row>
    <row r="1414" spans="27:27" ht="15" customHeight="1" x14ac:dyDescent="0.25">
      <c r="AA1414" s="40" t="str">
        <f t="shared" si="21"/>
        <v/>
      </c>
    </row>
    <row r="1415" spans="27:27" ht="15" customHeight="1" x14ac:dyDescent="0.25">
      <c r="AA1415" s="40" t="str">
        <f t="shared" si="21"/>
        <v/>
      </c>
    </row>
    <row r="1416" spans="27:27" ht="15" customHeight="1" x14ac:dyDescent="0.25">
      <c r="AA1416" s="40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40" t="str">
        <f t="shared" si="22"/>
        <v/>
      </c>
    </row>
    <row r="1418" spans="27:27" ht="15" customHeight="1" x14ac:dyDescent="0.25">
      <c r="AA1418" s="40" t="str">
        <f t="shared" si="22"/>
        <v/>
      </c>
    </row>
    <row r="1419" spans="27:27" ht="15" customHeight="1" x14ac:dyDescent="0.25">
      <c r="AA1419" s="40" t="str">
        <f t="shared" si="22"/>
        <v/>
      </c>
    </row>
    <row r="1420" spans="27:27" ht="15" customHeight="1" x14ac:dyDescent="0.25">
      <c r="AA1420" s="40" t="str">
        <f t="shared" si="22"/>
        <v/>
      </c>
    </row>
    <row r="1421" spans="27:27" ht="15" customHeight="1" x14ac:dyDescent="0.25">
      <c r="AA1421" s="40" t="str">
        <f t="shared" si="22"/>
        <v/>
      </c>
    </row>
    <row r="1422" spans="27:27" ht="15" customHeight="1" x14ac:dyDescent="0.25">
      <c r="AA1422" s="40" t="str">
        <f t="shared" si="22"/>
        <v/>
      </c>
    </row>
    <row r="1423" spans="27:27" ht="15" customHeight="1" x14ac:dyDescent="0.25">
      <c r="AA1423" s="40" t="str">
        <f t="shared" si="22"/>
        <v/>
      </c>
    </row>
    <row r="1424" spans="27:27" ht="15" customHeight="1" x14ac:dyDescent="0.25">
      <c r="AA1424" s="40" t="str">
        <f t="shared" si="22"/>
        <v/>
      </c>
    </row>
    <row r="1425" spans="27:27" ht="15" customHeight="1" x14ac:dyDescent="0.25">
      <c r="AA1425" s="40" t="str">
        <f t="shared" si="22"/>
        <v/>
      </c>
    </row>
    <row r="1426" spans="27:27" ht="15" customHeight="1" x14ac:dyDescent="0.25">
      <c r="AA1426" s="40" t="str">
        <f t="shared" si="22"/>
        <v/>
      </c>
    </row>
    <row r="1427" spans="27:27" ht="15" customHeight="1" x14ac:dyDescent="0.25">
      <c r="AA1427" s="40" t="str">
        <f t="shared" si="22"/>
        <v/>
      </c>
    </row>
    <row r="1428" spans="27:27" ht="15" customHeight="1" x14ac:dyDescent="0.25">
      <c r="AA1428" s="40" t="str">
        <f t="shared" si="22"/>
        <v/>
      </c>
    </row>
    <row r="1429" spans="27:27" ht="15" customHeight="1" x14ac:dyDescent="0.25">
      <c r="AA1429" s="40" t="str">
        <f t="shared" si="22"/>
        <v/>
      </c>
    </row>
    <row r="1430" spans="27:27" ht="15" customHeight="1" x14ac:dyDescent="0.25">
      <c r="AA1430" s="40" t="str">
        <f t="shared" si="22"/>
        <v/>
      </c>
    </row>
    <row r="1431" spans="27:27" ht="15" customHeight="1" x14ac:dyDescent="0.25">
      <c r="AA1431" s="40" t="str">
        <f t="shared" si="22"/>
        <v/>
      </c>
    </row>
    <row r="1432" spans="27:27" ht="15" customHeight="1" x14ac:dyDescent="0.25">
      <c r="AA1432" s="40" t="str">
        <f t="shared" si="22"/>
        <v/>
      </c>
    </row>
    <row r="1433" spans="27:27" ht="15" customHeight="1" x14ac:dyDescent="0.25">
      <c r="AA1433" s="40" t="str">
        <f t="shared" si="22"/>
        <v/>
      </c>
    </row>
    <row r="1434" spans="27:27" ht="15" customHeight="1" x14ac:dyDescent="0.25">
      <c r="AA1434" s="40" t="str">
        <f t="shared" si="22"/>
        <v/>
      </c>
    </row>
    <row r="1435" spans="27:27" ht="15" customHeight="1" x14ac:dyDescent="0.25">
      <c r="AA1435" s="40" t="str">
        <f t="shared" si="22"/>
        <v/>
      </c>
    </row>
    <row r="1436" spans="27:27" ht="15" customHeight="1" x14ac:dyDescent="0.25">
      <c r="AA1436" s="40" t="str">
        <f t="shared" si="22"/>
        <v/>
      </c>
    </row>
    <row r="1437" spans="27:27" ht="15" customHeight="1" x14ac:dyDescent="0.25">
      <c r="AA1437" s="40" t="str">
        <f t="shared" si="22"/>
        <v/>
      </c>
    </row>
    <row r="1438" spans="27:27" ht="15" customHeight="1" x14ac:dyDescent="0.25">
      <c r="AA1438" s="40" t="str">
        <f t="shared" si="22"/>
        <v/>
      </c>
    </row>
    <row r="1439" spans="27:27" ht="15" customHeight="1" x14ac:dyDescent="0.25">
      <c r="AA1439" s="40" t="str">
        <f t="shared" si="22"/>
        <v/>
      </c>
    </row>
    <row r="1440" spans="27:27" ht="15" customHeight="1" x14ac:dyDescent="0.25">
      <c r="AA1440" s="40" t="str">
        <f t="shared" si="22"/>
        <v/>
      </c>
    </row>
    <row r="1441" spans="27:27" ht="15" customHeight="1" x14ac:dyDescent="0.25">
      <c r="AA1441" s="40" t="str">
        <f t="shared" si="22"/>
        <v/>
      </c>
    </row>
    <row r="1442" spans="27:27" ht="15" customHeight="1" x14ac:dyDescent="0.25">
      <c r="AA1442" s="40" t="str">
        <f t="shared" si="22"/>
        <v/>
      </c>
    </row>
    <row r="1443" spans="27:27" ht="15" customHeight="1" x14ac:dyDescent="0.25">
      <c r="AA1443" s="40" t="str">
        <f t="shared" si="22"/>
        <v/>
      </c>
    </row>
    <row r="1444" spans="27:27" ht="15" customHeight="1" x14ac:dyDescent="0.25">
      <c r="AA1444" s="40" t="str">
        <f t="shared" si="22"/>
        <v/>
      </c>
    </row>
    <row r="1445" spans="27:27" ht="15" customHeight="1" x14ac:dyDescent="0.25">
      <c r="AA1445" s="40" t="str">
        <f t="shared" si="22"/>
        <v/>
      </c>
    </row>
    <row r="1446" spans="27:27" ht="15" customHeight="1" x14ac:dyDescent="0.25">
      <c r="AA1446" s="40" t="str">
        <f t="shared" si="22"/>
        <v/>
      </c>
    </row>
    <row r="1447" spans="27:27" ht="15" customHeight="1" x14ac:dyDescent="0.25">
      <c r="AA1447" s="40" t="str">
        <f t="shared" si="22"/>
        <v/>
      </c>
    </row>
    <row r="1448" spans="27:27" ht="15" customHeight="1" x14ac:dyDescent="0.25">
      <c r="AA1448" s="40" t="str">
        <f t="shared" si="22"/>
        <v/>
      </c>
    </row>
    <row r="1449" spans="27:27" ht="15" customHeight="1" x14ac:dyDescent="0.25">
      <c r="AA1449" s="40" t="str">
        <f t="shared" si="22"/>
        <v/>
      </c>
    </row>
    <row r="1450" spans="27:27" ht="15" customHeight="1" x14ac:dyDescent="0.25">
      <c r="AA1450" s="40" t="str">
        <f t="shared" si="22"/>
        <v/>
      </c>
    </row>
    <row r="1451" spans="27:27" ht="15" customHeight="1" x14ac:dyDescent="0.25">
      <c r="AA1451" s="40" t="str">
        <f t="shared" si="22"/>
        <v/>
      </c>
    </row>
    <row r="1452" spans="27:27" ht="15" customHeight="1" x14ac:dyDescent="0.25">
      <c r="AA1452" s="40" t="str">
        <f t="shared" si="22"/>
        <v/>
      </c>
    </row>
    <row r="1453" spans="27:27" ht="15" customHeight="1" x14ac:dyDescent="0.25">
      <c r="AA1453" s="40" t="str">
        <f t="shared" si="22"/>
        <v/>
      </c>
    </row>
    <row r="1454" spans="27:27" ht="15" customHeight="1" x14ac:dyDescent="0.25">
      <c r="AA1454" s="40" t="str">
        <f t="shared" si="22"/>
        <v/>
      </c>
    </row>
    <row r="1455" spans="27:27" ht="15" customHeight="1" x14ac:dyDescent="0.25">
      <c r="AA1455" s="40" t="str">
        <f t="shared" si="22"/>
        <v/>
      </c>
    </row>
    <row r="1456" spans="27:27" ht="15" customHeight="1" x14ac:dyDescent="0.25">
      <c r="AA1456" s="40" t="str">
        <f t="shared" si="22"/>
        <v/>
      </c>
    </row>
    <row r="1457" spans="27:27" ht="15" customHeight="1" x14ac:dyDescent="0.25">
      <c r="AA1457" s="40" t="str">
        <f t="shared" si="22"/>
        <v/>
      </c>
    </row>
    <row r="1458" spans="27:27" ht="15" customHeight="1" x14ac:dyDescent="0.25">
      <c r="AA1458" s="40" t="str">
        <f t="shared" si="22"/>
        <v/>
      </c>
    </row>
    <row r="1459" spans="27:27" ht="15" customHeight="1" x14ac:dyDescent="0.25">
      <c r="AA1459" s="40" t="str">
        <f t="shared" si="22"/>
        <v/>
      </c>
    </row>
    <row r="1460" spans="27:27" ht="15" customHeight="1" x14ac:dyDescent="0.25">
      <c r="AA1460" s="40" t="str">
        <f t="shared" si="22"/>
        <v/>
      </c>
    </row>
    <row r="1461" spans="27:27" ht="15" customHeight="1" x14ac:dyDescent="0.25">
      <c r="AA1461" s="40" t="str">
        <f t="shared" si="22"/>
        <v/>
      </c>
    </row>
    <row r="1462" spans="27:27" ht="15" customHeight="1" x14ac:dyDescent="0.25">
      <c r="AA1462" s="40" t="str">
        <f t="shared" si="22"/>
        <v/>
      </c>
    </row>
    <row r="1463" spans="27:27" ht="15" customHeight="1" x14ac:dyDescent="0.25">
      <c r="AA1463" s="40" t="str">
        <f t="shared" si="22"/>
        <v/>
      </c>
    </row>
    <row r="1464" spans="27:27" ht="15" customHeight="1" x14ac:dyDescent="0.25">
      <c r="AA1464" s="40" t="str">
        <f t="shared" si="22"/>
        <v/>
      </c>
    </row>
    <row r="1465" spans="27:27" ht="15" customHeight="1" x14ac:dyDescent="0.25">
      <c r="AA1465" s="40" t="str">
        <f t="shared" si="22"/>
        <v/>
      </c>
    </row>
    <row r="1466" spans="27:27" ht="15" customHeight="1" x14ac:dyDescent="0.25">
      <c r="AA1466" s="40" t="str">
        <f t="shared" si="22"/>
        <v/>
      </c>
    </row>
    <row r="1467" spans="27:27" ht="15" customHeight="1" x14ac:dyDescent="0.25">
      <c r="AA1467" s="40" t="str">
        <f t="shared" si="22"/>
        <v/>
      </c>
    </row>
    <row r="1468" spans="27:27" ht="15" customHeight="1" x14ac:dyDescent="0.25">
      <c r="AA1468" s="40" t="str">
        <f t="shared" si="22"/>
        <v/>
      </c>
    </row>
    <row r="1469" spans="27:27" ht="15" customHeight="1" x14ac:dyDescent="0.25">
      <c r="AA1469" s="40" t="str">
        <f t="shared" si="22"/>
        <v/>
      </c>
    </row>
    <row r="1470" spans="27:27" ht="15" customHeight="1" x14ac:dyDescent="0.25">
      <c r="AA1470" s="40" t="str">
        <f t="shared" si="22"/>
        <v/>
      </c>
    </row>
    <row r="1471" spans="27:27" ht="15" customHeight="1" x14ac:dyDescent="0.25">
      <c r="AA1471" s="40" t="str">
        <f t="shared" si="22"/>
        <v/>
      </c>
    </row>
    <row r="1472" spans="27:27" ht="15" customHeight="1" x14ac:dyDescent="0.25">
      <c r="AA1472" s="40" t="str">
        <f t="shared" si="22"/>
        <v/>
      </c>
    </row>
    <row r="1473" spans="27:27" ht="15" customHeight="1" x14ac:dyDescent="0.25">
      <c r="AA1473" s="40" t="str">
        <f t="shared" si="22"/>
        <v/>
      </c>
    </row>
    <row r="1474" spans="27:27" ht="15" customHeight="1" x14ac:dyDescent="0.25">
      <c r="AA1474" s="40" t="str">
        <f t="shared" si="22"/>
        <v/>
      </c>
    </row>
    <row r="1475" spans="27:27" ht="15" customHeight="1" x14ac:dyDescent="0.25">
      <c r="AA1475" s="40" t="str">
        <f t="shared" si="22"/>
        <v/>
      </c>
    </row>
    <row r="1476" spans="27:27" ht="15" customHeight="1" x14ac:dyDescent="0.25">
      <c r="AA1476" s="40" t="str">
        <f t="shared" si="22"/>
        <v/>
      </c>
    </row>
    <row r="1477" spans="27:27" ht="15" customHeight="1" x14ac:dyDescent="0.25">
      <c r="AA1477" s="40" t="str">
        <f t="shared" si="22"/>
        <v/>
      </c>
    </row>
    <row r="1478" spans="27:27" ht="15" customHeight="1" x14ac:dyDescent="0.25">
      <c r="AA1478" s="40" t="str">
        <f t="shared" si="22"/>
        <v/>
      </c>
    </row>
    <row r="1479" spans="27:27" ht="15" customHeight="1" x14ac:dyDescent="0.25">
      <c r="AA1479" s="40" t="str">
        <f t="shared" si="22"/>
        <v/>
      </c>
    </row>
    <row r="1480" spans="27:27" ht="15" customHeight="1" x14ac:dyDescent="0.25">
      <c r="AA1480" s="40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40" t="str">
        <f t="shared" si="23"/>
        <v/>
      </c>
    </row>
    <row r="1482" spans="27:27" ht="15" customHeight="1" x14ac:dyDescent="0.25">
      <c r="AA1482" s="40" t="str">
        <f t="shared" si="23"/>
        <v/>
      </c>
    </row>
    <row r="1483" spans="27:27" ht="15" customHeight="1" x14ac:dyDescent="0.25">
      <c r="AA1483" s="40" t="str">
        <f t="shared" si="23"/>
        <v/>
      </c>
    </row>
    <row r="1484" spans="27:27" ht="15" customHeight="1" x14ac:dyDescent="0.25">
      <c r="AA1484" s="40" t="str">
        <f t="shared" si="23"/>
        <v/>
      </c>
    </row>
    <row r="1485" spans="27:27" ht="15" customHeight="1" x14ac:dyDescent="0.25">
      <c r="AA1485" s="40" t="str">
        <f t="shared" si="23"/>
        <v/>
      </c>
    </row>
    <row r="1486" spans="27:27" ht="15" customHeight="1" x14ac:dyDescent="0.25">
      <c r="AA1486" s="40" t="str">
        <f t="shared" si="23"/>
        <v/>
      </c>
    </row>
    <row r="1487" spans="27:27" ht="15" customHeight="1" x14ac:dyDescent="0.25">
      <c r="AA1487" s="40" t="str">
        <f t="shared" si="23"/>
        <v/>
      </c>
    </row>
    <row r="1488" spans="27:27" ht="15" customHeight="1" x14ac:dyDescent="0.25">
      <c r="AA1488" s="40" t="str">
        <f t="shared" si="23"/>
        <v/>
      </c>
    </row>
    <row r="1489" spans="27:27" ht="15" customHeight="1" x14ac:dyDescent="0.25">
      <c r="AA1489" s="40" t="str">
        <f t="shared" si="23"/>
        <v/>
      </c>
    </row>
    <row r="1490" spans="27:27" ht="15" customHeight="1" x14ac:dyDescent="0.25">
      <c r="AA1490" s="40" t="str">
        <f t="shared" si="23"/>
        <v/>
      </c>
    </row>
    <row r="1491" spans="27:27" ht="15" customHeight="1" x14ac:dyDescent="0.25">
      <c r="AA1491" s="40" t="str">
        <f t="shared" si="23"/>
        <v/>
      </c>
    </row>
    <row r="1492" spans="27:27" ht="15" customHeight="1" x14ac:dyDescent="0.25">
      <c r="AA1492" s="40" t="str">
        <f t="shared" si="23"/>
        <v/>
      </c>
    </row>
    <row r="1493" spans="27:27" ht="15" customHeight="1" x14ac:dyDescent="0.25">
      <c r="AA1493" s="40" t="str">
        <f t="shared" si="23"/>
        <v/>
      </c>
    </row>
    <row r="1494" spans="27:27" ht="15" customHeight="1" x14ac:dyDescent="0.25">
      <c r="AA1494" s="40" t="str">
        <f t="shared" si="23"/>
        <v/>
      </c>
    </row>
    <row r="1495" spans="27:27" ht="15" customHeight="1" x14ac:dyDescent="0.25">
      <c r="AA1495" s="40" t="str">
        <f t="shared" si="23"/>
        <v/>
      </c>
    </row>
    <row r="1496" spans="27:27" ht="15" customHeight="1" x14ac:dyDescent="0.25">
      <c r="AA1496" s="40" t="str">
        <f t="shared" si="23"/>
        <v/>
      </c>
    </row>
    <row r="1497" spans="27:27" ht="15" customHeight="1" x14ac:dyDescent="0.25">
      <c r="AA1497" s="40" t="str">
        <f t="shared" si="23"/>
        <v/>
      </c>
    </row>
    <row r="1498" spans="27:27" ht="15" customHeight="1" x14ac:dyDescent="0.25">
      <c r="AA1498" s="40" t="str">
        <f t="shared" si="23"/>
        <v/>
      </c>
    </row>
    <row r="1499" spans="27:27" ht="15" customHeight="1" x14ac:dyDescent="0.25">
      <c r="AA1499" s="40" t="str">
        <f t="shared" si="23"/>
        <v/>
      </c>
    </row>
    <row r="1500" spans="27:27" ht="15" customHeight="1" x14ac:dyDescent="0.25">
      <c r="AA1500" s="40" t="str">
        <f t="shared" si="23"/>
        <v/>
      </c>
    </row>
    <row r="1501" spans="27:27" ht="15" customHeight="1" x14ac:dyDescent="0.25">
      <c r="AA1501" s="40" t="str">
        <f t="shared" si="23"/>
        <v/>
      </c>
    </row>
    <row r="1502" spans="27:27" ht="15" customHeight="1" x14ac:dyDescent="0.25">
      <c r="AA1502" s="40" t="str">
        <f t="shared" si="23"/>
        <v/>
      </c>
    </row>
    <row r="1503" spans="27:27" ht="15" customHeight="1" x14ac:dyDescent="0.25">
      <c r="AA1503" s="40" t="str">
        <f t="shared" si="23"/>
        <v/>
      </c>
    </row>
    <row r="1504" spans="27:27" ht="15" customHeight="1" x14ac:dyDescent="0.25">
      <c r="AA1504" s="40" t="str">
        <f t="shared" si="23"/>
        <v/>
      </c>
    </row>
    <row r="1505" spans="27:27" ht="15" customHeight="1" x14ac:dyDescent="0.25">
      <c r="AA1505" s="40" t="str">
        <f t="shared" si="23"/>
        <v/>
      </c>
    </row>
    <row r="1506" spans="27:27" ht="15" customHeight="1" x14ac:dyDescent="0.25">
      <c r="AA1506" s="40" t="str">
        <f t="shared" si="23"/>
        <v/>
      </c>
    </row>
    <row r="1507" spans="27:27" ht="15" customHeight="1" x14ac:dyDescent="0.25">
      <c r="AA1507" s="40" t="str">
        <f t="shared" si="23"/>
        <v/>
      </c>
    </row>
    <row r="1508" spans="27:27" ht="15" customHeight="1" x14ac:dyDescent="0.25">
      <c r="AA1508" s="40" t="str">
        <f t="shared" si="23"/>
        <v/>
      </c>
    </row>
    <row r="1509" spans="27:27" ht="15" customHeight="1" x14ac:dyDescent="0.25">
      <c r="AA1509" s="40" t="str">
        <f t="shared" si="23"/>
        <v/>
      </c>
    </row>
    <row r="1510" spans="27:27" ht="15" customHeight="1" x14ac:dyDescent="0.25">
      <c r="AA1510" s="40" t="str">
        <f t="shared" si="23"/>
        <v/>
      </c>
    </row>
    <row r="1511" spans="27:27" ht="15" customHeight="1" x14ac:dyDescent="0.25">
      <c r="AA1511" s="40" t="str">
        <f t="shared" si="23"/>
        <v/>
      </c>
    </row>
    <row r="1512" spans="27:27" ht="15" customHeight="1" x14ac:dyDescent="0.25">
      <c r="AA1512" s="40" t="str">
        <f t="shared" si="23"/>
        <v/>
      </c>
    </row>
    <row r="1513" spans="27:27" ht="15" customHeight="1" x14ac:dyDescent="0.25">
      <c r="AA1513" s="40" t="str">
        <f t="shared" si="23"/>
        <v/>
      </c>
    </row>
    <row r="1514" spans="27:27" ht="15" customHeight="1" x14ac:dyDescent="0.25">
      <c r="AA1514" s="40" t="str">
        <f t="shared" si="23"/>
        <v/>
      </c>
    </row>
    <row r="1515" spans="27:27" ht="15" customHeight="1" x14ac:dyDescent="0.25">
      <c r="AA1515" s="40" t="str">
        <f t="shared" si="23"/>
        <v/>
      </c>
    </row>
    <row r="1516" spans="27:27" ht="15" customHeight="1" x14ac:dyDescent="0.25">
      <c r="AA1516" s="40" t="str">
        <f t="shared" si="23"/>
        <v/>
      </c>
    </row>
    <row r="1517" spans="27:27" ht="15" customHeight="1" x14ac:dyDescent="0.25">
      <c r="AA1517" s="40" t="str">
        <f t="shared" si="23"/>
        <v/>
      </c>
    </row>
    <row r="1518" spans="27:27" ht="15" customHeight="1" x14ac:dyDescent="0.25">
      <c r="AA1518" s="40" t="str">
        <f t="shared" si="23"/>
        <v/>
      </c>
    </row>
    <row r="1519" spans="27:27" ht="15" customHeight="1" x14ac:dyDescent="0.25">
      <c r="AA1519" s="40" t="str">
        <f t="shared" si="23"/>
        <v/>
      </c>
    </row>
    <row r="1520" spans="27:27" ht="15" customHeight="1" x14ac:dyDescent="0.25">
      <c r="AA1520" s="40" t="str">
        <f t="shared" si="23"/>
        <v/>
      </c>
    </row>
    <row r="1521" spans="27:27" ht="15" customHeight="1" x14ac:dyDescent="0.25">
      <c r="AA1521" s="40" t="str">
        <f t="shared" si="23"/>
        <v/>
      </c>
    </row>
    <row r="1522" spans="27:27" ht="15" customHeight="1" x14ac:dyDescent="0.25">
      <c r="AA1522" s="40" t="str">
        <f t="shared" si="23"/>
        <v/>
      </c>
    </row>
    <row r="1523" spans="27:27" ht="15" customHeight="1" x14ac:dyDescent="0.25">
      <c r="AA1523" s="40" t="str">
        <f t="shared" si="23"/>
        <v/>
      </c>
    </row>
    <row r="1524" spans="27:27" ht="15" customHeight="1" x14ac:dyDescent="0.25">
      <c r="AA1524" s="40" t="str">
        <f t="shared" si="23"/>
        <v/>
      </c>
    </row>
    <row r="1525" spans="27:27" ht="15" customHeight="1" x14ac:dyDescent="0.25">
      <c r="AA1525" s="40" t="str">
        <f t="shared" si="23"/>
        <v/>
      </c>
    </row>
    <row r="1526" spans="27:27" ht="15" customHeight="1" x14ac:dyDescent="0.25">
      <c r="AA1526" s="40" t="str">
        <f t="shared" si="23"/>
        <v/>
      </c>
    </row>
    <row r="1527" spans="27:27" ht="15" customHeight="1" x14ac:dyDescent="0.25">
      <c r="AA1527" s="40" t="str">
        <f t="shared" si="23"/>
        <v/>
      </c>
    </row>
    <row r="1528" spans="27:27" ht="15" customHeight="1" x14ac:dyDescent="0.25">
      <c r="AA1528" s="40" t="str">
        <f t="shared" si="23"/>
        <v/>
      </c>
    </row>
    <row r="1529" spans="27:27" ht="15" customHeight="1" x14ac:dyDescent="0.25">
      <c r="AA1529" s="40" t="str">
        <f t="shared" si="23"/>
        <v/>
      </c>
    </row>
    <row r="1530" spans="27:27" ht="15" customHeight="1" x14ac:dyDescent="0.25">
      <c r="AA1530" s="40" t="str">
        <f t="shared" si="23"/>
        <v/>
      </c>
    </row>
    <row r="1531" spans="27:27" ht="15" customHeight="1" x14ac:dyDescent="0.25">
      <c r="AA1531" s="40" t="str">
        <f t="shared" si="23"/>
        <v/>
      </c>
    </row>
    <row r="1532" spans="27:27" ht="15" customHeight="1" x14ac:dyDescent="0.25">
      <c r="AA1532" s="40" t="str">
        <f t="shared" si="23"/>
        <v/>
      </c>
    </row>
    <row r="1533" spans="27:27" ht="15" customHeight="1" x14ac:dyDescent="0.25">
      <c r="AA1533" s="40" t="str">
        <f t="shared" si="23"/>
        <v/>
      </c>
    </row>
    <row r="1534" spans="27:27" ht="15" customHeight="1" x14ac:dyDescent="0.25">
      <c r="AA1534" s="40" t="str">
        <f t="shared" si="23"/>
        <v/>
      </c>
    </row>
    <row r="1535" spans="27:27" ht="15" customHeight="1" x14ac:dyDescent="0.25">
      <c r="AA1535" s="40" t="str">
        <f t="shared" si="23"/>
        <v/>
      </c>
    </row>
    <row r="1536" spans="27:27" ht="15" customHeight="1" x14ac:dyDescent="0.25">
      <c r="AA1536" s="40" t="str">
        <f t="shared" si="23"/>
        <v/>
      </c>
    </row>
    <row r="1537" spans="27:27" ht="15" customHeight="1" x14ac:dyDescent="0.25">
      <c r="AA1537" s="40" t="str">
        <f t="shared" si="23"/>
        <v/>
      </c>
    </row>
    <row r="1538" spans="27:27" ht="15" customHeight="1" x14ac:dyDescent="0.25">
      <c r="AA1538" s="40" t="str">
        <f t="shared" si="23"/>
        <v/>
      </c>
    </row>
    <row r="1539" spans="27:27" ht="15" customHeight="1" x14ac:dyDescent="0.25">
      <c r="AA1539" s="40" t="str">
        <f t="shared" si="23"/>
        <v/>
      </c>
    </row>
    <row r="1540" spans="27:27" ht="15" customHeight="1" x14ac:dyDescent="0.25">
      <c r="AA1540" s="40" t="str">
        <f t="shared" si="23"/>
        <v/>
      </c>
    </row>
    <row r="1541" spans="27:27" ht="15" customHeight="1" x14ac:dyDescent="0.25">
      <c r="AA1541" s="40" t="str">
        <f t="shared" si="23"/>
        <v/>
      </c>
    </row>
    <row r="1542" spans="27:27" ht="15" customHeight="1" x14ac:dyDescent="0.25">
      <c r="AA1542" s="40" t="str">
        <f t="shared" si="23"/>
        <v/>
      </c>
    </row>
    <row r="1543" spans="27:27" ht="15" customHeight="1" x14ac:dyDescent="0.25">
      <c r="AA1543" s="40" t="str">
        <f t="shared" si="23"/>
        <v/>
      </c>
    </row>
    <row r="1544" spans="27:27" ht="15" customHeight="1" x14ac:dyDescent="0.25">
      <c r="AA1544" s="40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40" t="str">
        <f t="shared" si="24"/>
        <v/>
      </c>
    </row>
    <row r="1546" spans="27:27" ht="15" customHeight="1" x14ac:dyDescent="0.25">
      <c r="AA1546" s="40" t="str">
        <f t="shared" si="24"/>
        <v/>
      </c>
    </row>
    <row r="1547" spans="27:27" ht="15" customHeight="1" x14ac:dyDescent="0.25">
      <c r="AA1547" s="40" t="str">
        <f t="shared" si="24"/>
        <v/>
      </c>
    </row>
    <row r="1548" spans="27:27" ht="15" customHeight="1" x14ac:dyDescent="0.25">
      <c r="AA1548" s="40" t="str">
        <f t="shared" si="24"/>
        <v/>
      </c>
    </row>
    <row r="1549" spans="27:27" ht="15" customHeight="1" x14ac:dyDescent="0.25">
      <c r="AA1549" s="40" t="str">
        <f t="shared" si="24"/>
        <v/>
      </c>
    </row>
    <row r="1550" spans="27:27" ht="15" customHeight="1" x14ac:dyDescent="0.25">
      <c r="AA1550" s="40" t="str">
        <f t="shared" si="24"/>
        <v/>
      </c>
    </row>
    <row r="1551" spans="27:27" ht="15" customHeight="1" x14ac:dyDescent="0.25">
      <c r="AA1551" s="40" t="str">
        <f t="shared" si="24"/>
        <v/>
      </c>
    </row>
    <row r="1552" spans="27:27" ht="15" customHeight="1" x14ac:dyDescent="0.25">
      <c r="AA1552" s="40" t="str">
        <f t="shared" si="24"/>
        <v/>
      </c>
    </row>
    <row r="1553" spans="27:27" ht="15" customHeight="1" x14ac:dyDescent="0.25">
      <c r="AA1553" s="40" t="str">
        <f t="shared" si="24"/>
        <v/>
      </c>
    </row>
    <row r="1554" spans="27:27" ht="15" customHeight="1" x14ac:dyDescent="0.25">
      <c r="AA1554" s="40" t="str">
        <f t="shared" si="24"/>
        <v/>
      </c>
    </row>
    <row r="1555" spans="27:27" ht="15" customHeight="1" x14ac:dyDescent="0.25">
      <c r="AA1555" s="40" t="str">
        <f t="shared" si="24"/>
        <v/>
      </c>
    </row>
    <row r="1556" spans="27:27" ht="15" customHeight="1" x14ac:dyDescent="0.25">
      <c r="AA1556" s="40" t="str">
        <f t="shared" si="24"/>
        <v/>
      </c>
    </row>
    <row r="1557" spans="27:27" ht="15" customHeight="1" x14ac:dyDescent="0.25">
      <c r="AA1557" s="40" t="str">
        <f t="shared" si="24"/>
        <v/>
      </c>
    </row>
    <row r="1558" spans="27:27" ht="15" customHeight="1" x14ac:dyDescent="0.25">
      <c r="AA1558" s="40" t="str">
        <f t="shared" si="24"/>
        <v/>
      </c>
    </row>
    <row r="1559" spans="27:27" ht="15" customHeight="1" x14ac:dyDescent="0.25">
      <c r="AA1559" s="40" t="str">
        <f t="shared" si="24"/>
        <v/>
      </c>
    </row>
    <row r="1560" spans="27:27" ht="15" customHeight="1" x14ac:dyDescent="0.25">
      <c r="AA1560" s="40" t="str">
        <f t="shared" si="24"/>
        <v/>
      </c>
    </row>
    <row r="1561" spans="27:27" ht="15" customHeight="1" x14ac:dyDescent="0.25">
      <c r="AA1561" s="40" t="str">
        <f t="shared" si="24"/>
        <v/>
      </c>
    </row>
    <row r="1562" spans="27:27" ht="15" customHeight="1" x14ac:dyDescent="0.25">
      <c r="AA1562" s="40" t="str">
        <f t="shared" si="24"/>
        <v/>
      </c>
    </row>
    <row r="1563" spans="27:27" ht="15" customHeight="1" x14ac:dyDescent="0.25">
      <c r="AA1563" s="40" t="str">
        <f t="shared" si="24"/>
        <v/>
      </c>
    </row>
    <row r="1564" spans="27:27" ht="15" customHeight="1" x14ac:dyDescent="0.25">
      <c r="AA1564" s="40" t="str">
        <f t="shared" si="24"/>
        <v/>
      </c>
    </row>
    <row r="1565" spans="27:27" ht="15" customHeight="1" x14ac:dyDescent="0.25">
      <c r="AA1565" s="40" t="str">
        <f t="shared" si="24"/>
        <v/>
      </c>
    </row>
    <row r="1566" spans="27:27" ht="15" customHeight="1" x14ac:dyDescent="0.25">
      <c r="AA1566" s="40" t="str">
        <f t="shared" si="24"/>
        <v/>
      </c>
    </row>
    <row r="1567" spans="27:27" ht="15" customHeight="1" x14ac:dyDescent="0.25">
      <c r="AA1567" s="40" t="str">
        <f t="shared" si="24"/>
        <v/>
      </c>
    </row>
    <row r="1568" spans="27:27" ht="15" customHeight="1" x14ac:dyDescent="0.25">
      <c r="AA1568" s="40" t="str">
        <f t="shared" si="24"/>
        <v/>
      </c>
    </row>
    <row r="1569" spans="27:27" ht="15" customHeight="1" x14ac:dyDescent="0.25">
      <c r="AA1569" s="40" t="str">
        <f t="shared" si="24"/>
        <v/>
      </c>
    </row>
    <row r="1570" spans="27:27" ht="15" customHeight="1" x14ac:dyDescent="0.25">
      <c r="AA1570" s="40" t="str">
        <f t="shared" si="24"/>
        <v/>
      </c>
    </row>
    <row r="1571" spans="27:27" ht="15" customHeight="1" x14ac:dyDescent="0.25">
      <c r="AA1571" s="40" t="str">
        <f t="shared" si="24"/>
        <v/>
      </c>
    </row>
    <row r="1572" spans="27:27" ht="15" customHeight="1" x14ac:dyDescent="0.25">
      <c r="AA1572" s="40" t="str">
        <f t="shared" si="24"/>
        <v/>
      </c>
    </row>
    <row r="1573" spans="27:27" ht="15" customHeight="1" x14ac:dyDescent="0.25">
      <c r="AA1573" s="40" t="str">
        <f t="shared" si="24"/>
        <v/>
      </c>
    </row>
    <row r="1574" spans="27:27" ht="15" customHeight="1" x14ac:dyDescent="0.25">
      <c r="AA1574" s="40" t="str">
        <f t="shared" si="24"/>
        <v/>
      </c>
    </row>
    <row r="1575" spans="27:27" ht="15" customHeight="1" x14ac:dyDescent="0.25">
      <c r="AA1575" s="40" t="str">
        <f t="shared" si="24"/>
        <v/>
      </c>
    </row>
    <row r="1576" spans="27:27" ht="15" customHeight="1" x14ac:dyDescent="0.25">
      <c r="AA1576" s="40" t="str">
        <f t="shared" si="24"/>
        <v/>
      </c>
    </row>
    <row r="1577" spans="27:27" ht="15" customHeight="1" x14ac:dyDescent="0.25">
      <c r="AA1577" s="40" t="str">
        <f t="shared" si="24"/>
        <v/>
      </c>
    </row>
    <row r="1578" spans="27:27" ht="15" customHeight="1" x14ac:dyDescent="0.25">
      <c r="AA1578" s="40" t="str">
        <f t="shared" si="24"/>
        <v/>
      </c>
    </row>
    <row r="1579" spans="27:27" ht="15" customHeight="1" x14ac:dyDescent="0.25">
      <c r="AA1579" s="40" t="str">
        <f t="shared" si="24"/>
        <v/>
      </c>
    </row>
    <row r="1580" spans="27:27" ht="15" customHeight="1" x14ac:dyDescent="0.25">
      <c r="AA1580" s="40" t="str">
        <f t="shared" si="24"/>
        <v/>
      </c>
    </row>
    <row r="1581" spans="27:27" ht="15" customHeight="1" x14ac:dyDescent="0.25">
      <c r="AA1581" s="40" t="str">
        <f t="shared" si="24"/>
        <v/>
      </c>
    </row>
    <row r="1582" spans="27:27" ht="15" customHeight="1" x14ac:dyDescent="0.25">
      <c r="AA1582" s="40" t="str">
        <f t="shared" si="24"/>
        <v/>
      </c>
    </row>
    <row r="1583" spans="27:27" ht="15" customHeight="1" x14ac:dyDescent="0.25">
      <c r="AA1583" s="40" t="str">
        <f t="shared" si="24"/>
        <v/>
      </c>
    </row>
    <row r="1584" spans="27:27" ht="15" customHeight="1" x14ac:dyDescent="0.25">
      <c r="AA1584" s="40" t="str">
        <f t="shared" si="24"/>
        <v/>
      </c>
    </row>
    <row r="1585" spans="27:27" ht="15" customHeight="1" x14ac:dyDescent="0.25">
      <c r="AA1585" s="40" t="str">
        <f t="shared" si="24"/>
        <v/>
      </c>
    </row>
    <row r="1586" spans="27:27" ht="15" customHeight="1" x14ac:dyDescent="0.25">
      <c r="AA1586" s="40" t="str">
        <f t="shared" si="24"/>
        <v/>
      </c>
    </row>
    <row r="1587" spans="27:27" ht="15" customHeight="1" x14ac:dyDescent="0.25">
      <c r="AA1587" s="40" t="str">
        <f t="shared" si="24"/>
        <v/>
      </c>
    </row>
    <row r="1588" spans="27:27" ht="15" customHeight="1" x14ac:dyDescent="0.25">
      <c r="AA1588" s="40" t="str">
        <f t="shared" si="24"/>
        <v/>
      </c>
    </row>
    <row r="1589" spans="27:27" ht="15" customHeight="1" x14ac:dyDescent="0.25">
      <c r="AA1589" s="40" t="str">
        <f t="shared" si="24"/>
        <v/>
      </c>
    </row>
    <row r="1590" spans="27:27" ht="15" customHeight="1" x14ac:dyDescent="0.25">
      <c r="AA1590" s="40" t="str">
        <f t="shared" si="24"/>
        <v/>
      </c>
    </row>
    <row r="1591" spans="27:27" ht="15" customHeight="1" x14ac:dyDescent="0.25">
      <c r="AA1591" s="40" t="str">
        <f t="shared" si="24"/>
        <v/>
      </c>
    </row>
    <row r="1592" spans="27:27" ht="15" customHeight="1" x14ac:dyDescent="0.25">
      <c r="AA1592" s="40" t="str">
        <f t="shared" si="24"/>
        <v/>
      </c>
    </row>
    <row r="1593" spans="27:27" ht="15" customHeight="1" x14ac:dyDescent="0.25">
      <c r="AA1593" s="40" t="str">
        <f t="shared" si="24"/>
        <v/>
      </c>
    </row>
    <row r="1594" spans="27:27" ht="15" customHeight="1" x14ac:dyDescent="0.25">
      <c r="AA1594" s="40" t="str">
        <f t="shared" si="24"/>
        <v/>
      </c>
    </row>
    <row r="1595" spans="27:27" ht="15" customHeight="1" x14ac:dyDescent="0.25">
      <c r="AA1595" s="40" t="str">
        <f t="shared" si="24"/>
        <v/>
      </c>
    </row>
    <row r="1596" spans="27:27" ht="15" customHeight="1" x14ac:dyDescent="0.25">
      <c r="AA1596" s="40" t="str">
        <f t="shared" si="24"/>
        <v/>
      </c>
    </row>
    <row r="1597" spans="27:27" ht="15" customHeight="1" x14ac:dyDescent="0.25">
      <c r="AA1597" s="40" t="str">
        <f t="shared" si="24"/>
        <v/>
      </c>
    </row>
    <row r="1598" spans="27:27" ht="15" customHeight="1" x14ac:dyDescent="0.25">
      <c r="AA1598" s="40" t="str">
        <f t="shared" si="24"/>
        <v/>
      </c>
    </row>
    <row r="1599" spans="27:27" ht="15" customHeight="1" x14ac:dyDescent="0.25">
      <c r="AA1599" s="40" t="str">
        <f t="shared" si="24"/>
        <v/>
      </c>
    </row>
    <row r="1600" spans="27:27" ht="15" customHeight="1" x14ac:dyDescent="0.25">
      <c r="AA1600" s="40" t="str">
        <f t="shared" si="24"/>
        <v/>
      </c>
    </row>
    <row r="1601" spans="27:27" ht="15" customHeight="1" x14ac:dyDescent="0.25">
      <c r="AA1601" s="40" t="str">
        <f t="shared" si="24"/>
        <v/>
      </c>
    </row>
    <row r="1602" spans="27:27" ht="15" customHeight="1" x14ac:dyDescent="0.25">
      <c r="AA1602" s="40" t="str">
        <f t="shared" si="24"/>
        <v/>
      </c>
    </row>
    <row r="1603" spans="27:27" ht="15" customHeight="1" x14ac:dyDescent="0.25">
      <c r="AA1603" s="40" t="str">
        <f t="shared" si="24"/>
        <v/>
      </c>
    </row>
    <row r="1604" spans="27:27" ht="15" customHeight="1" x14ac:dyDescent="0.25">
      <c r="AA1604" s="40" t="str">
        <f t="shared" si="24"/>
        <v/>
      </c>
    </row>
    <row r="1605" spans="27:27" ht="15" customHeight="1" x14ac:dyDescent="0.25">
      <c r="AA1605" s="40" t="str">
        <f t="shared" si="24"/>
        <v/>
      </c>
    </row>
    <row r="1606" spans="27:27" ht="15" customHeight="1" x14ac:dyDescent="0.25">
      <c r="AA1606" s="40" t="str">
        <f t="shared" si="24"/>
        <v/>
      </c>
    </row>
    <row r="1607" spans="27:27" ht="15" customHeight="1" x14ac:dyDescent="0.25">
      <c r="AA1607" s="40" t="str">
        <f t="shared" si="24"/>
        <v/>
      </c>
    </row>
    <row r="1608" spans="27:27" ht="15" customHeight="1" x14ac:dyDescent="0.25">
      <c r="AA1608" s="40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40" t="str">
        <f t="shared" si="25"/>
        <v/>
      </c>
    </row>
    <row r="1610" spans="27:27" ht="15" customHeight="1" x14ac:dyDescent="0.25">
      <c r="AA1610" s="40" t="str">
        <f t="shared" si="25"/>
        <v/>
      </c>
    </row>
    <row r="1611" spans="27:27" ht="15" customHeight="1" x14ac:dyDescent="0.25">
      <c r="AA1611" s="40" t="str">
        <f t="shared" si="25"/>
        <v/>
      </c>
    </row>
    <row r="1612" spans="27:27" ht="15" customHeight="1" x14ac:dyDescent="0.25">
      <c r="AA1612" s="40" t="str">
        <f t="shared" si="25"/>
        <v/>
      </c>
    </row>
    <row r="1613" spans="27:27" ht="15" customHeight="1" x14ac:dyDescent="0.25">
      <c r="AA1613" s="40" t="str">
        <f t="shared" si="25"/>
        <v/>
      </c>
    </row>
    <row r="1614" spans="27:27" ht="15" customHeight="1" x14ac:dyDescent="0.25">
      <c r="AA1614" s="40" t="str">
        <f t="shared" si="25"/>
        <v/>
      </c>
    </row>
    <row r="1615" spans="27:27" ht="15" customHeight="1" x14ac:dyDescent="0.25">
      <c r="AA1615" s="40" t="str">
        <f t="shared" si="25"/>
        <v/>
      </c>
    </row>
    <row r="1616" spans="27:27" ht="15" customHeight="1" x14ac:dyDescent="0.25">
      <c r="AA1616" s="40" t="str">
        <f t="shared" si="25"/>
        <v/>
      </c>
    </row>
    <row r="1617" spans="27:27" ht="15" customHeight="1" x14ac:dyDescent="0.25">
      <c r="AA1617" s="40" t="str">
        <f t="shared" si="25"/>
        <v/>
      </c>
    </row>
    <row r="1618" spans="27:27" ht="15" customHeight="1" x14ac:dyDescent="0.25">
      <c r="AA1618" s="40" t="str">
        <f t="shared" si="25"/>
        <v/>
      </c>
    </row>
    <row r="1619" spans="27:27" ht="15" customHeight="1" x14ac:dyDescent="0.25">
      <c r="AA1619" s="40" t="str">
        <f t="shared" si="25"/>
        <v/>
      </c>
    </row>
    <row r="1620" spans="27:27" ht="15" customHeight="1" x14ac:dyDescent="0.25">
      <c r="AA1620" s="40" t="str">
        <f t="shared" si="25"/>
        <v/>
      </c>
    </row>
    <row r="1621" spans="27:27" ht="15" customHeight="1" x14ac:dyDescent="0.25">
      <c r="AA1621" s="40" t="str">
        <f t="shared" si="25"/>
        <v/>
      </c>
    </row>
    <row r="1622" spans="27:27" ht="15" customHeight="1" x14ac:dyDescent="0.25">
      <c r="AA1622" s="40" t="str">
        <f t="shared" si="25"/>
        <v/>
      </c>
    </row>
    <row r="1623" spans="27:27" ht="15" customHeight="1" x14ac:dyDescent="0.25">
      <c r="AA1623" s="40" t="str">
        <f t="shared" si="25"/>
        <v/>
      </c>
    </row>
    <row r="1624" spans="27:27" ht="15" customHeight="1" x14ac:dyDescent="0.25">
      <c r="AA1624" s="40" t="str">
        <f t="shared" si="25"/>
        <v/>
      </c>
    </row>
    <row r="1625" spans="27:27" ht="15" customHeight="1" x14ac:dyDescent="0.25">
      <c r="AA1625" s="40" t="str">
        <f t="shared" si="25"/>
        <v/>
      </c>
    </row>
    <row r="1626" spans="27:27" ht="15" customHeight="1" x14ac:dyDescent="0.25">
      <c r="AA1626" s="40" t="str">
        <f t="shared" si="25"/>
        <v/>
      </c>
    </row>
    <row r="1627" spans="27:27" ht="15" customHeight="1" x14ac:dyDescent="0.25">
      <c r="AA1627" s="40" t="str">
        <f t="shared" si="25"/>
        <v/>
      </c>
    </row>
    <row r="1628" spans="27:27" ht="15" customHeight="1" x14ac:dyDescent="0.25">
      <c r="AA1628" s="40" t="str">
        <f t="shared" si="25"/>
        <v/>
      </c>
    </row>
    <row r="1629" spans="27:27" ht="15" customHeight="1" x14ac:dyDescent="0.25">
      <c r="AA1629" s="40" t="str">
        <f t="shared" si="25"/>
        <v/>
      </c>
    </row>
    <row r="1630" spans="27:27" ht="15" customHeight="1" x14ac:dyDescent="0.25">
      <c r="AA1630" s="40" t="str">
        <f t="shared" si="25"/>
        <v/>
      </c>
    </row>
    <row r="1631" spans="27:27" ht="15" customHeight="1" x14ac:dyDescent="0.25">
      <c r="AA1631" s="40" t="str">
        <f t="shared" si="25"/>
        <v/>
      </c>
    </row>
    <row r="1632" spans="27:27" ht="15" customHeight="1" x14ac:dyDescent="0.25">
      <c r="AA1632" s="40" t="str">
        <f t="shared" si="25"/>
        <v/>
      </c>
    </row>
    <row r="1633" spans="27:27" ht="15" customHeight="1" x14ac:dyDescent="0.25">
      <c r="AA1633" s="40" t="str">
        <f t="shared" si="25"/>
        <v/>
      </c>
    </row>
    <row r="1634" spans="27:27" ht="15" customHeight="1" x14ac:dyDescent="0.25">
      <c r="AA1634" s="40" t="str">
        <f t="shared" si="25"/>
        <v/>
      </c>
    </row>
    <row r="1635" spans="27:27" ht="15" customHeight="1" x14ac:dyDescent="0.25">
      <c r="AA1635" s="40" t="str">
        <f t="shared" si="25"/>
        <v/>
      </c>
    </row>
    <row r="1636" spans="27:27" ht="15" customHeight="1" x14ac:dyDescent="0.25">
      <c r="AA1636" s="40" t="str">
        <f t="shared" si="25"/>
        <v/>
      </c>
    </row>
    <row r="1637" spans="27:27" ht="15" customHeight="1" x14ac:dyDescent="0.25">
      <c r="AA1637" s="40" t="str">
        <f t="shared" si="25"/>
        <v/>
      </c>
    </row>
    <row r="1638" spans="27:27" ht="15" customHeight="1" x14ac:dyDescent="0.25">
      <c r="AA1638" s="40" t="str">
        <f t="shared" si="25"/>
        <v/>
      </c>
    </row>
    <row r="1639" spans="27:27" ht="15" customHeight="1" x14ac:dyDescent="0.25">
      <c r="AA1639" s="40" t="str">
        <f t="shared" si="25"/>
        <v/>
      </c>
    </row>
    <row r="1640" spans="27:27" ht="15" customHeight="1" x14ac:dyDescent="0.25">
      <c r="AA1640" s="40" t="str">
        <f t="shared" si="25"/>
        <v/>
      </c>
    </row>
    <row r="1641" spans="27:27" ht="15" customHeight="1" x14ac:dyDescent="0.25">
      <c r="AA1641" s="40" t="str">
        <f t="shared" si="25"/>
        <v/>
      </c>
    </row>
    <row r="1642" spans="27:27" ht="15" customHeight="1" x14ac:dyDescent="0.25">
      <c r="AA1642" s="40" t="str">
        <f t="shared" si="25"/>
        <v/>
      </c>
    </row>
    <row r="1643" spans="27:27" ht="15" customHeight="1" x14ac:dyDescent="0.25">
      <c r="AA1643" s="40" t="str">
        <f t="shared" si="25"/>
        <v/>
      </c>
    </row>
    <row r="1644" spans="27:27" ht="15" customHeight="1" x14ac:dyDescent="0.25">
      <c r="AA1644" s="40" t="str">
        <f t="shared" si="25"/>
        <v/>
      </c>
    </row>
    <row r="1645" spans="27:27" ht="15" customHeight="1" x14ac:dyDescent="0.25">
      <c r="AA1645" s="40" t="str">
        <f t="shared" si="25"/>
        <v/>
      </c>
    </row>
    <row r="1646" spans="27:27" ht="15" customHeight="1" x14ac:dyDescent="0.25">
      <c r="AA1646" s="40" t="str">
        <f t="shared" si="25"/>
        <v/>
      </c>
    </row>
    <row r="1647" spans="27:27" ht="15" customHeight="1" x14ac:dyDescent="0.25">
      <c r="AA1647" s="40" t="str">
        <f t="shared" si="25"/>
        <v/>
      </c>
    </row>
    <row r="1648" spans="27:27" ht="15" customHeight="1" x14ac:dyDescent="0.25">
      <c r="AA1648" s="40" t="str">
        <f t="shared" si="25"/>
        <v/>
      </c>
    </row>
    <row r="1649" spans="27:27" ht="15" customHeight="1" x14ac:dyDescent="0.25">
      <c r="AA1649" s="40" t="str">
        <f t="shared" si="25"/>
        <v/>
      </c>
    </row>
    <row r="1650" spans="27:27" ht="15" customHeight="1" x14ac:dyDescent="0.25">
      <c r="AA1650" s="40" t="str">
        <f t="shared" si="25"/>
        <v/>
      </c>
    </row>
    <row r="1651" spans="27:27" ht="15" customHeight="1" x14ac:dyDescent="0.25">
      <c r="AA1651" s="40" t="str">
        <f t="shared" si="25"/>
        <v/>
      </c>
    </row>
    <row r="1652" spans="27:27" ht="15" customHeight="1" x14ac:dyDescent="0.25">
      <c r="AA1652" s="40" t="str">
        <f t="shared" si="25"/>
        <v/>
      </c>
    </row>
    <row r="1653" spans="27:27" ht="15" customHeight="1" x14ac:dyDescent="0.25">
      <c r="AA1653" s="40" t="str">
        <f t="shared" si="25"/>
        <v/>
      </c>
    </row>
    <row r="1654" spans="27:27" ht="15" customHeight="1" x14ac:dyDescent="0.25">
      <c r="AA1654" s="40" t="str">
        <f t="shared" si="25"/>
        <v/>
      </c>
    </row>
    <row r="1655" spans="27:27" ht="15" customHeight="1" x14ac:dyDescent="0.25">
      <c r="AA1655" s="40" t="str">
        <f t="shared" si="25"/>
        <v/>
      </c>
    </row>
    <row r="1656" spans="27:27" ht="15" customHeight="1" x14ac:dyDescent="0.25">
      <c r="AA1656" s="40" t="str">
        <f t="shared" si="25"/>
        <v/>
      </c>
    </row>
    <row r="1657" spans="27:27" ht="15" customHeight="1" x14ac:dyDescent="0.25">
      <c r="AA1657" s="40" t="str">
        <f t="shared" si="25"/>
        <v/>
      </c>
    </row>
    <row r="1658" spans="27:27" ht="15" customHeight="1" x14ac:dyDescent="0.25">
      <c r="AA1658" s="40" t="str">
        <f t="shared" si="25"/>
        <v/>
      </c>
    </row>
    <row r="1659" spans="27:27" ht="15" customHeight="1" x14ac:dyDescent="0.25">
      <c r="AA1659" s="40" t="str">
        <f t="shared" si="25"/>
        <v/>
      </c>
    </row>
    <row r="1660" spans="27:27" ht="15" customHeight="1" x14ac:dyDescent="0.25">
      <c r="AA1660" s="40" t="str">
        <f t="shared" si="25"/>
        <v/>
      </c>
    </row>
    <row r="1661" spans="27:27" ht="15" customHeight="1" x14ac:dyDescent="0.25">
      <c r="AA1661" s="40" t="str">
        <f t="shared" si="25"/>
        <v/>
      </c>
    </row>
    <row r="1662" spans="27:27" ht="15" customHeight="1" x14ac:dyDescent="0.25">
      <c r="AA1662" s="40" t="str">
        <f t="shared" si="25"/>
        <v/>
      </c>
    </row>
    <row r="1663" spans="27:27" ht="15" customHeight="1" x14ac:dyDescent="0.25">
      <c r="AA1663" s="40" t="str">
        <f t="shared" si="25"/>
        <v/>
      </c>
    </row>
    <row r="1664" spans="27:27" ht="15" customHeight="1" x14ac:dyDescent="0.25">
      <c r="AA1664" s="40" t="str">
        <f t="shared" si="25"/>
        <v/>
      </c>
    </row>
    <row r="1665" spans="27:27" ht="15" customHeight="1" x14ac:dyDescent="0.25">
      <c r="AA1665" s="40" t="str">
        <f t="shared" si="25"/>
        <v/>
      </c>
    </row>
    <row r="1666" spans="27:27" ht="15" customHeight="1" x14ac:dyDescent="0.25">
      <c r="AA1666" s="40" t="str">
        <f t="shared" si="25"/>
        <v/>
      </c>
    </row>
    <row r="1667" spans="27:27" ht="15" customHeight="1" x14ac:dyDescent="0.25">
      <c r="AA1667" s="40" t="str">
        <f t="shared" si="25"/>
        <v/>
      </c>
    </row>
    <row r="1668" spans="27:27" ht="15" customHeight="1" x14ac:dyDescent="0.25">
      <c r="AA1668" s="40" t="str">
        <f t="shared" si="25"/>
        <v/>
      </c>
    </row>
    <row r="1669" spans="27:27" ht="15" customHeight="1" x14ac:dyDescent="0.25">
      <c r="AA1669" s="40" t="str">
        <f t="shared" si="25"/>
        <v/>
      </c>
    </row>
    <row r="1670" spans="27:27" ht="15" customHeight="1" x14ac:dyDescent="0.25">
      <c r="AA1670" s="40" t="str">
        <f t="shared" si="25"/>
        <v/>
      </c>
    </row>
    <row r="1671" spans="27:27" ht="15" customHeight="1" x14ac:dyDescent="0.25">
      <c r="AA1671" s="40" t="str">
        <f t="shared" si="25"/>
        <v/>
      </c>
    </row>
    <row r="1672" spans="27:27" ht="15" customHeight="1" x14ac:dyDescent="0.25">
      <c r="AA1672" s="40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40" t="str">
        <f t="shared" si="26"/>
        <v/>
      </c>
    </row>
    <row r="1674" spans="27:27" ht="15" customHeight="1" x14ac:dyDescent="0.25">
      <c r="AA1674" s="40" t="str">
        <f t="shared" si="26"/>
        <v/>
      </c>
    </row>
    <row r="1675" spans="27:27" ht="15" customHeight="1" x14ac:dyDescent="0.25">
      <c r="AA1675" s="40" t="str">
        <f t="shared" si="26"/>
        <v/>
      </c>
    </row>
    <row r="1676" spans="27:27" ht="15" customHeight="1" x14ac:dyDescent="0.25">
      <c r="AA1676" s="40" t="str">
        <f t="shared" si="26"/>
        <v/>
      </c>
    </row>
    <row r="1677" spans="27:27" ht="15" customHeight="1" x14ac:dyDescent="0.25">
      <c r="AA1677" s="40" t="str">
        <f t="shared" si="26"/>
        <v/>
      </c>
    </row>
    <row r="1678" spans="27:27" ht="15" customHeight="1" x14ac:dyDescent="0.25">
      <c r="AA1678" s="40" t="str">
        <f t="shared" si="26"/>
        <v/>
      </c>
    </row>
    <row r="1679" spans="27:27" ht="15" customHeight="1" x14ac:dyDescent="0.25">
      <c r="AA1679" s="40" t="str">
        <f t="shared" si="26"/>
        <v/>
      </c>
    </row>
    <row r="1680" spans="27:27" ht="15" customHeight="1" x14ac:dyDescent="0.25">
      <c r="AA1680" s="40" t="str">
        <f t="shared" si="26"/>
        <v/>
      </c>
    </row>
    <row r="1681" spans="27:27" ht="15" customHeight="1" x14ac:dyDescent="0.25">
      <c r="AA1681" s="40" t="str">
        <f t="shared" si="26"/>
        <v/>
      </c>
    </row>
    <row r="1682" spans="27:27" ht="15" customHeight="1" x14ac:dyDescent="0.25">
      <c r="AA1682" s="40" t="str">
        <f t="shared" si="26"/>
        <v/>
      </c>
    </row>
    <row r="1683" spans="27:27" ht="15" customHeight="1" x14ac:dyDescent="0.25">
      <c r="AA1683" s="40" t="str">
        <f t="shared" si="26"/>
        <v/>
      </c>
    </row>
    <row r="1684" spans="27:27" ht="15" customHeight="1" x14ac:dyDescent="0.25">
      <c r="AA1684" s="40" t="str">
        <f t="shared" si="26"/>
        <v/>
      </c>
    </row>
    <row r="1685" spans="27:27" ht="15" customHeight="1" x14ac:dyDescent="0.25">
      <c r="AA1685" s="40" t="str">
        <f t="shared" si="26"/>
        <v/>
      </c>
    </row>
    <row r="1686" spans="27:27" ht="15" customHeight="1" x14ac:dyDescent="0.25">
      <c r="AA1686" s="40" t="str">
        <f t="shared" si="26"/>
        <v/>
      </c>
    </row>
    <row r="1687" spans="27:27" ht="15" customHeight="1" x14ac:dyDescent="0.25">
      <c r="AA1687" s="40" t="str">
        <f t="shared" si="26"/>
        <v/>
      </c>
    </row>
    <row r="1688" spans="27:27" ht="15" customHeight="1" x14ac:dyDescent="0.25">
      <c r="AA1688" s="40" t="str">
        <f t="shared" si="26"/>
        <v/>
      </c>
    </row>
    <row r="1689" spans="27:27" ht="15" customHeight="1" x14ac:dyDescent="0.25">
      <c r="AA1689" s="40" t="str">
        <f t="shared" si="26"/>
        <v/>
      </c>
    </row>
    <row r="1690" spans="27:27" ht="15" customHeight="1" x14ac:dyDescent="0.25">
      <c r="AA1690" s="40" t="str">
        <f t="shared" si="26"/>
        <v/>
      </c>
    </row>
    <row r="1691" spans="27:27" ht="15" customHeight="1" x14ac:dyDescent="0.25">
      <c r="AA1691" s="40" t="str">
        <f t="shared" si="26"/>
        <v/>
      </c>
    </row>
    <row r="1692" spans="27:27" ht="15" customHeight="1" x14ac:dyDescent="0.25">
      <c r="AA1692" s="40" t="str">
        <f t="shared" si="26"/>
        <v/>
      </c>
    </row>
    <row r="1693" spans="27:27" ht="15" customHeight="1" x14ac:dyDescent="0.25">
      <c r="AA1693" s="40" t="str">
        <f t="shared" si="26"/>
        <v/>
      </c>
    </row>
    <row r="1694" spans="27:27" ht="15" customHeight="1" x14ac:dyDescent="0.25">
      <c r="AA1694" s="40" t="str">
        <f t="shared" si="26"/>
        <v/>
      </c>
    </row>
    <row r="1695" spans="27:27" ht="15" customHeight="1" x14ac:dyDescent="0.25">
      <c r="AA1695" s="40" t="str">
        <f t="shared" si="26"/>
        <v/>
      </c>
    </row>
    <row r="1696" spans="27:27" ht="15" customHeight="1" x14ac:dyDescent="0.25">
      <c r="AA1696" s="40" t="str">
        <f t="shared" si="26"/>
        <v/>
      </c>
    </row>
    <row r="1697" spans="27:27" ht="15" customHeight="1" x14ac:dyDescent="0.25">
      <c r="AA1697" s="40" t="str">
        <f t="shared" si="26"/>
        <v/>
      </c>
    </row>
    <row r="1698" spans="27:27" ht="15" customHeight="1" x14ac:dyDescent="0.25">
      <c r="AA1698" s="40" t="str">
        <f t="shared" si="26"/>
        <v/>
      </c>
    </row>
    <row r="1699" spans="27:27" ht="15" customHeight="1" x14ac:dyDescent="0.25">
      <c r="AA1699" s="40" t="str">
        <f t="shared" si="26"/>
        <v/>
      </c>
    </row>
    <row r="1700" spans="27:27" ht="15" customHeight="1" x14ac:dyDescent="0.25">
      <c r="AA1700" s="40" t="str">
        <f t="shared" si="26"/>
        <v/>
      </c>
    </row>
    <row r="1701" spans="27:27" ht="15" customHeight="1" x14ac:dyDescent="0.25">
      <c r="AA1701" s="40" t="str">
        <f t="shared" si="26"/>
        <v/>
      </c>
    </row>
    <row r="1702" spans="27:27" ht="15" customHeight="1" x14ac:dyDescent="0.25">
      <c r="AA1702" s="40" t="str">
        <f t="shared" si="26"/>
        <v/>
      </c>
    </row>
    <row r="1703" spans="27:27" ht="15" customHeight="1" x14ac:dyDescent="0.25">
      <c r="AA1703" s="40" t="str">
        <f t="shared" si="26"/>
        <v/>
      </c>
    </row>
    <row r="1704" spans="27:27" ht="15" customHeight="1" x14ac:dyDescent="0.25">
      <c r="AA1704" s="40" t="str">
        <f t="shared" si="26"/>
        <v/>
      </c>
    </row>
    <row r="1705" spans="27:27" ht="15" customHeight="1" x14ac:dyDescent="0.25">
      <c r="AA1705" s="40" t="str">
        <f t="shared" si="26"/>
        <v/>
      </c>
    </row>
    <row r="1706" spans="27:27" ht="15" customHeight="1" x14ac:dyDescent="0.25">
      <c r="AA1706" s="40" t="str">
        <f t="shared" si="26"/>
        <v/>
      </c>
    </row>
    <row r="1707" spans="27:27" ht="15" customHeight="1" x14ac:dyDescent="0.25">
      <c r="AA1707" s="40" t="str">
        <f t="shared" si="26"/>
        <v/>
      </c>
    </row>
    <row r="1708" spans="27:27" ht="15" customHeight="1" x14ac:dyDescent="0.25">
      <c r="AA1708" s="40" t="str">
        <f t="shared" si="26"/>
        <v/>
      </c>
    </row>
    <row r="1709" spans="27:27" ht="15" customHeight="1" x14ac:dyDescent="0.25">
      <c r="AA1709" s="40" t="str">
        <f t="shared" si="26"/>
        <v/>
      </c>
    </row>
    <row r="1710" spans="27:27" ht="15" customHeight="1" x14ac:dyDescent="0.25">
      <c r="AA1710" s="40" t="str">
        <f t="shared" si="26"/>
        <v/>
      </c>
    </row>
    <row r="1711" spans="27:27" ht="15" customHeight="1" x14ac:dyDescent="0.25">
      <c r="AA1711" s="40" t="str">
        <f t="shared" si="26"/>
        <v/>
      </c>
    </row>
    <row r="1712" spans="27:27" ht="15" customHeight="1" x14ac:dyDescent="0.25">
      <c r="AA1712" s="40" t="str">
        <f t="shared" si="26"/>
        <v/>
      </c>
    </row>
    <row r="1713" spans="27:27" ht="15" customHeight="1" x14ac:dyDescent="0.25">
      <c r="AA1713" s="40" t="str">
        <f t="shared" si="26"/>
        <v/>
      </c>
    </row>
    <row r="1714" spans="27:27" ht="15" customHeight="1" x14ac:dyDescent="0.25">
      <c r="AA1714" s="40" t="str">
        <f t="shared" si="26"/>
        <v/>
      </c>
    </row>
    <row r="1715" spans="27:27" ht="15" customHeight="1" x14ac:dyDescent="0.25">
      <c r="AA1715" s="40" t="str">
        <f t="shared" si="26"/>
        <v/>
      </c>
    </row>
    <row r="1716" spans="27:27" ht="15" customHeight="1" x14ac:dyDescent="0.25">
      <c r="AA1716" s="40" t="str">
        <f t="shared" si="26"/>
        <v/>
      </c>
    </row>
    <row r="1717" spans="27:27" ht="15" customHeight="1" x14ac:dyDescent="0.25">
      <c r="AA1717" s="40" t="str">
        <f t="shared" si="26"/>
        <v/>
      </c>
    </row>
    <row r="1718" spans="27:27" ht="15" customHeight="1" x14ac:dyDescent="0.25">
      <c r="AA1718" s="40" t="str">
        <f t="shared" si="26"/>
        <v/>
      </c>
    </row>
    <row r="1719" spans="27:27" ht="15" customHeight="1" x14ac:dyDescent="0.25">
      <c r="AA1719" s="40" t="str">
        <f t="shared" si="26"/>
        <v/>
      </c>
    </row>
    <row r="1720" spans="27:27" ht="15" customHeight="1" x14ac:dyDescent="0.25">
      <c r="AA1720" s="40" t="str">
        <f t="shared" si="26"/>
        <v/>
      </c>
    </row>
    <row r="1721" spans="27:27" ht="15" customHeight="1" x14ac:dyDescent="0.25">
      <c r="AA1721" s="40" t="str">
        <f t="shared" si="26"/>
        <v/>
      </c>
    </row>
    <row r="1722" spans="27:27" ht="15" customHeight="1" x14ac:dyDescent="0.25">
      <c r="AA1722" s="40" t="str">
        <f t="shared" si="26"/>
        <v/>
      </c>
    </row>
    <row r="1723" spans="27:27" ht="15" customHeight="1" x14ac:dyDescent="0.25">
      <c r="AA1723" s="40" t="str">
        <f t="shared" si="26"/>
        <v/>
      </c>
    </row>
    <row r="1724" spans="27:27" ht="15" customHeight="1" x14ac:dyDescent="0.25">
      <c r="AA1724" s="40" t="str">
        <f t="shared" si="26"/>
        <v/>
      </c>
    </row>
    <row r="1725" spans="27:27" ht="15" customHeight="1" x14ac:dyDescent="0.25">
      <c r="AA1725" s="40" t="str">
        <f t="shared" si="26"/>
        <v/>
      </c>
    </row>
    <row r="1726" spans="27:27" ht="15" customHeight="1" x14ac:dyDescent="0.25">
      <c r="AA1726" s="40" t="str">
        <f t="shared" si="26"/>
        <v/>
      </c>
    </row>
    <row r="1727" spans="27:27" ht="15" customHeight="1" x14ac:dyDescent="0.25">
      <c r="AA1727" s="40" t="str">
        <f t="shared" si="26"/>
        <v/>
      </c>
    </row>
    <row r="1728" spans="27:27" ht="15" customHeight="1" x14ac:dyDescent="0.25">
      <c r="AA1728" s="40" t="str">
        <f t="shared" si="26"/>
        <v/>
      </c>
    </row>
    <row r="1729" spans="27:27" ht="15" customHeight="1" x14ac:dyDescent="0.25">
      <c r="AA1729" s="40" t="str">
        <f t="shared" si="26"/>
        <v/>
      </c>
    </row>
    <row r="1730" spans="27:27" ht="15" customHeight="1" x14ac:dyDescent="0.25">
      <c r="AA1730" s="40" t="str">
        <f t="shared" si="26"/>
        <v/>
      </c>
    </row>
    <row r="1731" spans="27:27" ht="15" customHeight="1" x14ac:dyDescent="0.25">
      <c r="AA1731" s="40" t="str">
        <f t="shared" si="26"/>
        <v/>
      </c>
    </row>
    <row r="1732" spans="27:27" ht="15" customHeight="1" x14ac:dyDescent="0.25">
      <c r="AA1732" s="40" t="str">
        <f t="shared" si="26"/>
        <v/>
      </c>
    </row>
    <row r="1733" spans="27:27" ht="15" customHeight="1" x14ac:dyDescent="0.25">
      <c r="AA1733" s="40" t="str">
        <f t="shared" si="26"/>
        <v/>
      </c>
    </row>
    <row r="1734" spans="27:27" ht="15" customHeight="1" x14ac:dyDescent="0.25">
      <c r="AA1734" s="40" t="str">
        <f t="shared" si="26"/>
        <v/>
      </c>
    </row>
    <row r="1735" spans="27:27" ht="15" customHeight="1" x14ac:dyDescent="0.25">
      <c r="AA1735" s="40" t="str">
        <f t="shared" si="26"/>
        <v/>
      </c>
    </row>
    <row r="1736" spans="27:27" ht="15" customHeight="1" x14ac:dyDescent="0.25">
      <c r="AA1736" s="40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40" t="str">
        <f t="shared" si="27"/>
        <v/>
      </c>
    </row>
    <row r="1738" spans="27:27" ht="15" customHeight="1" x14ac:dyDescent="0.25">
      <c r="AA1738" s="40" t="str">
        <f t="shared" si="27"/>
        <v/>
      </c>
    </row>
    <row r="1739" spans="27:27" ht="15" customHeight="1" x14ac:dyDescent="0.25">
      <c r="AA1739" s="40" t="str">
        <f t="shared" si="27"/>
        <v/>
      </c>
    </row>
    <row r="1740" spans="27:27" ht="15" customHeight="1" x14ac:dyDescent="0.25">
      <c r="AA1740" s="40" t="str">
        <f t="shared" si="27"/>
        <v/>
      </c>
    </row>
    <row r="1741" spans="27:27" ht="15" customHeight="1" x14ac:dyDescent="0.25">
      <c r="AA1741" s="40" t="str">
        <f t="shared" si="27"/>
        <v/>
      </c>
    </row>
    <row r="1742" spans="27:27" ht="15" customHeight="1" x14ac:dyDescent="0.25">
      <c r="AA1742" s="40" t="str">
        <f t="shared" si="27"/>
        <v/>
      </c>
    </row>
    <row r="1743" spans="27:27" ht="15" customHeight="1" x14ac:dyDescent="0.25">
      <c r="AA1743" s="40" t="str">
        <f t="shared" si="27"/>
        <v/>
      </c>
    </row>
    <row r="1744" spans="27:27" ht="15" customHeight="1" x14ac:dyDescent="0.25">
      <c r="AA1744" s="40" t="str">
        <f t="shared" si="27"/>
        <v/>
      </c>
    </row>
    <row r="1745" spans="27:27" ht="15" customHeight="1" x14ac:dyDescent="0.25">
      <c r="AA1745" s="40" t="str">
        <f t="shared" si="27"/>
        <v/>
      </c>
    </row>
    <row r="1746" spans="27:27" ht="15" customHeight="1" x14ac:dyDescent="0.25">
      <c r="AA1746" s="40" t="str">
        <f t="shared" si="27"/>
        <v/>
      </c>
    </row>
    <row r="1747" spans="27:27" ht="15" customHeight="1" x14ac:dyDescent="0.25">
      <c r="AA1747" s="40" t="str">
        <f t="shared" si="27"/>
        <v/>
      </c>
    </row>
    <row r="1748" spans="27:27" ht="15" customHeight="1" x14ac:dyDescent="0.25">
      <c r="AA1748" s="40" t="str">
        <f t="shared" si="27"/>
        <v/>
      </c>
    </row>
    <row r="1749" spans="27:27" ht="15" customHeight="1" x14ac:dyDescent="0.25">
      <c r="AA1749" s="40" t="str">
        <f t="shared" si="27"/>
        <v/>
      </c>
    </row>
    <row r="1750" spans="27:27" ht="15" customHeight="1" x14ac:dyDescent="0.25">
      <c r="AA1750" s="40" t="str">
        <f t="shared" si="27"/>
        <v/>
      </c>
    </row>
    <row r="1751" spans="27:27" ht="15" customHeight="1" x14ac:dyDescent="0.25">
      <c r="AA1751" s="40" t="str">
        <f t="shared" si="27"/>
        <v/>
      </c>
    </row>
    <row r="1752" spans="27:27" ht="15" customHeight="1" x14ac:dyDescent="0.25">
      <c r="AA1752" s="40" t="str">
        <f t="shared" si="27"/>
        <v/>
      </c>
    </row>
    <row r="1753" spans="27:27" ht="15" customHeight="1" x14ac:dyDescent="0.25">
      <c r="AA1753" s="40" t="str">
        <f t="shared" si="27"/>
        <v/>
      </c>
    </row>
    <row r="1754" spans="27:27" ht="15" customHeight="1" x14ac:dyDescent="0.25">
      <c r="AA1754" s="40" t="str">
        <f t="shared" si="27"/>
        <v/>
      </c>
    </row>
    <row r="1755" spans="27:27" ht="15" customHeight="1" x14ac:dyDescent="0.25">
      <c r="AA1755" s="40" t="str">
        <f t="shared" si="27"/>
        <v/>
      </c>
    </row>
    <row r="1756" spans="27:27" ht="15" customHeight="1" x14ac:dyDescent="0.25">
      <c r="AA1756" s="40" t="str">
        <f t="shared" si="27"/>
        <v/>
      </c>
    </row>
    <row r="1757" spans="27:27" ht="15" customHeight="1" x14ac:dyDescent="0.25">
      <c r="AA1757" s="40" t="str">
        <f t="shared" si="27"/>
        <v/>
      </c>
    </row>
    <row r="1758" spans="27:27" ht="15" customHeight="1" x14ac:dyDescent="0.25">
      <c r="AA1758" s="40" t="str">
        <f t="shared" si="27"/>
        <v/>
      </c>
    </row>
    <row r="1759" spans="27:27" ht="15" customHeight="1" x14ac:dyDescent="0.25">
      <c r="AA1759" s="40" t="str">
        <f t="shared" si="27"/>
        <v/>
      </c>
    </row>
    <row r="1760" spans="27:27" ht="15" customHeight="1" x14ac:dyDescent="0.25">
      <c r="AA1760" s="40" t="str">
        <f t="shared" si="27"/>
        <v/>
      </c>
    </row>
    <row r="1761" spans="27:27" ht="15" customHeight="1" x14ac:dyDescent="0.25">
      <c r="AA1761" s="40" t="str">
        <f t="shared" si="27"/>
        <v/>
      </c>
    </row>
    <row r="1762" spans="27:27" ht="15" customHeight="1" x14ac:dyDescent="0.25">
      <c r="AA1762" s="40" t="str">
        <f t="shared" si="27"/>
        <v/>
      </c>
    </row>
    <row r="1763" spans="27:27" ht="15" customHeight="1" x14ac:dyDescent="0.25">
      <c r="AA1763" s="40" t="str">
        <f t="shared" si="27"/>
        <v/>
      </c>
    </row>
    <row r="1764" spans="27:27" ht="15" customHeight="1" x14ac:dyDescent="0.25">
      <c r="AA1764" s="40" t="str">
        <f t="shared" si="27"/>
        <v/>
      </c>
    </row>
    <row r="1765" spans="27:27" ht="15" customHeight="1" x14ac:dyDescent="0.25">
      <c r="AA1765" s="40" t="str">
        <f t="shared" si="27"/>
        <v/>
      </c>
    </row>
    <row r="1766" spans="27:27" ht="15" customHeight="1" x14ac:dyDescent="0.25">
      <c r="AA1766" s="40" t="str">
        <f t="shared" si="27"/>
        <v/>
      </c>
    </row>
    <row r="1767" spans="27:27" ht="15" customHeight="1" x14ac:dyDescent="0.25">
      <c r="AA1767" s="40" t="str">
        <f t="shared" si="27"/>
        <v/>
      </c>
    </row>
    <row r="1768" spans="27:27" ht="15" customHeight="1" x14ac:dyDescent="0.25">
      <c r="AA1768" s="40" t="str">
        <f t="shared" si="27"/>
        <v/>
      </c>
    </row>
    <row r="1769" spans="27:27" ht="15" customHeight="1" x14ac:dyDescent="0.25">
      <c r="AA1769" s="40" t="str">
        <f t="shared" si="27"/>
        <v/>
      </c>
    </row>
    <row r="1770" spans="27:27" ht="15" customHeight="1" x14ac:dyDescent="0.25">
      <c r="AA1770" s="40" t="str">
        <f t="shared" si="27"/>
        <v/>
      </c>
    </row>
    <row r="1771" spans="27:27" ht="15" customHeight="1" x14ac:dyDescent="0.25">
      <c r="AA1771" s="40" t="str">
        <f t="shared" si="27"/>
        <v/>
      </c>
    </row>
    <row r="1772" spans="27:27" ht="15" customHeight="1" x14ac:dyDescent="0.25">
      <c r="AA1772" s="40" t="str">
        <f t="shared" si="27"/>
        <v/>
      </c>
    </row>
    <row r="1773" spans="27:27" ht="15" customHeight="1" x14ac:dyDescent="0.25">
      <c r="AA1773" s="40" t="str">
        <f t="shared" si="27"/>
        <v/>
      </c>
    </row>
    <row r="1774" spans="27:27" ht="15" customHeight="1" x14ac:dyDescent="0.25">
      <c r="AA1774" s="40" t="str">
        <f t="shared" si="27"/>
        <v/>
      </c>
    </row>
    <row r="1775" spans="27:27" ht="15" customHeight="1" x14ac:dyDescent="0.25">
      <c r="AA1775" s="40" t="str">
        <f t="shared" si="27"/>
        <v/>
      </c>
    </row>
    <row r="1776" spans="27:27" ht="15" customHeight="1" x14ac:dyDescent="0.25">
      <c r="AA1776" s="40" t="str">
        <f t="shared" si="27"/>
        <v/>
      </c>
    </row>
    <row r="1777" spans="27:27" ht="15" customHeight="1" x14ac:dyDescent="0.25">
      <c r="AA1777" s="40" t="str">
        <f t="shared" si="27"/>
        <v/>
      </c>
    </row>
    <row r="1778" spans="27:27" ht="15" customHeight="1" x14ac:dyDescent="0.25">
      <c r="AA1778" s="40" t="str">
        <f t="shared" si="27"/>
        <v/>
      </c>
    </row>
    <row r="1779" spans="27:27" ht="15" customHeight="1" x14ac:dyDescent="0.25">
      <c r="AA1779" s="40" t="str">
        <f t="shared" si="27"/>
        <v/>
      </c>
    </row>
    <row r="1780" spans="27:27" ht="15" customHeight="1" x14ac:dyDescent="0.25">
      <c r="AA1780" s="40" t="str">
        <f t="shared" si="27"/>
        <v/>
      </c>
    </row>
    <row r="1781" spans="27:27" ht="15" customHeight="1" x14ac:dyDescent="0.25">
      <c r="AA1781" s="40" t="str">
        <f t="shared" si="27"/>
        <v/>
      </c>
    </row>
    <row r="1782" spans="27:27" ht="15" customHeight="1" x14ac:dyDescent="0.25">
      <c r="AA1782" s="40" t="str">
        <f t="shared" si="27"/>
        <v/>
      </c>
    </row>
    <row r="1783" spans="27:27" ht="15" customHeight="1" x14ac:dyDescent="0.25">
      <c r="AA1783" s="40" t="str">
        <f t="shared" si="27"/>
        <v/>
      </c>
    </row>
    <row r="1784" spans="27:27" ht="15" customHeight="1" x14ac:dyDescent="0.25">
      <c r="AA1784" s="40" t="str">
        <f t="shared" si="27"/>
        <v/>
      </c>
    </row>
    <row r="1785" spans="27:27" ht="15" customHeight="1" x14ac:dyDescent="0.25">
      <c r="AA1785" s="40" t="str">
        <f t="shared" si="27"/>
        <v/>
      </c>
    </row>
    <row r="1786" spans="27:27" ht="15" customHeight="1" x14ac:dyDescent="0.25">
      <c r="AA1786" s="40" t="str">
        <f t="shared" si="27"/>
        <v/>
      </c>
    </row>
    <row r="1787" spans="27:27" ht="15" customHeight="1" x14ac:dyDescent="0.25">
      <c r="AA1787" s="40" t="str">
        <f t="shared" si="27"/>
        <v/>
      </c>
    </row>
    <row r="1788" spans="27:27" ht="15" customHeight="1" x14ac:dyDescent="0.25">
      <c r="AA1788" s="40" t="str">
        <f t="shared" si="27"/>
        <v/>
      </c>
    </row>
    <row r="1789" spans="27:27" ht="15" customHeight="1" x14ac:dyDescent="0.25">
      <c r="AA1789" s="40" t="str">
        <f t="shared" si="27"/>
        <v/>
      </c>
    </row>
    <row r="1790" spans="27:27" ht="15" customHeight="1" x14ac:dyDescent="0.25">
      <c r="AA1790" s="40" t="str">
        <f t="shared" si="27"/>
        <v/>
      </c>
    </row>
    <row r="1791" spans="27:27" ht="15" customHeight="1" x14ac:dyDescent="0.25">
      <c r="AA1791" s="40" t="str">
        <f t="shared" si="27"/>
        <v/>
      </c>
    </row>
    <row r="1792" spans="27:27" ht="15" customHeight="1" x14ac:dyDescent="0.25">
      <c r="AA1792" s="40" t="str">
        <f t="shared" si="27"/>
        <v/>
      </c>
    </row>
    <row r="1793" spans="27:27" ht="15" customHeight="1" x14ac:dyDescent="0.25">
      <c r="AA1793" s="40" t="str">
        <f t="shared" si="27"/>
        <v/>
      </c>
    </row>
    <row r="1794" spans="27:27" ht="15" customHeight="1" x14ac:dyDescent="0.25">
      <c r="AA1794" s="40" t="str">
        <f t="shared" si="27"/>
        <v/>
      </c>
    </row>
    <row r="1795" spans="27:27" ht="15" customHeight="1" x14ac:dyDescent="0.25">
      <c r="AA1795" s="40" t="str">
        <f t="shared" si="27"/>
        <v/>
      </c>
    </row>
    <row r="1796" spans="27:27" ht="15" customHeight="1" x14ac:dyDescent="0.25">
      <c r="AA1796" s="40" t="str">
        <f t="shared" si="27"/>
        <v/>
      </c>
    </row>
    <row r="1797" spans="27:27" ht="15" customHeight="1" x14ac:dyDescent="0.25">
      <c r="AA1797" s="40" t="str">
        <f t="shared" si="27"/>
        <v/>
      </c>
    </row>
    <row r="1798" spans="27:27" ht="15" customHeight="1" x14ac:dyDescent="0.25">
      <c r="AA1798" s="40" t="str">
        <f t="shared" si="27"/>
        <v/>
      </c>
    </row>
    <row r="1799" spans="27:27" ht="15" customHeight="1" x14ac:dyDescent="0.25">
      <c r="AA1799" s="40" t="str">
        <f t="shared" si="27"/>
        <v/>
      </c>
    </row>
    <row r="1800" spans="27:27" ht="15" customHeight="1" x14ac:dyDescent="0.25">
      <c r="AA1800" s="40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40" t="str">
        <f t="shared" si="28"/>
        <v/>
      </c>
    </row>
    <row r="1802" spans="27:27" ht="15" customHeight="1" x14ac:dyDescent="0.25">
      <c r="AA1802" s="40" t="str">
        <f t="shared" si="28"/>
        <v/>
      </c>
    </row>
    <row r="1803" spans="27:27" ht="15" customHeight="1" x14ac:dyDescent="0.25">
      <c r="AA1803" s="40" t="str">
        <f t="shared" si="28"/>
        <v/>
      </c>
    </row>
    <row r="1804" spans="27:27" ht="15" customHeight="1" x14ac:dyDescent="0.25">
      <c r="AA1804" s="40" t="str">
        <f t="shared" si="28"/>
        <v/>
      </c>
    </row>
    <row r="1805" spans="27:27" ht="15" customHeight="1" x14ac:dyDescent="0.25">
      <c r="AA1805" s="40" t="str">
        <f t="shared" si="28"/>
        <v/>
      </c>
    </row>
    <row r="1806" spans="27:27" ht="15" customHeight="1" x14ac:dyDescent="0.25">
      <c r="AA1806" s="40" t="str">
        <f t="shared" si="28"/>
        <v/>
      </c>
    </row>
    <row r="1807" spans="27:27" ht="15" customHeight="1" x14ac:dyDescent="0.25">
      <c r="AA1807" s="40" t="str">
        <f t="shared" si="28"/>
        <v/>
      </c>
    </row>
    <row r="1808" spans="27:27" ht="15" customHeight="1" x14ac:dyDescent="0.25">
      <c r="AA1808" s="40" t="str">
        <f t="shared" si="28"/>
        <v/>
      </c>
    </row>
    <row r="1809" spans="27:27" ht="15" customHeight="1" x14ac:dyDescent="0.25">
      <c r="AA1809" s="40" t="str">
        <f t="shared" si="28"/>
        <v/>
      </c>
    </row>
    <row r="1810" spans="27:27" ht="15" customHeight="1" x14ac:dyDescent="0.25">
      <c r="AA1810" s="40" t="str">
        <f t="shared" si="28"/>
        <v/>
      </c>
    </row>
    <row r="1811" spans="27:27" ht="15" customHeight="1" x14ac:dyDescent="0.25">
      <c r="AA1811" s="40" t="str">
        <f t="shared" si="28"/>
        <v/>
      </c>
    </row>
    <row r="1812" spans="27:27" ht="15" customHeight="1" x14ac:dyDescent="0.25">
      <c r="AA1812" s="40" t="str">
        <f t="shared" si="28"/>
        <v/>
      </c>
    </row>
    <row r="1813" spans="27:27" ht="15" customHeight="1" x14ac:dyDescent="0.25">
      <c r="AA1813" s="40" t="str">
        <f t="shared" si="28"/>
        <v/>
      </c>
    </row>
    <row r="1814" spans="27:27" ht="15" customHeight="1" x14ac:dyDescent="0.25">
      <c r="AA1814" s="40" t="str">
        <f t="shared" si="28"/>
        <v/>
      </c>
    </row>
    <row r="1815" spans="27:27" ht="15" customHeight="1" x14ac:dyDescent="0.25">
      <c r="AA1815" s="40" t="str">
        <f t="shared" si="28"/>
        <v/>
      </c>
    </row>
    <row r="1816" spans="27:27" ht="15" customHeight="1" x14ac:dyDescent="0.25">
      <c r="AA1816" s="40" t="str">
        <f t="shared" si="28"/>
        <v/>
      </c>
    </row>
    <row r="1817" spans="27:27" ht="15" customHeight="1" x14ac:dyDescent="0.25">
      <c r="AA1817" s="40" t="str">
        <f t="shared" si="28"/>
        <v/>
      </c>
    </row>
    <row r="1818" spans="27:27" ht="15" customHeight="1" x14ac:dyDescent="0.25">
      <c r="AA1818" s="40" t="str">
        <f t="shared" si="28"/>
        <v/>
      </c>
    </row>
    <row r="1819" spans="27:27" ht="15" customHeight="1" x14ac:dyDescent="0.25">
      <c r="AA1819" s="40" t="str">
        <f t="shared" si="28"/>
        <v/>
      </c>
    </row>
    <row r="1820" spans="27:27" ht="15" customHeight="1" x14ac:dyDescent="0.25">
      <c r="AA1820" s="40" t="str">
        <f t="shared" si="28"/>
        <v/>
      </c>
    </row>
    <row r="1821" spans="27:27" ht="15" customHeight="1" x14ac:dyDescent="0.25">
      <c r="AA1821" s="40" t="str">
        <f t="shared" si="28"/>
        <v/>
      </c>
    </row>
    <row r="1822" spans="27:27" ht="15" customHeight="1" x14ac:dyDescent="0.25">
      <c r="AA1822" s="40" t="str">
        <f t="shared" si="28"/>
        <v/>
      </c>
    </row>
    <row r="1823" spans="27:27" ht="15" customHeight="1" x14ac:dyDescent="0.25">
      <c r="AA1823" s="40" t="str">
        <f t="shared" si="28"/>
        <v/>
      </c>
    </row>
    <row r="1824" spans="27:27" ht="15" customHeight="1" x14ac:dyDescent="0.25">
      <c r="AA1824" s="40" t="str">
        <f t="shared" si="28"/>
        <v/>
      </c>
    </row>
    <row r="1825" spans="27:27" ht="15" customHeight="1" x14ac:dyDescent="0.25">
      <c r="AA1825" s="40" t="str">
        <f t="shared" si="28"/>
        <v/>
      </c>
    </row>
    <row r="1826" spans="27:27" ht="15" customHeight="1" x14ac:dyDescent="0.25">
      <c r="AA1826" s="40" t="str">
        <f t="shared" si="28"/>
        <v/>
      </c>
    </row>
    <row r="1827" spans="27:27" ht="15" customHeight="1" x14ac:dyDescent="0.25">
      <c r="AA1827" s="40" t="str">
        <f t="shared" si="28"/>
        <v/>
      </c>
    </row>
    <row r="1828" spans="27:27" ht="15" customHeight="1" x14ac:dyDescent="0.25">
      <c r="AA1828" s="40" t="str">
        <f t="shared" si="28"/>
        <v/>
      </c>
    </row>
    <row r="1829" spans="27:27" ht="15" customHeight="1" x14ac:dyDescent="0.25">
      <c r="AA1829" s="40" t="str">
        <f t="shared" si="28"/>
        <v/>
      </c>
    </row>
    <row r="1830" spans="27:27" ht="15" customHeight="1" x14ac:dyDescent="0.25">
      <c r="AA1830" s="40" t="str">
        <f t="shared" si="28"/>
        <v/>
      </c>
    </row>
    <row r="1831" spans="27:27" ht="15" customHeight="1" x14ac:dyDescent="0.25">
      <c r="AA1831" s="40" t="str">
        <f t="shared" si="28"/>
        <v/>
      </c>
    </row>
    <row r="1832" spans="27:27" ht="15" customHeight="1" x14ac:dyDescent="0.25">
      <c r="AA1832" s="40" t="str">
        <f t="shared" si="28"/>
        <v/>
      </c>
    </row>
    <row r="1833" spans="27:27" ht="15" customHeight="1" x14ac:dyDescent="0.25">
      <c r="AA1833" s="40" t="str">
        <f t="shared" si="28"/>
        <v/>
      </c>
    </row>
    <row r="1834" spans="27:27" ht="15" customHeight="1" x14ac:dyDescent="0.25">
      <c r="AA1834" s="40" t="str">
        <f t="shared" si="28"/>
        <v/>
      </c>
    </row>
    <row r="1835" spans="27:27" ht="15" customHeight="1" x14ac:dyDescent="0.25">
      <c r="AA1835" s="40" t="str">
        <f t="shared" si="28"/>
        <v/>
      </c>
    </row>
    <row r="1836" spans="27:27" ht="15" customHeight="1" x14ac:dyDescent="0.25">
      <c r="AA1836" s="40" t="str">
        <f t="shared" si="28"/>
        <v/>
      </c>
    </row>
    <row r="1837" spans="27:27" ht="15" customHeight="1" x14ac:dyDescent="0.25">
      <c r="AA1837" s="40" t="str">
        <f t="shared" si="28"/>
        <v/>
      </c>
    </row>
    <row r="1838" spans="27:27" ht="15" customHeight="1" x14ac:dyDescent="0.25">
      <c r="AA1838" s="40" t="str">
        <f t="shared" si="28"/>
        <v/>
      </c>
    </row>
    <row r="1839" spans="27:27" ht="15" customHeight="1" x14ac:dyDescent="0.25">
      <c r="AA1839" s="40" t="str">
        <f t="shared" si="28"/>
        <v/>
      </c>
    </row>
    <row r="1840" spans="27:27" ht="15" customHeight="1" x14ac:dyDescent="0.25">
      <c r="AA1840" s="40" t="str">
        <f t="shared" si="28"/>
        <v/>
      </c>
    </row>
    <row r="1841" spans="27:27" ht="15" customHeight="1" x14ac:dyDescent="0.25">
      <c r="AA1841" s="40" t="str">
        <f t="shared" si="28"/>
        <v/>
      </c>
    </row>
    <row r="1842" spans="27:27" ht="15" customHeight="1" x14ac:dyDescent="0.25">
      <c r="AA1842" s="40" t="str">
        <f t="shared" si="28"/>
        <v/>
      </c>
    </row>
    <row r="1843" spans="27:27" ht="15" customHeight="1" x14ac:dyDescent="0.25">
      <c r="AA1843" s="40" t="str">
        <f t="shared" si="28"/>
        <v/>
      </c>
    </row>
    <row r="1844" spans="27:27" ht="15" customHeight="1" x14ac:dyDescent="0.25">
      <c r="AA1844" s="40" t="str">
        <f t="shared" si="28"/>
        <v/>
      </c>
    </row>
    <row r="1845" spans="27:27" ht="15" customHeight="1" x14ac:dyDescent="0.25">
      <c r="AA1845" s="40" t="str">
        <f t="shared" si="28"/>
        <v/>
      </c>
    </row>
    <row r="1846" spans="27:27" ht="15" customHeight="1" x14ac:dyDescent="0.25">
      <c r="AA1846" s="40" t="str">
        <f t="shared" si="28"/>
        <v/>
      </c>
    </row>
    <row r="1847" spans="27:27" ht="15" customHeight="1" x14ac:dyDescent="0.25">
      <c r="AA1847" s="40" t="str">
        <f t="shared" si="28"/>
        <v/>
      </c>
    </row>
    <row r="1848" spans="27:27" ht="15" customHeight="1" x14ac:dyDescent="0.25">
      <c r="AA1848" s="40" t="str">
        <f t="shared" si="28"/>
        <v/>
      </c>
    </row>
    <row r="1849" spans="27:27" ht="15" customHeight="1" x14ac:dyDescent="0.25">
      <c r="AA1849" s="40" t="str">
        <f t="shared" si="28"/>
        <v/>
      </c>
    </row>
    <row r="1850" spans="27:27" ht="15" customHeight="1" x14ac:dyDescent="0.25">
      <c r="AA1850" s="40" t="str">
        <f t="shared" si="28"/>
        <v/>
      </c>
    </row>
    <row r="1851" spans="27:27" ht="15" customHeight="1" x14ac:dyDescent="0.25">
      <c r="AA1851" s="40" t="str">
        <f t="shared" si="28"/>
        <v/>
      </c>
    </row>
    <row r="1852" spans="27:27" ht="15" customHeight="1" x14ac:dyDescent="0.25">
      <c r="AA1852" s="40" t="str">
        <f t="shared" si="28"/>
        <v/>
      </c>
    </row>
    <row r="1853" spans="27:27" ht="15" customHeight="1" x14ac:dyDescent="0.25">
      <c r="AA1853" s="40" t="str">
        <f t="shared" si="28"/>
        <v/>
      </c>
    </row>
    <row r="1854" spans="27:27" ht="15" customHeight="1" x14ac:dyDescent="0.25">
      <c r="AA1854" s="40" t="str">
        <f t="shared" si="28"/>
        <v/>
      </c>
    </row>
    <row r="1855" spans="27:27" ht="15" customHeight="1" x14ac:dyDescent="0.25">
      <c r="AA1855" s="40" t="str">
        <f t="shared" si="28"/>
        <v/>
      </c>
    </row>
    <row r="1856" spans="27:27" ht="15" customHeight="1" x14ac:dyDescent="0.25">
      <c r="AA1856" s="40" t="str">
        <f t="shared" si="28"/>
        <v/>
      </c>
    </row>
    <row r="1857" spans="27:27" ht="15" customHeight="1" x14ac:dyDescent="0.25">
      <c r="AA1857" s="40" t="str">
        <f t="shared" si="28"/>
        <v/>
      </c>
    </row>
    <row r="1858" spans="27:27" ht="15" customHeight="1" x14ac:dyDescent="0.25">
      <c r="AA1858" s="40" t="str">
        <f t="shared" si="28"/>
        <v/>
      </c>
    </row>
    <row r="1859" spans="27:27" ht="15" customHeight="1" x14ac:dyDescent="0.25">
      <c r="AA1859" s="40" t="str">
        <f t="shared" si="28"/>
        <v/>
      </c>
    </row>
    <row r="1860" spans="27:27" ht="15" customHeight="1" x14ac:dyDescent="0.25">
      <c r="AA1860" s="40" t="str">
        <f t="shared" si="28"/>
        <v/>
      </c>
    </row>
    <row r="1861" spans="27:27" ht="15" customHeight="1" x14ac:dyDescent="0.25">
      <c r="AA1861" s="40" t="str">
        <f t="shared" si="28"/>
        <v/>
      </c>
    </row>
    <row r="1862" spans="27:27" ht="15" customHeight="1" x14ac:dyDescent="0.25">
      <c r="AA1862" s="40" t="str">
        <f t="shared" si="28"/>
        <v/>
      </c>
    </row>
    <row r="1863" spans="27:27" ht="15" customHeight="1" x14ac:dyDescent="0.25">
      <c r="AA1863" s="40" t="str">
        <f t="shared" si="28"/>
        <v/>
      </c>
    </row>
    <row r="1864" spans="27:27" ht="15" customHeight="1" x14ac:dyDescent="0.25">
      <c r="AA1864" s="40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40" t="str">
        <f t="shared" si="29"/>
        <v/>
      </c>
    </row>
    <row r="1866" spans="27:27" ht="15" customHeight="1" x14ac:dyDescent="0.25">
      <c r="AA1866" s="40" t="str">
        <f t="shared" si="29"/>
        <v/>
      </c>
    </row>
    <row r="1867" spans="27:27" ht="15" customHeight="1" x14ac:dyDescent="0.25">
      <c r="AA1867" s="40" t="str">
        <f t="shared" si="29"/>
        <v/>
      </c>
    </row>
    <row r="1868" spans="27:27" ht="15" customHeight="1" x14ac:dyDescent="0.25">
      <c r="AA1868" s="40" t="str">
        <f t="shared" si="29"/>
        <v/>
      </c>
    </row>
    <row r="1869" spans="27:27" ht="15" customHeight="1" x14ac:dyDescent="0.25">
      <c r="AA1869" s="40" t="str">
        <f t="shared" si="29"/>
        <v/>
      </c>
    </row>
    <row r="1870" spans="27:27" ht="15" customHeight="1" x14ac:dyDescent="0.25">
      <c r="AA1870" s="40" t="str">
        <f t="shared" si="29"/>
        <v/>
      </c>
    </row>
    <row r="1871" spans="27:27" ht="15" customHeight="1" x14ac:dyDescent="0.25">
      <c r="AA1871" s="40" t="str">
        <f t="shared" si="29"/>
        <v/>
      </c>
    </row>
    <row r="1872" spans="27:27" ht="15" customHeight="1" x14ac:dyDescent="0.25">
      <c r="AA1872" s="40" t="str">
        <f t="shared" si="29"/>
        <v/>
      </c>
    </row>
    <row r="1873" spans="27:27" ht="15" customHeight="1" x14ac:dyDescent="0.25">
      <c r="AA1873" s="40" t="str">
        <f t="shared" si="29"/>
        <v/>
      </c>
    </row>
    <row r="1874" spans="27:27" ht="15" customHeight="1" x14ac:dyDescent="0.25">
      <c r="AA1874" s="40" t="str">
        <f t="shared" si="29"/>
        <v/>
      </c>
    </row>
    <row r="1875" spans="27:27" ht="15" customHeight="1" x14ac:dyDescent="0.25">
      <c r="AA1875" s="40" t="str">
        <f t="shared" si="29"/>
        <v/>
      </c>
    </row>
    <row r="1876" spans="27:27" ht="15" customHeight="1" x14ac:dyDescent="0.25">
      <c r="AA1876" s="40" t="str">
        <f t="shared" si="29"/>
        <v/>
      </c>
    </row>
    <row r="1877" spans="27:27" ht="15" customHeight="1" x14ac:dyDescent="0.25">
      <c r="AA1877" s="40" t="str">
        <f t="shared" si="29"/>
        <v/>
      </c>
    </row>
    <row r="1878" spans="27:27" ht="15" customHeight="1" x14ac:dyDescent="0.25">
      <c r="AA1878" s="40" t="str">
        <f t="shared" si="29"/>
        <v/>
      </c>
    </row>
    <row r="1879" spans="27:27" ht="15" customHeight="1" x14ac:dyDescent="0.25">
      <c r="AA1879" s="40" t="str">
        <f t="shared" si="29"/>
        <v/>
      </c>
    </row>
    <row r="1880" spans="27:27" ht="15" customHeight="1" x14ac:dyDescent="0.25">
      <c r="AA1880" s="40" t="str">
        <f t="shared" si="29"/>
        <v/>
      </c>
    </row>
    <row r="1881" spans="27:27" ht="15" customHeight="1" x14ac:dyDescent="0.25">
      <c r="AA1881" s="40" t="str">
        <f t="shared" si="29"/>
        <v/>
      </c>
    </row>
    <row r="1882" spans="27:27" ht="15" customHeight="1" x14ac:dyDescent="0.25">
      <c r="AA1882" s="40" t="str">
        <f t="shared" si="29"/>
        <v/>
      </c>
    </row>
    <row r="1883" spans="27:27" ht="15" customHeight="1" x14ac:dyDescent="0.25">
      <c r="AA1883" s="40" t="str">
        <f t="shared" si="29"/>
        <v/>
      </c>
    </row>
    <row r="1884" spans="27:27" ht="15" customHeight="1" x14ac:dyDescent="0.25">
      <c r="AA1884" s="40" t="str">
        <f t="shared" si="29"/>
        <v/>
      </c>
    </row>
    <row r="1885" spans="27:27" ht="15" customHeight="1" x14ac:dyDescent="0.25">
      <c r="AA1885" s="40" t="str">
        <f t="shared" si="29"/>
        <v/>
      </c>
    </row>
    <row r="1886" spans="27:27" ht="15" customHeight="1" x14ac:dyDescent="0.25">
      <c r="AA1886" s="40" t="str">
        <f t="shared" si="29"/>
        <v/>
      </c>
    </row>
    <row r="1887" spans="27:27" ht="15" customHeight="1" x14ac:dyDescent="0.25">
      <c r="AA1887" s="40" t="str">
        <f t="shared" si="29"/>
        <v/>
      </c>
    </row>
    <row r="1888" spans="27:27" ht="15" customHeight="1" x14ac:dyDescent="0.25">
      <c r="AA1888" s="40" t="str">
        <f t="shared" si="29"/>
        <v/>
      </c>
    </row>
    <row r="1889" spans="27:27" ht="15" customHeight="1" x14ac:dyDescent="0.25">
      <c r="AA1889" s="40" t="str">
        <f t="shared" si="29"/>
        <v/>
      </c>
    </row>
    <row r="1890" spans="27:27" ht="15" customHeight="1" x14ac:dyDescent="0.25">
      <c r="AA1890" s="40" t="str">
        <f t="shared" si="29"/>
        <v/>
      </c>
    </row>
    <row r="1891" spans="27:27" ht="15" customHeight="1" x14ac:dyDescent="0.25">
      <c r="AA1891" s="40" t="str">
        <f t="shared" si="29"/>
        <v/>
      </c>
    </row>
    <row r="1892" spans="27:27" ht="15" customHeight="1" x14ac:dyDescent="0.25">
      <c r="AA1892" s="40" t="str">
        <f t="shared" si="29"/>
        <v/>
      </c>
    </row>
    <row r="1893" spans="27:27" ht="15" customHeight="1" x14ac:dyDescent="0.25">
      <c r="AA1893" s="40" t="str">
        <f t="shared" si="29"/>
        <v/>
      </c>
    </row>
    <row r="1894" spans="27:27" ht="15" customHeight="1" x14ac:dyDescent="0.25">
      <c r="AA1894" s="40" t="str">
        <f t="shared" si="29"/>
        <v/>
      </c>
    </row>
    <row r="1895" spans="27:27" ht="15" customHeight="1" x14ac:dyDescent="0.25">
      <c r="AA1895" s="40" t="str">
        <f t="shared" si="29"/>
        <v/>
      </c>
    </row>
    <row r="1896" spans="27:27" ht="15" customHeight="1" x14ac:dyDescent="0.25">
      <c r="AA1896" s="40" t="str">
        <f t="shared" si="29"/>
        <v/>
      </c>
    </row>
    <row r="1897" spans="27:27" ht="15" customHeight="1" x14ac:dyDescent="0.25">
      <c r="AA1897" s="40" t="str">
        <f t="shared" si="29"/>
        <v/>
      </c>
    </row>
    <row r="1898" spans="27:27" ht="15" customHeight="1" x14ac:dyDescent="0.25">
      <c r="AA1898" s="40" t="str">
        <f t="shared" si="29"/>
        <v/>
      </c>
    </row>
    <row r="1899" spans="27:27" ht="15" customHeight="1" x14ac:dyDescent="0.25">
      <c r="AA1899" s="40" t="str">
        <f t="shared" si="29"/>
        <v/>
      </c>
    </row>
    <row r="1900" spans="27:27" ht="15" customHeight="1" x14ac:dyDescent="0.25">
      <c r="AA1900" s="40" t="str">
        <f t="shared" si="29"/>
        <v/>
      </c>
    </row>
    <row r="1901" spans="27:27" ht="15" customHeight="1" x14ac:dyDescent="0.25">
      <c r="AA1901" s="40" t="str">
        <f t="shared" si="29"/>
        <v/>
      </c>
    </row>
    <row r="1902" spans="27:27" ht="15" customHeight="1" x14ac:dyDescent="0.25">
      <c r="AA1902" s="40" t="str">
        <f t="shared" si="29"/>
        <v/>
      </c>
    </row>
    <row r="1903" spans="27:27" ht="15" customHeight="1" x14ac:dyDescent="0.25">
      <c r="AA1903" s="40" t="str">
        <f t="shared" si="29"/>
        <v/>
      </c>
    </row>
    <row r="1904" spans="27:27" ht="15" customHeight="1" x14ac:dyDescent="0.25">
      <c r="AA1904" s="40" t="str">
        <f t="shared" si="29"/>
        <v/>
      </c>
    </row>
    <row r="1905" spans="27:27" ht="15" customHeight="1" x14ac:dyDescent="0.25">
      <c r="AA1905" s="40" t="str">
        <f t="shared" si="29"/>
        <v/>
      </c>
    </row>
    <row r="1906" spans="27:27" ht="15" customHeight="1" x14ac:dyDescent="0.25">
      <c r="AA1906" s="40" t="str">
        <f t="shared" si="29"/>
        <v/>
      </c>
    </row>
    <row r="1907" spans="27:27" ht="15" customHeight="1" x14ac:dyDescent="0.25">
      <c r="AA1907" s="40" t="str">
        <f t="shared" si="29"/>
        <v/>
      </c>
    </row>
    <row r="1908" spans="27:27" ht="15" customHeight="1" x14ac:dyDescent="0.25">
      <c r="AA1908" s="40" t="str">
        <f t="shared" si="29"/>
        <v/>
      </c>
    </row>
    <row r="1909" spans="27:27" ht="15" customHeight="1" x14ac:dyDescent="0.25">
      <c r="AA1909" s="40" t="str">
        <f t="shared" si="29"/>
        <v/>
      </c>
    </row>
    <row r="1910" spans="27:27" ht="15" customHeight="1" x14ac:dyDescent="0.25">
      <c r="AA1910" s="40" t="str">
        <f t="shared" si="29"/>
        <v/>
      </c>
    </row>
    <row r="1911" spans="27:27" ht="15" customHeight="1" x14ac:dyDescent="0.25">
      <c r="AA1911" s="40" t="str">
        <f t="shared" si="29"/>
        <v/>
      </c>
    </row>
    <row r="1912" spans="27:27" ht="15" customHeight="1" x14ac:dyDescent="0.25">
      <c r="AA1912" s="40" t="str">
        <f t="shared" si="29"/>
        <v/>
      </c>
    </row>
    <row r="1913" spans="27:27" ht="15" customHeight="1" x14ac:dyDescent="0.25">
      <c r="AA1913" s="40" t="str">
        <f t="shared" si="29"/>
        <v/>
      </c>
    </row>
    <row r="1914" spans="27:27" ht="15" customHeight="1" x14ac:dyDescent="0.25">
      <c r="AA1914" s="40" t="str">
        <f t="shared" si="29"/>
        <v/>
      </c>
    </row>
    <row r="1915" spans="27:27" ht="15" customHeight="1" x14ac:dyDescent="0.25">
      <c r="AA1915" s="40" t="str">
        <f t="shared" si="29"/>
        <v/>
      </c>
    </row>
    <row r="1916" spans="27:27" ht="15" customHeight="1" x14ac:dyDescent="0.25">
      <c r="AA1916" s="40" t="str">
        <f t="shared" si="29"/>
        <v/>
      </c>
    </row>
    <row r="1917" spans="27:27" ht="15" customHeight="1" x14ac:dyDescent="0.25">
      <c r="AA1917" s="40" t="str">
        <f t="shared" si="29"/>
        <v/>
      </c>
    </row>
    <row r="1918" spans="27:27" ht="15" customHeight="1" x14ac:dyDescent="0.25">
      <c r="AA1918" s="40" t="str">
        <f t="shared" si="29"/>
        <v/>
      </c>
    </row>
    <row r="1919" spans="27:27" ht="15" customHeight="1" x14ac:dyDescent="0.25">
      <c r="AA1919" s="40" t="str">
        <f t="shared" si="29"/>
        <v/>
      </c>
    </row>
    <row r="1920" spans="27:27" ht="15" customHeight="1" x14ac:dyDescent="0.25">
      <c r="AA1920" s="40" t="str">
        <f t="shared" si="29"/>
        <v/>
      </c>
    </row>
    <row r="1921" spans="27:27" ht="15" customHeight="1" x14ac:dyDescent="0.25">
      <c r="AA1921" s="40" t="str">
        <f t="shared" si="29"/>
        <v/>
      </c>
    </row>
    <row r="1922" spans="27:27" ht="15" customHeight="1" x14ac:dyDescent="0.25">
      <c r="AA1922" s="40" t="str">
        <f t="shared" si="29"/>
        <v/>
      </c>
    </row>
    <row r="1923" spans="27:27" ht="15" customHeight="1" x14ac:dyDescent="0.25">
      <c r="AA1923" s="40" t="str">
        <f t="shared" si="29"/>
        <v/>
      </c>
    </row>
    <row r="1924" spans="27:27" ht="15" customHeight="1" x14ac:dyDescent="0.25">
      <c r="AA1924" s="40" t="str">
        <f t="shared" si="29"/>
        <v/>
      </c>
    </row>
    <row r="1925" spans="27:27" ht="15" customHeight="1" x14ac:dyDescent="0.25">
      <c r="AA1925" s="40" t="str">
        <f t="shared" si="29"/>
        <v/>
      </c>
    </row>
    <row r="1926" spans="27:27" ht="15" customHeight="1" x14ac:dyDescent="0.25">
      <c r="AA1926" s="40" t="str">
        <f t="shared" si="29"/>
        <v/>
      </c>
    </row>
    <row r="1927" spans="27:27" ht="15" customHeight="1" x14ac:dyDescent="0.25">
      <c r="AA1927" s="40" t="str">
        <f t="shared" si="29"/>
        <v/>
      </c>
    </row>
    <row r="1928" spans="27:27" ht="15" customHeight="1" x14ac:dyDescent="0.25">
      <c r="AA1928" s="40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40" t="str">
        <f t="shared" si="30"/>
        <v/>
      </c>
    </row>
    <row r="1930" spans="27:27" ht="15" customHeight="1" x14ac:dyDescent="0.25">
      <c r="AA1930" s="40" t="str">
        <f t="shared" si="30"/>
        <v/>
      </c>
    </row>
    <row r="1931" spans="27:27" ht="15" customHeight="1" x14ac:dyDescent="0.25">
      <c r="AA1931" s="40" t="str">
        <f t="shared" si="30"/>
        <v/>
      </c>
    </row>
    <row r="1932" spans="27:27" ht="15" customHeight="1" x14ac:dyDescent="0.25">
      <c r="AA1932" s="40" t="str">
        <f t="shared" si="30"/>
        <v/>
      </c>
    </row>
    <row r="1933" spans="27:27" ht="15" customHeight="1" x14ac:dyDescent="0.25">
      <c r="AA1933" s="40" t="str">
        <f t="shared" si="30"/>
        <v/>
      </c>
    </row>
    <row r="1934" spans="27:27" ht="15" customHeight="1" x14ac:dyDescent="0.25">
      <c r="AA1934" s="40" t="str">
        <f t="shared" si="30"/>
        <v/>
      </c>
    </row>
    <row r="1935" spans="27:27" ht="15" customHeight="1" x14ac:dyDescent="0.25">
      <c r="AA1935" s="40" t="str">
        <f t="shared" si="30"/>
        <v/>
      </c>
    </row>
    <row r="1936" spans="27:27" ht="15" customHeight="1" x14ac:dyDescent="0.25">
      <c r="AA1936" s="40" t="str">
        <f t="shared" si="30"/>
        <v/>
      </c>
    </row>
    <row r="1937" spans="27:27" ht="15" customHeight="1" x14ac:dyDescent="0.25">
      <c r="AA1937" s="40" t="str">
        <f t="shared" si="30"/>
        <v/>
      </c>
    </row>
    <row r="1938" spans="27:27" ht="15" customHeight="1" x14ac:dyDescent="0.25">
      <c r="AA1938" s="40" t="str">
        <f t="shared" si="30"/>
        <v/>
      </c>
    </row>
    <row r="1939" spans="27:27" ht="15" customHeight="1" x14ac:dyDescent="0.25">
      <c r="AA1939" s="40" t="str">
        <f t="shared" si="30"/>
        <v/>
      </c>
    </row>
    <row r="1940" spans="27:27" ht="15" customHeight="1" x14ac:dyDescent="0.25">
      <c r="AA1940" s="40" t="str">
        <f t="shared" si="30"/>
        <v/>
      </c>
    </row>
    <row r="1941" spans="27:27" ht="15" customHeight="1" x14ac:dyDescent="0.25">
      <c r="AA1941" s="40" t="str">
        <f t="shared" si="30"/>
        <v/>
      </c>
    </row>
    <row r="1942" spans="27:27" ht="15" customHeight="1" x14ac:dyDescent="0.25">
      <c r="AA1942" s="40" t="str">
        <f t="shared" si="30"/>
        <v/>
      </c>
    </row>
    <row r="1943" spans="27:27" ht="15" customHeight="1" x14ac:dyDescent="0.25">
      <c r="AA1943" s="40" t="str">
        <f t="shared" si="30"/>
        <v/>
      </c>
    </row>
    <row r="1944" spans="27:27" ht="15" customHeight="1" x14ac:dyDescent="0.25">
      <c r="AA1944" s="40" t="str">
        <f t="shared" si="30"/>
        <v/>
      </c>
    </row>
    <row r="1945" spans="27:27" ht="15" customHeight="1" x14ac:dyDescent="0.25">
      <c r="AA1945" s="40" t="str">
        <f t="shared" si="30"/>
        <v/>
      </c>
    </row>
    <row r="1946" spans="27:27" ht="15" customHeight="1" x14ac:dyDescent="0.25">
      <c r="AA1946" s="40" t="str">
        <f t="shared" si="30"/>
        <v/>
      </c>
    </row>
    <row r="1947" spans="27:27" ht="15" customHeight="1" x14ac:dyDescent="0.25">
      <c r="AA1947" s="40" t="str">
        <f t="shared" si="30"/>
        <v/>
      </c>
    </row>
    <row r="1948" spans="27:27" ht="15" customHeight="1" x14ac:dyDescent="0.25">
      <c r="AA1948" s="40" t="str">
        <f t="shared" si="30"/>
        <v/>
      </c>
    </row>
    <row r="1949" spans="27:27" ht="15" customHeight="1" x14ac:dyDescent="0.25">
      <c r="AA1949" s="40" t="str">
        <f t="shared" si="30"/>
        <v/>
      </c>
    </row>
    <row r="1950" spans="27:27" ht="15" customHeight="1" x14ac:dyDescent="0.25">
      <c r="AA1950" s="40" t="str">
        <f t="shared" si="30"/>
        <v/>
      </c>
    </row>
    <row r="1951" spans="27:27" ht="15" customHeight="1" x14ac:dyDescent="0.25">
      <c r="AA1951" s="40" t="str">
        <f t="shared" si="30"/>
        <v/>
      </c>
    </row>
    <row r="1952" spans="27:27" ht="15" customHeight="1" x14ac:dyDescent="0.25">
      <c r="AA1952" s="40" t="str">
        <f t="shared" si="30"/>
        <v/>
      </c>
    </row>
    <row r="1953" spans="27:27" ht="15" customHeight="1" x14ac:dyDescent="0.25">
      <c r="AA1953" s="40" t="str">
        <f t="shared" si="30"/>
        <v/>
      </c>
    </row>
    <row r="1954" spans="27:27" ht="15" customHeight="1" x14ac:dyDescent="0.25">
      <c r="AA1954" s="40" t="str">
        <f t="shared" si="30"/>
        <v/>
      </c>
    </row>
    <row r="1955" spans="27:27" ht="15" customHeight="1" x14ac:dyDescent="0.25">
      <c r="AA1955" s="40" t="str">
        <f t="shared" si="30"/>
        <v/>
      </c>
    </row>
    <row r="1956" spans="27:27" ht="15" customHeight="1" x14ac:dyDescent="0.25">
      <c r="AA1956" s="40" t="str">
        <f t="shared" si="30"/>
        <v/>
      </c>
    </row>
    <row r="1957" spans="27:27" ht="15" customHeight="1" x14ac:dyDescent="0.25">
      <c r="AA1957" s="40" t="str">
        <f t="shared" si="30"/>
        <v/>
      </c>
    </row>
    <row r="1958" spans="27:27" ht="15" customHeight="1" x14ac:dyDescent="0.25">
      <c r="AA1958" s="40" t="str">
        <f t="shared" si="30"/>
        <v/>
      </c>
    </row>
    <row r="1959" spans="27:27" ht="15" customHeight="1" x14ac:dyDescent="0.25">
      <c r="AA1959" s="40" t="str">
        <f t="shared" si="30"/>
        <v/>
      </c>
    </row>
    <row r="1960" spans="27:27" ht="15" customHeight="1" x14ac:dyDescent="0.25">
      <c r="AA1960" s="40" t="str">
        <f t="shared" si="30"/>
        <v/>
      </c>
    </row>
    <row r="1961" spans="27:27" ht="15" customHeight="1" x14ac:dyDescent="0.25">
      <c r="AA1961" s="40" t="str">
        <f t="shared" si="30"/>
        <v/>
      </c>
    </row>
    <row r="1962" spans="27:27" ht="15" customHeight="1" x14ac:dyDescent="0.25">
      <c r="AA1962" s="40" t="str">
        <f t="shared" si="30"/>
        <v/>
      </c>
    </row>
    <row r="1963" spans="27:27" ht="15" customHeight="1" x14ac:dyDescent="0.25">
      <c r="AA1963" s="40" t="str">
        <f t="shared" si="30"/>
        <v/>
      </c>
    </row>
    <row r="1964" spans="27:27" ht="15" customHeight="1" x14ac:dyDescent="0.25">
      <c r="AA1964" s="40" t="str">
        <f t="shared" si="30"/>
        <v/>
      </c>
    </row>
    <row r="1965" spans="27:27" ht="15" customHeight="1" x14ac:dyDescent="0.25">
      <c r="AA1965" s="40" t="str">
        <f t="shared" si="30"/>
        <v/>
      </c>
    </row>
    <row r="1966" spans="27:27" ht="15" customHeight="1" x14ac:dyDescent="0.25">
      <c r="AA1966" s="40" t="str">
        <f t="shared" si="30"/>
        <v/>
      </c>
    </row>
    <row r="1967" spans="27:27" ht="15" customHeight="1" x14ac:dyDescent="0.25">
      <c r="AA1967" s="40" t="str">
        <f t="shared" si="30"/>
        <v/>
      </c>
    </row>
    <row r="1968" spans="27:27" ht="15" customHeight="1" x14ac:dyDescent="0.25">
      <c r="AA1968" s="40" t="str">
        <f t="shared" si="30"/>
        <v/>
      </c>
    </row>
    <row r="1969" spans="27:27" ht="15" customHeight="1" x14ac:dyDescent="0.25">
      <c r="AA1969" s="40" t="str">
        <f t="shared" si="30"/>
        <v/>
      </c>
    </row>
    <row r="1970" spans="27:27" ht="15" customHeight="1" x14ac:dyDescent="0.25">
      <c r="AA1970" s="40" t="str">
        <f t="shared" si="30"/>
        <v/>
      </c>
    </row>
    <row r="1971" spans="27:27" ht="15" customHeight="1" x14ac:dyDescent="0.25">
      <c r="AA1971" s="40" t="str">
        <f t="shared" si="30"/>
        <v/>
      </c>
    </row>
    <row r="1972" spans="27:27" ht="15" customHeight="1" x14ac:dyDescent="0.25">
      <c r="AA1972" s="40" t="str">
        <f t="shared" si="30"/>
        <v/>
      </c>
    </row>
    <row r="1973" spans="27:27" ht="15" customHeight="1" x14ac:dyDescent="0.25">
      <c r="AA1973" s="40" t="str">
        <f t="shared" si="30"/>
        <v/>
      </c>
    </row>
    <row r="1974" spans="27:27" ht="15" customHeight="1" x14ac:dyDescent="0.25">
      <c r="AA1974" s="40" t="str">
        <f t="shared" si="30"/>
        <v/>
      </c>
    </row>
    <row r="1975" spans="27:27" ht="15" customHeight="1" x14ac:dyDescent="0.25">
      <c r="AA1975" s="40" t="str">
        <f t="shared" si="30"/>
        <v/>
      </c>
    </row>
    <row r="1976" spans="27:27" ht="15" customHeight="1" x14ac:dyDescent="0.25">
      <c r="AA1976" s="40" t="str">
        <f t="shared" si="30"/>
        <v/>
      </c>
    </row>
    <row r="1977" spans="27:27" ht="15" customHeight="1" x14ac:dyDescent="0.25">
      <c r="AA1977" s="40" t="str">
        <f t="shared" si="30"/>
        <v/>
      </c>
    </row>
    <row r="1978" spans="27:27" ht="15" customHeight="1" x14ac:dyDescent="0.25">
      <c r="AA1978" s="40" t="str">
        <f t="shared" si="30"/>
        <v/>
      </c>
    </row>
    <row r="1979" spans="27:27" ht="15" customHeight="1" x14ac:dyDescent="0.25">
      <c r="AA1979" s="40" t="str">
        <f t="shared" si="30"/>
        <v/>
      </c>
    </row>
    <row r="1980" spans="27:27" ht="15" customHeight="1" x14ac:dyDescent="0.25">
      <c r="AA1980" s="40" t="str">
        <f t="shared" si="30"/>
        <v/>
      </c>
    </row>
    <row r="1981" spans="27:27" ht="15" customHeight="1" x14ac:dyDescent="0.25">
      <c r="AA1981" s="40" t="str">
        <f t="shared" si="30"/>
        <v/>
      </c>
    </row>
    <row r="1982" spans="27:27" ht="15" customHeight="1" x14ac:dyDescent="0.25">
      <c r="AA1982" s="40" t="str">
        <f t="shared" si="30"/>
        <v/>
      </c>
    </row>
    <row r="1983" spans="27:27" ht="15" customHeight="1" x14ac:dyDescent="0.25">
      <c r="AA1983" s="40" t="str">
        <f t="shared" si="30"/>
        <v/>
      </c>
    </row>
    <row r="1984" spans="27:27" ht="15" customHeight="1" x14ac:dyDescent="0.25">
      <c r="AA1984" s="40" t="str">
        <f t="shared" si="30"/>
        <v/>
      </c>
    </row>
    <row r="1985" spans="27:27" ht="15" customHeight="1" x14ac:dyDescent="0.25">
      <c r="AA1985" s="40" t="str">
        <f t="shared" si="30"/>
        <v/>
      </c>
    </row>
    <row r="1986" spans="27:27" ht="15" customHeight="1" x14ac:dyDescent="0.25">
      <c r="AA1986" s="40" t="str">
        <f t="shared" si="30"/>
        <v/>
      </c>
    </row>
    <row r="1987" spans="27:27" ht="15" customHeight="1" x14ac:dyDescent="0.25">
      <c r="AA1987" s="40" t="str">
        <f t="shared" si="30"/>
        <v/>
      </c>
    </row>
    <row r="1988" spans="27:27" ht="15" customHeight="1" x14ac:dyDescent="0.25">
      <c r="AA1988" s="40" t="str">
        <f t="shared" si="30"/>
        <v/>
      </c>
    </row>
    <row r="1989" spans="27:27" ht="15" customHeight="1" x14ac:dyDescent="0.25">
      <c r="AA1989" s="40" t="str">
        <f t="shared" si="30"/>
        <v/>
      </c>
    </row>
    <row r="1990" spans="27:27" ht="15" customHeight="1" x14ac:dyDescent="0.25">
      <c r="AA1990" s="40" t="str">
        <f t="shared" si="30"/>
        <v/>
      </c>
    </row>
    <row r="1991" spans="27:27" ht="15" customHeight="1" x14ac:dyDescent="0.25">
      <c r="AA1991" s="40" t="str">
        <f t="shared" si="30"/>
        <v/>
      </c>
    </row>
    <row r="1992" spans="27:27" ht="15" customHeight="1" x14ac:dyDescent="0.25">
      <c r="AA1992" s="40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40" t="str">
        <f t="shared" si="31"/>
        <v/>
      </c>
    </row>
    <row r="1994" spans="27:27" ht="15" customHeight="1" x14ac:dyDescent="0.25">
      <c r="AA1994" s="40" t="str">
        <f t="shared" si="31"/>
        <v/>
      </c>
    </row>
    <row r="1995" spans="27:27" ht="15" customHeight="1" x14ac:dyDescent="0.25">
      <c r="AA1995" s="40" t="str">
        <f t="shared" si="31"/>
        <v/>
      </c>
    </row>
    <row r="1996" spans="27:27" ht="15" customHeight="1" x14ac:dyDescent="0.25">
      <c r="AA1996" s="40" t="str">
        <f t="shared" si="31"/>
        <v/>
      </c>
    </row>
    <row r="1997" spans="27:27" ht="15" customHeight="1" x14ac:dyDescent="0.25">
      <c r="AA1997" s="40" t="str">
        <f t="shared" si="31"/>
        <v/>
      </c>
    </row>
    <row r="1998" spans="27:27" ht="15" customHeight="1" x14ac:dyDescent="0.25">
      <c r="AA1998" s="40" t="str">
        <f t="shared" si="31"/>
        <v/>
      </c>
    </row>
    <row r="1999" spans="27:27" ht="15" customHeight="1" x14ac:dyDescent="0.25">
      <c r="AA1999" s="40" t="str">
        <f t="shared" si="31"/>
        <v/>
      </c>
    </row>
    <row r="2000" spans="27:27" ht="15" customHeight="1" x14ac:dyDescent="0.25">
      <c r="AA2000" s="40" t="str">
        <f t="shared" si="31"/>
        <v/>
      </c>
    </row>
    <row r="2001" spans="27:27" ht="15" customHeight="1" x14ac:dyDescent="0.25">
      <c r="AA2001" s="40" t="str">
        <f t="shared" si="31"/>
        <v/>
      </c>
    </row>
    <row r="2002" spans="27:27" ht="15" customHeight="1" x14ac:dyDescent="0.25">
      <c r="AA2002" s="40" t="str">
        <f t="shared" si="31"/>
        <v/>
      </c>
    </row>
    <row r="2003" spans="27:27" ht="15" customHeight="1" x14ac:dyDescent="0.25">
      <c r="AA2003" s="40" t="str">
        <f t="shared" si="31"/>
        <v/>
      </c>
    </row>
    <row r="2004" spans="27:27" ht="15" customHeight="1" x14ac:dyDescent="0.25">
      <c r="AA2004" s="40" t="str">
        <f t="shared" si="31"/>
        <v/>
      </c>
    </row>
    <row r="2005" spans="27:27" ht="15" customHeight="1" x14ac:dyDescent="0.25">
      <c r="AA2005" s="40" t="str">
        <f t="shared" si="31"/>
        <v/>
      </c>
    </row>
    <row r="2006" spans="27:27" ht="15" customHeight="1" x14ac:dyDescent="0.25">
      <c r="AA2006" s="40" t="str">
        <f t="shared" si="31"/>
        <v/>
      </c>
    </row>
    <row r="2007" spans="27:27" ht="15" customHeight="1" x14ac:dyDescent="0.25">
      <c r="AA2007" s="40" t="str">
        <f t="shared" si="31"/>
        <v/>
      </c>
    </row>
    <row r="2008" spans="27:27" ht="15" customHeight="1" x14ac:dyDescent="0.25">
      <c r="AA2008" s="40" t="str">
        <f t="shared" si="31"/>
        <v/>
      </c>
    </row>
    <row r="2009" spans="27:27" ht="15" customHeight="1" x14ac:dyDescent="0.25">
      <c r="AA2009" s="40" t="str">
        <f t="shared" si="31"/>
        <v/>
      </c>
    </row>
    <row r="2010" spans="27:27" ht="15" customHeight="1" x14ac:dyDescent="0.25">
      <c r="AA2010" s="40" t="str">
        <f t="shared" si="31"/>
        <v/>
      </c>
    </row>
    <row r="2011" spans="27:27" ht="15" customHeight="1" x14ac:dyDescent="0.25">
      <c r="AA2011" s="40" t="str">
        <f t="shared" si="31"/>
        <v/>
      </c>
    </row>
    <row r="2012" spans="27:27" ht="15" customHeight="1" x14ac:dyDescent="0.25">
      <c r="AA2012" s="40" t="str">
        <f t="shared" si="31"/>
        <v/>
      </c>
    </row>
    <row r="2013" spans="27:27" ht="15" customHeight="1" x14ac:dyDescent="0.25">
      <c r="AA2013" s="40" t="str">
        <f t="shared" si="31"/>
        <v/>
      </c>
    </row>
    <row r="2014" spans="27:27" ht="15" customHeight="1" x14ac:dyDescent="0.25">
      <c r="AA2014" s="40" t="str">
        <f t="shared" si="31"/>
        <v/>
      </c>
    </row>
    <row r="2015" spans="27:27" ht="15" customHeight="1" x14ac:dyDescent="0.25">
      <c r="AA2015" s="40" t="str">
        <f t="shared" si="31"/>
        <v/>
      </c>
    </row>
    <row r="2016" spans="27:27" ht="15" customHeight="1" x14ac:dyDescent="0.25">
      <c r="AA2016" s="40" t="str">
        <f t="shared" si="31"/>
        <v/>
      </c>
    </row>
    <row r="2017" spans="27:27" ht="15" customHeight="1" x14ac:dyDescent="0.25">
      <c r="AA2017" s="40" t="str">
        <f t="shared" si="31"/>
        <v/>
      </c>
    </row>
    <row r="2018" spans="27:27" ht="15" customHeight="1" x14ac:dyDescent="0.25">
      <c r="AA2018" s="40" t="str">
        <f t="shared" si="31"/>
        <v/>
      </c>
    </row>
    <row r="2019" spans="27:27" ht="15" customHeight="1" x14ac:dyDescent="0.25">
      <c r="AA2019" s="40" t="str">
        <f t="shared" si="31"/>
        <v/>
      </c>
    </row>
    <row r="2020" spans="27:27" ht="15" customHeight="1" x14ac:dyDescent="0.25">
      <c r="AA2020" s="40" t="str">
        <f t="shared" si="31"/>
        <v/>
      </c>
    </row>
    <row r="2021" spans="27:27" ht="15" customHeight="1" x14ac:dyDescent="0.25">
      <c r="AA2021" s="40" t="str">
        <f t="shared" si="31"/>
        <v/>
      </c>
    </row>
    <row r="2022" spans="27:27" ht="15" customHeight="1" x14ac:dyDescent="0.25">
      <c r="AA2022" s="40" t="str">
        <f t="shared" si="31"/>
        <v/>
      </c>
    </row>
    <row r="2023" spans="27:27" ht="15" customHeight="1" x14ac:dyDescent="0.25">
      <c r="AA2023" s="40" t="str">
        <f t="shared" si="31"/>
        <v/>
      </c>
    </row>
    <row r="2024" spans="27:27" ht="15" customHeight="1" x14ac:dyDescent="0.25">
      <c r="AA2024" s="40" t="str">
        <f t="shared" si="31"/>
        <v/>
      </c>
    </row>
    <row r="2025" spans="27:27" ht="15" customHeight="1" x14ac:dyDescent="0.25">
      <c r="AA2025" s="40" t="str">
        <f t="shared" si="31"/>
        <v/>
      </c>
    </row>
    <row r="2026" spans="27:27" ht="15" customHeight="1" x14ac:dyDescent="0.25">
      <c r="AA2026" s="40" t="str">
        <f t="shared" si="31"/>
        <v/>
      </c>
    </row>
    <row r="2027" spans="27:27" ht="15" customHeight="1" x14ac:dyDescent="0.25">
      <c r="AA2027" s="40" t="str">
        <f t="shared" si="31"/>
        <v/>
      </c>
    </row>
    <row r="2028" spans="27:27" ht="15" customHeight="1" x14ac:dyDescent="0.25">
      <c r="AA2028" s="40" t="str">
        <f t="shared" si="31"/>
        <v/>
      </c>
    </row>
    <row r="2029" spans="27:27" ht="15" customHeight="1" x14ac:dyDescent="0.25">
      <c r="AA2029" s="40" t="str">
        <f t="shared" si="31"/>
        <v/>
      </c>
    </row>
    <row r="2030" spans="27:27" ht="15" customHeight="1" x14ac:dyDescent="0.25">
      <c r="AA2030" s="40" t="str">
        <f t="shared" si="31"/>
        <v/>
      </c>
    </row>
    <row r="2031" spans="27:27" ht="15" customHeight="1" x14ac:dyDescent="0.25">
      <c r="AA2031" s="40" t="str">
        <f t="shared" si="31"/>
        <v/>
      </c>
    </row>
    <row r="2032" spans="27:27" ht="15" customHeight="1" x14ac:dyDescent="0.25">
      <c r="AA2032" s="40" t="str">
        <f t="shared" si="31"/>
        <v/>
      </c>
    </row>
    <row r="2033" spans="27:27" ht="15" customHeight="1" x14ac:dyDescent="0.25">
      <c r="AA2033" s="40" t="str">
        <f t="shared" si="31"/>
        <v/>
      </c>
    </row>
    <row r="2034" spans="27:27" ht="15" customHeight="1" x14ac:dyDescent="0.25">
      <c r="AA2034" s="40" t="str">
        <f t="shared" si="31"/>
        <v/>
      </c>
    </row>
    <row r="2035" spans="27:27" ht="15" customHeight="1" x14ac:dyDescent="0.25">
      <c r="AA2035" s="40" t="str">
        <f t="shared" si="31"/>
        <v/>
      </c>
    </row>
    <row r="2036" spans="27:27" ht="15" customHeight="1" x14ac:dyDescent="0.25">
      <c r="AA2036" s="40" t="str">
        <f t="shared" si="31"/>
        <v/>
      </c>
    </row>
    <row r="2037" spans="27:27" ht="15" customHeight="1" x14ac:dyDescent="0.25">
      <c r="AA2037" s="40" t="str">
        <f t="shared" si="31"/>
        <v/>
      </c>
    </row>
    <row r="2038" spans="27:27" ht="15" customHeight="1" x14ac:dyDescent="0.25">
      <c r="AA2038" s="40" t="str">
        <f t="shared" si="31"/>
        <v/>
      </c>
    </row>
    <row r="2039" spans="27:27" ht="15" customHeight="1" x14ac:dyDescent="0.25">
      <c r="AA2039" s="40" t="str">
        <f t="shared" si="31"/>
        <v/>
      </c>
    </row>
    <row r="2040" spans="27:27" ht="15" customHeight="1" x14ac:dyDescent="0.25">
      <c r="AA2040" s="40" t="str">
        <f t="shared" si="31"/>
        <v/>
      </c>
    </row>
    <row r="2041" spans="27:27" ht="15" customHeight="1" x14ac:dyDescent="0.25">
      <c r="AA2041" s="40" t="str">
        <f t="shared" si="31"/>
        <v/>
      </c>
    </row>
    <row r="2042" spans="27:27" ht="15" customHeight="1" x14ac:dyDescent="0.25">
      <c r="AA2042" s="40" t="str">
        <f t="shared" si="31"/>
        <v/>
      </c>
    </row>
    <row r="2043" spans="27:27" ht="15" customHeight="1" x14ac:dyDescent="0.25">
      <c r="AA2043" s="40" t="str">
        <f t="shared" si="31"/>
        <v/>
      </c>
    </row>
    <row r="2044" spans="27:27" ht="15" customHeight="1" x14ac:dyDescent="0.25">
      <c r="AA2044" s="40" t="str">
        <f t="shared" si="31"/>
        <v/>
      </c>
    </row>
    <row r="2045" spans="27:27" ht="15" customHeight="1" x14ac:dyDescent="0.25">
      <c r="AA2045" s="40" t="str">
        <f t="shared" si="31"/>
        <v/>
      </c>
    </row>
    <row r="2046" spans="27:27" ht="15" customHeight="1" x14ac:dyDescent="0.25">
      <c r="AA2046" s="40" t="str">
        <f t="shared" si="31"/>
        <v/>
      </c>
    </row>
    <row r="2047" spans="27:27" ht="15" customHeight="1" x14ac:dyDescent="0.25">
      <c r="AA2047" s="40" t="str">
        <f t="shared" si="31"/>
        <v/>
      </c>
    </row>
    <row r="2048" spans="27:27" ht="15" customHeight="1" x14ac:dyDescent="0.25">
      <c r="AA2048" s="40" t="str">
        <f t="shared" si="31"/>
        <v/>
      </c>
    </row>
    <row r="2049" spans="27:27" ht="15" customHeight="1" x14ac:dyDescent="0.25">
      <c r="AA2049" s="40" t="str">
        <f t="shared" si="31"/>
        <v/>
      </c>
    </row>
    <row r="2050" spans="27:27" ht="15" customHeight="1" x14ac:dyDescent="0.25">
      <c r="AA2050" s="40" t="str">
        <f t="shared" si="31"/>
        <v/>
      </c>
    </row>
    <row r="2051" spans="27:27" ht="15" customHeight="1" x14ac:dyDescent="0.25">
      <c r="AA2051" s="40" t="str">
        <f t="shared" si="31"/>
        <v/>
      </c>
    </row>
    <row r="2052" spans="27:27" ht="15" customHeight="1" x14ac:dyDescent="0.25">
      <c r="AA2052" s="40" t="str">
        <f t="shared" si="31"/>
        <v/>
      </c>
    </row>
    <row r="2053" spans="27:27" ht="15" customHeight="1" x14ac:dyDescent="0.25">
      <c r="AA2053" s="40" t="str">
        <f t="shared" si="31"/>
        <v/>
      </c>
    </row>
    <row r="2054" spans="27:27" ht="15" customHeight="1" x14ac:dyDescent="0.25">
      <c r="AA2054" s="40" t="str">
        <f t="shared" si="31"/>
        <v/>
      </c>
    </row>
    <row r="2055" spans="27:27" ht="15" customHeight="1" x14ac:dyDescent="0.25">
      <c r="AA2055" s="40" t="str">
        <f t="shared" si="31"/>
        <v/>
      </c>
    </row>
    <row r="2056" spans="27:27" ht="15" customHeight="1" x14ac:dyDescent="0.25">
      <c r="AA2056" s="40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40" t="str">
        <f t="shared" si="32"/>
        <v/>
      </c>
    </row>
    <row r="2058" spans="27:27" ht="15" customHeight="1" x14ac:dyDescent="0.25">
      <c r="AA2058" s="40" t="str">
        <f t="shared" si="32"/>
        <v/>
      </c>
    </row>
    <row r="2059" spans="27:27" ht="15" customHeight="1" x14ac:dyDescent="0.25">
      <c r="AA2059" s="40" t="str">
        <f t="shared" si="32"/>
        <v/>
      </c>
    </row>
    <row r="2060" spans="27:27" ht="15" customHeight="1" x14ac:dyDescent="0.25">
      <c r="AA2060" s="40" t="str">
        <f t="shared" si="32"/>
        <v/>
      </c>
    </row>
    <row r="2061" spans="27:27" ht="15" customHeight="1" x14ac:dyDescent="0.25">
      <c r="AA2061" s="40" t="str">
        <f t="shared" si="32"/>
        <v/>
      </c>
    </row>
    <row r="2062" spans="27:27" ht="15" customHeight="1" x14ac:dyDescent="0.25">
      <c r="AA2062" s="40" t="str">
        <f t="shared" si="32"/>
        <v/>
      </c>
    </row>
    <row r="2063" spans="27:27" ht="15" customHeight="1" x14ac:dyDescent="0.25">
      <c r="AA2063" s="40" t="str">
        <f t="shared" si="32"/>
        <v/>
      </c>
    </row>
    <row r="2064" spans="27:27" ht="15" customHeight="1" x14ac:dyDescent="0.25">
      <c r="AA2064" s="40" t="str">
        <f t="shared" si="32"/>
        <v/>
      </c>
    </row>
    <row r="2065" spans="27:27" ht="15" customHeight="1" x14ac:dyDescent="0.25">
      <c r="AA2065" s="40" t="str">
        <f t="shared" si="32"/>
        <v/>
      </c>
    </row>
    <row r="2066" spans="27:27" ht="15" customHeight="1" x14ac:dyDescent="0.25">
      <c r="AA2066" s="40" t="str">
        <f t="shared" si="32"/>
        <v/>
      </c>
    </row>
    <row r="2067" spans="27:27" ht="15" customHeight="1" x14ac:dyDescent="0.25">
      <c r="AA2067" s="40" t="str">
        <f t="shared" si="32"/>
        <v/>
      </c>
    </row>
    <row r="2068" spans="27:27" ht="15" customHeight="1" x14ac:dyDescent="0.25">
      <c r="AA2068" s="40" t="str">
        <f t="shared" si="32"/>
        <v/>
      </c>
    </row>
    <row r="2069" spans="27:27" ht="15" customHeight="1" x14ac:dyDescent="0.25">
      <c r="AA2069" s="40" t="str">
        <f t="shared" si="32"/>
        <v/>
      </c>
    </row>
    <row r="2070" spans="27:27" ht="15" customHeight="1" x14ac:dyDescent="0.25">
      <c r="AA2070" s="40" t="str">
        <f t="shared" si="32"/>
        <v/>
      </c>
    </row>
    <row r="2071" spans="27:27" ht="15" customHeight="1" x14ac:dyDescent="0.25">
      <c r="AA2071" s="40" t="str">
        <f t="shared" si="32"/>
        <v/>
      </c>
    </row>
    <row r="2072" spans="27:27" ht="15" customHeight="1" x14ac:dyDescent="0.25">
      <c r="AA2072" s="40" t="str">
        <f t="shared" si="32"/>
        <v/>
      </c>
    </row>
    <row r="2073" spans="27:27" ht="15" customHeight="1" x14ac:dyDescent="0.25">
      <c r="AA2073" s="40" t="str">
        <f t="shared" si="32"/>
        <v/>
      </c>
    </row>
    <row r="2074" spans="27:27" ht="15" customHeight="1" x14ac:dyDescent="0.25">
      <c r="AA2074" s="40" t="str">
        <f t="shared" si="32"/>
        <v/>
      </c>
    </row>
    <row r="2075" spans="27:27" ht="15" customHeight="1" x14ac:dyDescent="0.25">
      <c r="AA2075" s="40" t="str">
        <f t="shared" si="32"/>
        <v/>
      </c>
    </row>
    <row r="2076" spans="27:27" ht="15" customHeight="1" x14ac:dyDescent="0.25">
      <c r="AA2076" s="40" t="str">
        <f t="shared" si="32"/>
        <v/>
      </c>
    </row>
    <row r="2077" spans="27:27" ht="15" customHeight="1" x14ac:dyDescent="0.25">
      <c r="AA2077" s="40" t="str">
        <f t="shared" si="32"/>
        <v/>
      </c>
    </row>
    <row r="2078" spans="27:27" ht="15" customHeight="1" x14ac:dyDescent="0.25">
      <c r="AA2078" s="40" t="str">
        <f t="shared" si="32"/>
        <v/>
      </c>
    </row>
    <row r="2079" spans="27:27" ht="15" customHeight="1" x14ac:dyDescent="0.25">
      <c r="AA2079" s="40" t="str">
        <f t="shared" si="32"/>
        <v/>
      </c>
    </row>
    <row r="2080" spans="27:27" ht="15" customHeight="1" x14ac:dyDescent="0.25">
      <c r="AA2080" s="40" t="str">
        <f t="shared" si="32"/>
        <v/>
      </c>
    </row>
    <row r="2081" spans="27:27" ht="15" customHeight="1" x14ac:dyDescent="0.25">
      <c r="AA2081" s="40" t="str">
        <f t="shared" si="32"/>
        <v/>
      </c>
    </row>
    <row r="2082" spans="27:27" ht="15" customHeight="1" x14ac:dyDescent="0.25">
      <c r="AA2082" s="40" t="str">
        <f t="shared" si="32"/>
        <v/>
      </c>
    </row>
    <row r="2083" spans="27:27" ht="15" customHeight="1" x14ac:dyDescent="0.25">
      <c r="AA2083" s="40" t="str">
        <f t="shared" si="32"/>
        <v/>
      </c>
    </row>
    <row r="2084" spans="27:27" ht="15" customHeight="1" x14ac:dyDescent="0.25">
      <c r="AA2084" s="40" t="str">
        <f t="shared" si="32"/>
        <v/>
      </c>
    </row>
    <row r="2085" spans="27:27" ht="15" customHeight="1" x14ac:dyDescent="0.25">
      <c r="AA2085" s="40" t="str">
        <f t="shared" si="32"/>
        <v/>
      </c>
    </row>
    <row r="2086" spans="27:27" ht="15" customHeight="1" x14ac:dyDescent="0.25">
      <c r="AA2086" s="40" t="str">
        <f t="shared" si="32"/>
        <v/>
      </c>
    </row>
    <row r="2087" spans="27:27" ht="15" customHeight="1" x14ac:dyDescent="0.25">
      <c r="AA2087" s="40" t="str">
        <f t="shared" si="32"/>
        <v/>
      </c>
    </row>
    <row r="2088" spans="27:27" ht="15" customHeight="1" x14ac:dyDescent="0.25">
      <c r="AA2088" s="40" t="str">
        <f t="shared" si="32"/>
        <v/>
      </c>
    </row>
    <row r="2089" spans="27:27" ht="15" customHeight="1" x14ac:dyDescent="0.25">
      <c r="AA2089" s="40" t="str">
        <f t="shared" si="32"/>
        <v/>
      </c>
    </row>
    <row r="2090" spans="27:27" ht="15" customHeight="1" x14ac:dyDescent="0.25">
      <c r="AA2090" s="40" t="str">
        <f t="shared" si="32"/>
        <v/>
      </c>
    </row>
    <row r="2091" spans="27:27" ht="15" customHeight="1" x14ac:dyDescent="0.25">
      <c r="AA2091" s="40" t="str">
        <f t="shared" si="32"/>
        <v/>
      </c>
    </row>
    <row r="2092" spans="27:27" ht="15" customHeight="1" x14ac:dyDescent="0.25">
      <c r="AA2092" s="40" t="str">
        <f t="shared" si="32"/>
        <v/>
      </c>
    </row>
    <row r="2093" spans="27:27" ht="15" customHeight="1" x14ac:dyDescent="0.25">
      <c r="AA2093" s="40" t="str">
        <f t="shared" si="32"/>
        <v/>
      </c>
    </row>
    <row r="2094" spans="27:27" ht="15" customHeight="1" x14ac:dyDescent="0.25">
      <c r="AA2094" s="40" t="str">
        <f t="shared" si="32"/>
        <v/>
      </c>
    </row>
    <row r="2095" spans="27:27" ht="15" customHeight="1" x14ac:dyDescent="0.25">
      <c r="AA2095" s="40" t="str">
        <f t="shared" si="32"/>
        <v/>
      </c>
    </row>
    <row r="2096" spans="27:27" ht="15" customHeight="1" x14ac:dyDescent="0.25">
      <c r="AA2096" s="40" t="str">
        <f t="shared" si="32"/>
        <v/>
      </c>
    </row>
    <row r="2097" spans="27:27" ht="15" customHeight="1" x14ac:dyDescent="0.25">
      <c r="AA2097" s="40" t="str">
        <f t="shared" si="32"/>
        <v/>
      </c>
    </row>
    <row r="2098" spans="27:27" ht="15" customHeight="1" x14ac:dyDescent="0.25">
      <c r="AA2098" s="40" t="str">
        <f t="shared" si="32"/>
        <v/>
      </c>
    </row>
    <row r="2099" spans="27:27" ht="15" customHeight="1" x14ac:dyDescent="0.25">
      <c r="AA2099" s="40" t="str">
        <f t="shared" si="32"/>
        <v/>
      </c>
    </row>
    <row r="2100" spans="27:27" ht="15" customHeight="1" x14ac:dyDescent="0.25">
      <c r="AA2100" s="40" t="str">
        <f t="shared" si="32"/>
        <v/>
      </c>
    </row>
    <row r="2101" spans="27:27" ht="15" customHeight="1" x14ac:dyDescent="0.25">
      <c r="AA2101" s="40" t="str">
        <f t="shared" si="32"/>
        <v/>
      </c>
    </row>
    <row r="2102" spans="27:27" ht="15" customHeight="1" x14ac:dyDescent="0.25">
      <c r="AA2102" s="40" t="str">
        <f t="shared" si="32"/>
        <v/>
      </c>
    </row>
    <row r="2103" spans="27:27" ht="15" customHeight="1" x14ac:dyDescent="0.25">
      <c r="AA2103" s="40" t="str">
        <f t="shared" si="32"/>
        <v/>
      </c>
    </row>
    <row r="2104" spans="27:27" ht="15" customHeight="1" x14ac:dyDescent="0.25">
      <c r="AA2104" s="40" t="str">
        <f t="shared" si="32"/>
        <v/>
      </c>
    </row>
    <row r="2105" spans="27:27" ht="15" customHeight="1" x14ac:dyDescent="0.25">
      <c r="AA2105" s="40" t="str">
        <f t="shared" si="32"/>
        <v/>
      </c>
    </row>
    <row r="2106" spans="27:27" ht="15" customHeight="1" x14ac:dyDescent="0.25">
      <c r="AA2106" s="40" t="str">
        <f t="shared" si="32"/>
        <v/>
      </c>
    </row>
    <row r="2107" spans="27:27" ht="15" customHeight="1" x14ac:dyDescent="0.25">
      <c r="AA2107" s="40" t="str">
        <f t="shared" si="32"/>
        <v/>
      </c>
    </row>
    <row r="2108" spans="27:27" ht="15" customHeight="1" x14ac:dyDescent="0.25">
      <c r="AA2108" s="40" t="str">
        <f t="shared" si="32"/>
        <v/>
      </c>
    </row>
    <row r="2109" spans="27:27" ht="15" customHeight="1" x14ac:dyDescent="0.25">
      <c r="AA2109" s="40" t="str">
        <f t="shared" si="32"/>
        <v/>
      </c>
    </row>
    <row r="2110" spans="27:27" ht="15" customHeight="1" x14ac:dyDescent="0.25">
      <c r="AA2110" s="40" t="str">
        <f t="shared" si="32"/>
        <v/>
      </c>
    </row>
    <row r="2111" spans="27:27" ht="15" customHeight="1" x14ac:dyDescent="0.25">
      <c r="AA2111" s="40" t="str">
        <f t="shared" si="32"/>
        <v/>
      </c>
    </row>
    <row r="2112" spans="27:27" ht="15" customHeight="1" x14ac:dyDescent="0.25">
      <c r="AA2112" s="40" t="str">
        <f t="shared" si="32"/>
        <v/>
      </c>
    </row>
    <row r="2113" spans="27:27" ht="15" customHeight="1" x14ac:dyDescent="0.25">
      <c r="AA2113" s="40" t="str">
        <f t="shared" si="32"/>
        <v/>
      </c>
    </row>
    <row r="2114" spans="27:27" ht="15" customHeight="1" x14ac:dyDescent="0.25">
      <c r="AA2114" s="40" t="str">
        <f t="shared" si="32"/>
        <v/>
      </c>
    </row>
    <row r="2115" spans="27:27" ht="15" customHeight="1" x14ac:dyDescent="0.25">
      <c r="AA2115" s="40" t="str">
        <f t="shared" si="32"/>
        <v/>
      </c>
    </row>
    <row r="2116" spans="27:27" ht="15" customHeight="1" x14ac:dyDescent="0.25">
      <c r="AA2116" s="40" t="str">
        <f t="shared" si="32"/>
        <v/>
      </c>
    </row>
    <row r="2117" spans="27:27" ht="15" customHeight="1" x14ac:dyDescent="0.25">
      <c r="AA2117" s="40" t="str">
        <f t="shared" si="32"/>
        <v/>
      </c>
    </row>
    <row r="2118" spans="27:27" ht="15" customHeight="1" x14ac:dyDescent="0.25">
      <c r="AA2118" s="40" t="str">
        <f t="shared" si="32"/>
        <v/>
      </c>
    </row>
    <row r="2119" spans="27:27" ht="15" customHeight="1" x14ac:dyDescent="0.25">
      <c r="AA2119" s="40" t="str">
        <f t="shared" si="32"/>
        <v/>
      </c>
    </row>
    <row r="2120" spans="27:27" ht="15" customHeight="1" x14ac:dyDescent="0.25">
      <c r="AA2120" s="40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40" t="str">
        <f t="shared" si="33"/>
        <v/>
      </c>
    </row>
    <row r="2122" spans="27:27" ht="15" customHeight="1" x14ac:dyDescent="0.25">
      <c r="AA2122" s="40" t="str">
        <f t="shared" si="33"/>
        <v/>
      </c>
    </row>
    <row r="2123" spans="27:27" ht="15" customHeight="1" x14ac:dyDescent="0.25">
      <c r="AA2123" s="40" t="str">
        <f t="shared" si="33"/>
        <v/>
      </c>
    </row>
    <row r="2124" spans="27:27" ht="15" customHeight="1" x14ac:dyDescent="0.25">
      <c r="AA2124" s="40" t="str">
        <f t="shared" si="33"/>
        <v/>
      </c>
    </row>
    <row r="2125" spans="27:27" ht="15" customHeight="1" x14ac:dyDescent="0.25">
      <c r="AA2125" s="40" t="str">
        <f t="shared" si="33"/>
        <v/>
      </c>
    </row>
    <row r="2126" spans="27:27" ht="15" customHeight="1" x14ac:dyDescent="0.25">
      <c r="AA2126" s="40" t="str">
        <f t="shared" si="33"/>
        <v/>
      </c>
    </row>
    <row r="2127" spans="27:27" ht="15" customHeight="1" x14ac:dyDescent="0.25">
      <c r="AA2127" s="40" t="str">
        <f t="shared" si="33"/>
        <v/>
      </c>
    </row>
    <row r="2128" spans="27:27" ht="15" customHeight="1" x14ac:dyDescent="0.25">
      <c r="AA2128" s="40" t="str">
        <f t="shared" si="33"/>
        <v/>
      </c>
    </row>
    <row r="2129" spans="27:27" ht="15" customHeight="1" x14ac:dyDescent="0.25">
      <c r="AA2129" s="40" t="str">
        <f t="shared" si="33"/>
        <v/>
      </c>
    </row>
    <row r="2130" spans="27:27" ht="15" customHeight="1" x14ac:dyDescent="0.25">
      <c r="AA2130" s="40" t="str">
        <f t="shared" si="33"/>
        <v/>
      </c>
    </row>
    <row r="2131" spans="27:27" ht="15" customHeight="1" x14ac:dyDescent="0.25">
      <c r="AA2131" s="40" t="str">
        <f t="shared" si="33"/>
        <v/>
      </c>
    </row>
    <row r="2132" spans="27:27" ht="15" customHeight="1" x14ac:dyDescent="0.25">
      <c r="AA2132" s="40" t="str">
        <f t="shared" si="33"/>
        <v/>
      </c>
    </row>
    <row r="2133" spans="27:27" ht="15" customHeight="1" x14ac:dyDescent="0.25">
      <c r="AA2133" s="40" t="str">
        <f t="shared" si="33"/>
        <v/>
      </c>
    </row>
    <row r="2134" spans="27:27" ht="15" customHeight="1" x14ac:dyDescent="0.25">
      <c r="AA2134" s="40" t="str">
        <f t="shared" si="33"/>
        <v/>
      </c>
    </row>
    <row r="2135" spans="27:27" ht="15" customHeight="1" x14ac:dyDescent="0.25">
      <c r="AA2135" s="40" t="str">
        <f t="shared" si="33"/>
        <v/>
      </c>
    </row>
    <row r="2136" spans="27:27" ht="15" customHeight="1" x14ac:dyDescent="0.25">
      <c r="AA2136" s="40" t="str">
        <f t="shared" si="33"/>
        <v/>
      </c>
    </row>
    <row r="2137" spans="27:27" ht="15" customHeight="1" x14ac:dyDescent="0.25">
      <c r="AA2137" s="40" t="str">
        <f t="shared" si="33"/>
        <v/>
      </c>
    </row>
    <row r="2138" spans="27:27" ht="15" customHeight="1" x14ac:dyDescent="0.25">
      <c r="AA2138" s="40" t="str">
        <f t="shared" si="33"/>
        <v/>
      </c>
    </row>
    <row r="2139" spans="27:27" ht="15" customHeight="1" x14ac:dyDescent="0.25">
      <c r="AA2139" s="40" t="str">
        <f t="shared" si="33"/>
        <v/>
      </c>
    </row>
    <row r="2140" spans="27:27" ht="15" customHeight="1" x14ac:dyDescent="0.25">
      <c r="AA2140" s="40" t="str">
        <f t="shared" si="33"/>
        <v/>
      </c>
    </row>
    <row r="2141" spans="27:27" ht="15" customHeight="1" x14ac:dyDescent="0.25">
      <c r="AA2141" s="40" t="str">
        <f t="shared" si="33"/>
        <v/>
      </c>
    </row>
    <row r="2142" spans="27:27" ht="15" customHeight="1" x14ac:dyDescent="0.25">
      <c r="AA2142" s="40" t="str">
        <f t="shared" si="33"/>
        <v/>
      </c>
    </row>
    <row r="2143" spans="27:27" ht="15" customHeight="1" x14ac:dyDescent="0.25">
      <c r="AA2143" s="40" t="str">
        <f t="shared" si="33"/>
        <v/>
      </c>
    </row>
    <row r="2144" spans="27:27" ht="15" customHeight="1" x14ac:dyDescent="0.25">
      <c r="AA2144" s="40" t="str">
        <f t="shared" si="33"/>
        <v/>
      </c>
    </row>
    <row r="2145" spans="27:27" ht="15" customHeight="1" x14ac:dyDescent="0.25">
      <c r="AA2145" s="40" t="str">
        <f t="shared" si="33"/>
        <v/>
      </c>
    </row>
    <row r="2146" spans="27:27" ht="15" customHeight="1" x14ac:dyDescent="0.25">
      <c r="AA2146" s="40" t="str">
        <f t="shared" si="33"/>
        <v/>
      </c>
    </row>
    <row r="2147" spans="27:27" ht="15" customHeight="1" x14ac:dyDescent="0.25">
      <c r="AA2147" s="40" t="str">
        <f t="shared" si="33"/>
        <v/>
      </c>
    </row>
    <row r="2148" spans="27:27" ht="15" customHeight="1" x14ac:dyDescent="0.25">
      <c r="AA2148" s="40" t="str">
        <f t="shared" si="33"/>
        <v/>
      </c>
    </row>
    <row r="2149" spans="27:27" ht="15" customHeight="1" x14ac:dyDescent="0.25">
      <c r="AA2149" s="40" t="str">
        <f t="shared" si="33"/>
        <v/>
      </c>
    </row>
    <row r="2150" spans="27:27" ht="15" customHeight="1" x14ac:dyDescent="0.25">
      <c r="AA2150" s="40" t="str">
        <f t="shared" si="33"/>
        <v/>
      </c>
    </row>
    <row r="2151" spans="27:27" ht="15" customHeight="1" x14ac:dyDescent="0.25">
      <c r="AA2151" s="40" t="str">
        <f t="shared" si="33"/>
        <v/>
      </c>
    </row>
    <row r="2152" spans="27:27" ht="15" customHeight="1" x14ac:dyDescent="0.25">
      <c r="AA2152" s="40" t="str">
        <f t="shared" si="33"/>
        <v/>
      </c>
    </row>
    <row r="2153" spans="27:27" ht="15" customHeight="1" x14ac:dyDescent="0.25">
      <c r="AA2153" s="40" t="str">
        <f t="shared" si="33"/>
        <v/>
      </c>
    </row>
    <row r="2154" spans="27:27" ht="15" customHeight="1" x14ac:dyDescent="0.25">
      <c r="AA2154" s="40" t="str">
        <f t="shared" si="33"/>
        <v/>
      </c>
    </row>
    <row r="2155" spans="27:27" ht="15" customHeight="1" x14ac:dyDescent="0.25">
      <c r="AA2155" s="40" t="str">
        <f t="shared" si="33"/>
        <v/>
      </c>
    </row>
    <row r="2156" spans="27:27" ht="15" customHeight="1" x14ac:dyDescent="0.25">
      <c r="AA2156" s="40" t="str">
        <f t="shared" si="33"/>
        <v/>
      </c>
    </row>
    <row r="2157" spans="27:27" ht="15" customHeight="1" x14ac:dyDescent="0.25">
      <c r="AA2157" s="40" t="str">
        <f t="shared" si="33"/>
        <v/>
      </c>
    </row>
    <row r="2158" spans="27:27" ht="15" customHeight="1" x14ac:dyDescent="0.25">
      <c r="AA2158" s="40" t="str">
        <f t="shared" si="33"/>
        <v/>
      </c>
    </row>
    <row r="2159" spans="27:27" ht="15" customHeight="1" x14ac:dyDescent="0.25">
      <c r="AA2159" s="40" t="str">
        <f t="shared" si="33"/>
        <v/>
      </c>
    </row>
    <row r="2160" spans="27:27" ht="15" customHeight="1" x14ac:dyDescent="0.25">
      <c r="AA2160" s="40" t="str">
        <f t="shared" si="33"/>
        <v/>
      </c>
    </row>
    <row r="2161" spans="27:27" ht="15" customHeight="1" x14ac:dyDescent="0.25">
      <c r="AA2161" s="40" t="str">
        <f t="shared" si="33"/>
        <v/>
      </c>
    </row>
    <row r="2162" spans="27:27" ht="15" customHeight="1" x14ac:dyDescent="0.25">
      <c r="AA2162" s="40" t="str">
        <f t="shared" si="33"/>
        <v/>
      </c>
    </row>
    <row r="2163" spans="27:27" ht="15" customHeight="1" x14ac:dyDescent="0.25">
      <c r="AA2163" s="40" t="str">
        <f t="shared" si="33"/>
        <v/>
      </c>
    </row>
    <row r="2164" spans="27:27" ht="15" customHeight="1" x14ac:dyDescent="0.25">
      <c r="AA2164" s="40" t="str">
        <f t="shared" si="33"/>
        <v/>
      </c>
    </row>
    <row r="2165" spans="27:27" ht="15" customHeight="1" x14ac:dyDescent="0.25">
      <c r="AA2165" s="40" t="str">
        <f t="shared" si="33"/>
        <v/>
      </c>
    </row>
    <row r="2166" spans="27:27" ht="15" customHeight="1" x14ac:dyDescent="0.25">
      <c r="AA2166" s="40" t="str">
        <f t="shared" si="33"/>
        <v/>
      </c>
    </row>
    <row r="2167" spans="27:27" ht="15" customHeight="1" x14ac:dyDescent="0.25">
      <c r="AA2167" s="40" t="str">
        <f t="shared" si="33"/>
        <v/>
      </c>
    </row>
    <row r="2168" spans="27:27" ht="15" customHeight="1" x14ac:dyDescent="0.25">
      <c r="AA2168" s="40" t="str">
        <f t="shared" si="33"/>
        <v/>
      </c>
    </row>
    <row r="2169" spans="27:27" ht="15" customHeight="1" x14ac:dyDescent="0.25">
      <c r="AA2169" s="40" t="str">
        <f t="shared" si="33"/>
        <v/>
      </c>
    </row>
    <row r="2170" spans="27:27" ht="15" customHeight="1" x14ac:dyDescent="0.25">
      <c r="AA2170" s="40" t="str">
        <f t="shared" si="33"/>
        <v/>
      </c>
    </row>
    <row r="2171" spans="27:27" ht="15" customHeight="1" x14ac:dyDescent="0.25">
      <c r="AA2171" s="40" t="str">
        <f t="shared" si="33"/>
        <v/>
      </c>
    </row>
    <row r="2172" spans="27:27" ht="15" customHeight="1" x14ac:dyDescent="0.25">
      <c r="AA2172" s="40" t="str">
        <f t="shared" si="33"/>
        <v/>
      </c>
    </row>
    <row r="2173" spans="27:27" ht="15" customHeight="1" x14ac:dyDescent="0.25">
      <c r="AA2173" s="40" t="str">
        <f t="shared" si="33"/>
        <v/>
      </c>
    </row>
    <row r="2174" spans="27:27" ht="15" customHeight="1" x14ac:dyDescent="0.25">
      <c r="AA2174" s="40" t="str">
        <f t="shared" si="33"/>
        <v/>
      </c>
    </row>
    <row r="2175" spans="27:27" ht="15" customHeight="1" x14ac:dyDescent="0.25">
      <c r="AA2175" s="40" t="str">
        <f t="shared" si="33"/>
        <v/>
      </c>
    </row>
    <row r="2176" spans="27:27" ht="15" customHeight="1" x14ac:dyDescent="0.25">
      <c r="AA2176" s="40" t="str">
        <f t="shared" si="33"/>
        <v/>
      </c>
    </row>
    <row r="2177" spans="27:27" ht="15" customHeight="1" x14ac:dyDescent="0.25">
      <c r="AA2177" s="40" t="str">
        <f t="shared" si="33"/>
        <v/>
      </c>
    </row>
    <row r="2178" spans="27:27" ht="15" customHeight="1" x14ac:dyDescent="0.25">
      <c r="AA2178" s="40" t="str">
        <f t="shared" si="33"/>
        <v/>
      </c>
    </row>
    <row r="2179" spans="27:27" ht="15" customHeight="1" x14ac:dyDescent="0.25">
      <c r="AA2179" s="40" t="str">
        <f t="shared" si="33"/>
        <v/>
      </c>
    </row>
    <row r="2180" spans="27:27" ht="15" customHeight="1" x14ac:dyDescent="0.25">
      <c r="AA2180" s="40" t="str">
        <f t="shared" si="33"/>
        <v/>
      </c>
    </row>
    <row r="2181" spans="27:27" ht="15" customHeight="1" x14ac:dyDescent="0.25">
      <c r="AA2181" s="40" t="str">
        <f t="shared" si="33"/>
        <v/>
      </c>
    </row>
    <row r="2182" spans="27:27" ht="15" customHeight="1" x14ac:dyDescent="0.25">
      <c r="AA2182" s="40" t="str">
        <f t="shared" si="33"/>
        <v/>
      </c>
    </row>
    <row r="2183" spans="27:27" ht="15" customHeight="1" x14ac:dyDescent="0.25">
      <c r="AA2183" s="40" t="str">
        <f t="shared" si="33"/>
        <v/>
      </c>
    </row>
    <row r="2184" spans="27:27" ht="15" customHeight="1" x14ac:dyDescent="0.25">
      <c r="AA2184" s="40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40" t="str">
        <f t="shared" si="34"/>
        <v/>
      </c>
    </row>
    <row r="2186" spans="27:27" ht="15" customHeight="1" x14ac:dyDescent="0.25">
      <c r="AA2186" s="40" t="str">
        <f t="shared" si="34"/>
        <v/>
      </c>
    </row>
    <row r="2187" spans="27:27" ht="15" customHeight="1" x14ac:dyDescent="0.25">
      <c r="AA2187" s="40" t="str">
        <f t="shared" si="34"/>
        <v/>
      </c>
    </row>
    <row r="2188" spans="27:27" ht="15" customHeight="1" x14ac:dyDescent="0.25">
      <c r="AA2188" s="40" t="str">
        <f t="shared" si="34"/>
        <v/>
      </c>
    </row>
    <row r="2189" spans="27:27" ht="15" customHeight="1" x14ac:dyDescent="0.25">
      <c r="AA2189" s="40" t="str">
        <f t="shared" si="34"/>
        <v/>
      </c>
    </row>
    <row r="2190" spans="27:27" ht="15" customHeight="1" x14ac:dyDescent="0.25">
      <c r="AA2190" s="40" t="str">
        <f t="shared" si="34"/>
        <v/>
      </c>
    </row>
    <row r="2191" spans="27:27" ht="15" customHeight="1" x14ac:dyDescent="0.25">
      <c r="AA2191" s="40" t="str">
        <f t="shared" si="34"/>
        <v/>
      </c>
    </row>
    <row r="2192" spans="27:27" ht="15" customHeight="1" x14ac:dyDescent="0.25">
      <c r="AA2192" s="40" t="str">
        <f t="shared" si="34"/>
        <v/>
      </c>
    </row>
    <row r="2193" spans="27:27" ht="15" customHeight="1" x14ac:dyDescent="0.25">
      <c r="AA2193" s="40" t="str">
        <f t="shared" si="34"/>
        <v/>
      </c>
    </row>
    <row r="2194" spans="27:27" ht="15" customHeight="1" x14ac:dyDescent="0.25">
      <c r="AA2194" s="40" t="str">
        <f t="shared" si="34"/>
        <v/>
      </c>
    </row>
    <row r="2195" spans="27:27" ht="15" customHeight="1" x14ac:dyDescent="0.25">
      <c r="AA2195" s="40" t="str">
        <f t="shared" si="34"/>
        <v/>
      </c>
    </row>
    <row r="2196" spans="27:27" ht="15" customHeight="1" x14ac:dyDescent="0.25">
      <c r="AA2196" s="40" t="str">
        <f t="shared" si="34"/>
        <v/>
      </c>
    </row>
    <row r="2197" spans="27:27" ht="15" customHeight="1" x14ac:dyDescent="0.25">
      <c r="AA2197" s="40" t="str">
        <f t="shared" si="34"/>
        <v/>
      </c>
    </row>
    <row r="2198" spans="27:27" ht="15" customHeight="1" x14ac:dyDescent="0.25">
      <c r="AA2198" s="40" t="str">
        <f t="shared" si="34"/>
        <v/>
      </c>
    </row>
    <row r="2199" spans="27:27" ht="15" customHeight="1" x14ac:dyDescent="0.25">
      <c r="AA2199" s="40" t="str">
        <f t="shared" si="34"/>
        <v/>
      </c>
    </row>
    <row r="2200" spans="27:27" ht="15" customHeight="1" x14ac:dyDescent="0.25">
      <c r="AA2200" s="40" t="str">
        <f t="shared" si="34"/>
        <v/>
      </c>
    </row>
    <row r="2201" spans="27:27" ht="15" customHeight="1" x14ac:dyDescent="0.25">
      <c r="AA2201" s="40" t="str">
        <f t="shared" si="34"/>
        <v/>
      </c>
    </row>
    <row r="2202" spans="27:27" ht="15" customHeight="1" x14ac:dyDescent="0.25">
      <c r="AA2202" s="40" t="str">
        <f t="shared" si="34"/>
        <v/>
      </c>
    </row>
    <row r="2203" spans="27:27" ht="15" customHeight="1" x14ac:dyDescent="0.25">
      <c r="AA2203" s="40" t="str">
        <f t="shared" si="34"/>
        <v/>
      </c>
    </row>
    <row r="2204" spans="27:27" ht="15" customHeight="1" x14ac:dyDescent="0.25">
      <c r="AA2204" s="40" t="str">
        <f t="shared" si="34"/>
        <v/>
      </c>
    </row>
    <row r="2205" spans="27:27" ht="15" customHeight="1" x14ac:dyDescent="0.25">
      <c r="AA2205" s="40" t="str">
        <f t="shared" si="34"/>
        <v/>
      </c>
    </row>
    <row r="2206" spans="27:27" ht="15" customHeight="1" x14ac:dyDescent="0.25">
      <c r="AA2206" s="40" t="str">
        <f t="shared" si="34"/>
        <v/>
      </c>
    </row>
    <row r="2207" spans="27:27" ht="15" customHeight="1" x14ac:dyDescent="0.25">
      <c r="AA2207" s="40" t="str">
        <f t="shared" si="34"/>
        <v/>
      </c>
    </row>
    <row r="2208" spans="27:27" ht="15" customHeight="1" x14ac:dyDescent="0.25">
      <c r="AA2208" s="40" t="str">
        <f t="shared" si="34"/>
        <v/>
      </c>
    </row>
    <row r="2209" spans="27:27" ht="15" customHeight="1" x14ac:dyDescent="0.25">
      <c r="AA2209" s="40" t="str">
        <f t="shared" si="34"/>
        <v/>
      </c>
    </row>
    <row r="2210" spans="27:27" ht="15" customHeight="1" x14ac:dyDescent="0.25">
      <c r="AA2210" s="40" t="str">
        <f t="shared" si="34"/>
        <v/>
      </c>
    </row>
    <row r="2211" spans="27:27" ht="15" customHeight="1" x14ac:dyDescent="0.25">
      <c r="AA2211" s="40" t="str">
        <f t="shared" si="34"/>
        <v/>
      </c>
    </row>
    <row r="2212" spans="27:27" ht="15" customHeight="1" x14ac:dyDescent="0.25">
      <c r="AA2212" s="40" t="str">
        <f t="shared" si="34"/>
        <v/>
      </c>
    </row>
    <row r="2213" spans="27:27" ht="15" customHeight="1" x14ac:dyDescent="0.25">
      <c r="AA2213" s="40" t="str">
        <f t="shared" si="34"/>
        <v/>
      </c>
    </row>
    <row r="2214" spans="27:27" ht="15" customHeight="1" x14ac:dyDescent="0.25">
      <c r="AA2214" s="40" t="str">
        <f t="shared" si="34"/>
        <v/>
      </c>
    </row>
    <row r="2215" spans="27:27" ht="15" customHeight="1" x14ac:dyDescent="0.25">
      <c r="AA2215" s="40" t="str">
        <f t="shared" si="34"/>
        <v/>
      </c>
    </row>
    <row r="2216" spans="27:27" ht="15" customHeight="1" x14ac:dyDescent="0.25">
      <c r="AA2216" s="40" t="str">
        <f t="shared" si="34"/>
        <v/>
      </c>
    </row>
    <row r="2217" spans="27:27" ht="15" customHeight="1" x14ac:dyDescent="0.25">
      <c r="AA2217" s="40" t="str">
        <f t="shared" si="34"/>
        <v/>
      </c>
    </row>
    <row r="2218" spans="27:27" ht="15" customHeight="1" x14ac:dyDescent="0.25">
      <c r="AA2218" s="40" t="str">
        <f t="shared" si="34"/>
        <v/>
      </c>
    </row>
    <row r="2219" spans="27:27" ht="15" customHeight="1" x14ac:dyDescent="0.25">
      <c r="AA2219" s="40" t="str">
        <f t="shared" si="34"/>
        <v/>
      </c>
    </row>
    <row r="2220" spans="27:27" ht="15" customHeight="1" x14ac:dyDescent="0.25">
      <c r="AA2220" s="40" t="str">
        <f t="shared" si="34"/>
        <v/>
      </c>
    </row>
    <row r="2221" spans="27:27" ht="15" customHeight="1" x14ac:dyDescent="0.25">
      <c r="AA2221" s="40" t="str">
        <f t="shared" si="34"/>
        <v/>
      </c>
    </row>
    <row r="2222" spans="27:27" ht="15" customHeight="1" x14ac:dyDescent="0.25">
      <c r="AA2222" s="40" t="str">
        <f t="shared" si="34"/>
        <v/>
      </c>
    </row>
    <row r="2223" spans="27:27" ht="15" customHeight="1" x14ac:dyDescent="0.25">
      <c r="AA2223" s="40" t="str">
        <f t="shared" si="34"/>
        <v/>
      </c>
    </row>
    <row r="2224" spans="27:27" ht="15" customHeight="1" x14ac:dyDescent="0.25">
      <c r="AA2224" s="40" t="str">
        <f t="shared" si="34"/>
        <v/>
      </c>
    </row>
    <row r="2225" spans="27:27" ht="15" customHeight="1" x14ac:dyDescent="0.25">
      <c r="AA2225" s="40" t="str">
        <f t="shared" si="34"/>
        <v/>
      </c>
    </row>
    <row r="2226" spans="27:27" ht="15" customHeight="1" x14ac:dyDescent="0.25">
      <c r="AA2226" s="40" t="str">
        <f t="shared" si="34"/>
        <v/>
      </c>
    </row>
    <row r="2227" spans="27:27" ht="15" customHeight="1" x14ac:dyDescent="0.25">
      <c r="AA2227" s="40" t="str">
        <f t="shared" si="34"/>
        <v/>
      </c>
    </row>
    <row r="2228" spans="27:27" ht="15" customHeight="1" x14ac:dyDescent="0.25">
      <c r="AA2228" s="40" t="str">
        <f t="shared" si="34"/>
        <v/>
      </c>
    </row>
    <row r="2229" spans="27:27" ht="15" customHeight="1" x14ac:dyDescent="0.25">
      <c r="AA2229" s="40" t="str">
        <f t="shared" si="34"/>
        <v/>
      </c>
    </row>
    <row r="2230" spans="27:27" ht="15" customHeight="1" x14ac:dyDescent="0.25">
      <c r="AA2230" s="40" t="str">
        <f t="shared" si="34"/>
        <v/>
      </c>
    </row>
    <row r="2231" spans="27:27" ht="15" customHeight="1" x14ac:dyDescent="0.25">
      <c r="AA2231" s="40" t="str">
        <f t="shared" si="34"/>
        <v/>
      </c>
    </row>
    <row r="2232" spans="27:27" ht="15" customHeight="1" x14ac:dyDescent="0.25">
      <c r="AA2232" s="40" t="str">
        <f t="shared" si="34"/>
        <v/>
      </c>
    </row>
    <row r="2233" spans="27:27" ht="15" customHeight="1" x14ac:dyDescent="0.25">
      <c r="AA2233" s="40" t="str">
        <f t="shared" si="34"/>
        <v/>
      </c>
    </row>
    <row r="2234" spans="27:27" ht="15" customHeight="1" x14ac:dyDescent="0.25">
      <c r="AA2234" s="40" t="str">
        <f t="shared" si="34"/>
        <v/>
      </c>
    </row>
    <row r="2235" spans="27:27" ht="15" customHeight="1" x14ac:dyDescent="0.25">
      <c r="AA2235" s="40" t="str">
        <f t="shared" si="34"/>
        <v/>
      </c>
    </row>
    <row r="2236" spans="27:27" ht="15" customHeight="1" x14ac:dyDescent="0.25">
      <c r="AA2236" s="40" t="str">
        <f t="shared" si="34"/>
        <v/>
      </c>
    </row>
    <row r="2237" spans="27:27" ht="15" customHeight="1" x14ac:dyDescent="0.25">
      <c r="AA2237" s="40" t="str">
        <f t="shared" si="34"/>
        <v/>
      </c>
    </row>
    <row r="2238" spans="27:27" ht="15" customHeight="1" x14ac:dyDescent="0.25">
      <c r="AA2238" s="40" t="str">
        <f t="shared" si="34"/>
        <v/>
      </c>
    </row>
    <row r="2239" spans="27:27" ht="15" customHeight="1" x14ac:dyDescent="0.25">
      <c r="AA2239" s="40" t="str">
        <f t="shared" si="34"/>
        <v/>
      </c>
    </row>
    <row r="2240" spans="27:27" ht="15" customHeight="1" x14ac:dyDescent="0.25">
      <c r="AA2240" s="40" t="str">
        <f t="shared" si="34"/>
        <v/>
      </c>
    </row>
  </sheetData>
  <autoFilter ref="A3:Q2240" xr:uid="{F29A2127-4DE0-4866-9410-46FEE997C7C7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7"/>
  <sheetViews>
    <sheetView zoomScaleNormal="100" workbookViewId="0">
      <selection activeCell="B15" sqref="B15"/>
    </sheetView>
  </sheetViews>
  <sheetFormatPr defaultRowHeight="18" customHeight="1" x14ac:dyDescent="0.25"/>
  <cols>
    <col min="1" max="1" width="3.42578125" style="51" customWidth="1"/>
    <col min="2" max="2" width="80.5703125" style="51" customWidth="1"/>
    <col min="3" max="4" width="9.140625" style="51"/>
    <col min="5" max="6" width="9.140625" style="51" customWidth="1"/>
    <col min="7" max="16384" width="9.140625" style="51"/>
  </cols>
  <sheetData>
    <row r="1" spans="2:4" ht="18" customHeight="1" x14ac:dyDescent="0.25">
      <c r="B1" s="52" t="s">
        <v>50</v>
      </c>
      <c r="C1" s="53">
        <v>2</v>
      </c>
      <c r="D1" s="54" t="s">
        <v>51</v>
      </c>
    </row>
    <row r="2" spans="2:4" s="55" customFormat="1" ht="18" customHeight="1" x14ac:dyDescent="0.25">
      <c r="C2" s="51"/>
      <c r="D2" s="51"/>
    </row>
    <row r="3" spans="2:4" ht="18" customHeight="1" x14ac:dyDescent="0.25">
      <c r="B3" s="52" t="s">
        <v>52</v>
      </c>
    </row>
    <row r="4" spans="2:4" ht="18" customHeight="1" x14ac:dyDescent="0.25">
      <c r="B4" s="61" t="s">
        <v>134</v>
      </c>
    </row>
    <row r="6" spans="2:4" ht="18" customHeight="1" x14ac:dyDescent="0.25">
      <c r="B6" s="52" t="s">
        <v>53</v>
      </c>
    </row>
    <row r="7" spans="2:4" ht="18" customHeight="1" x14ac:dyDescent="0.25">
      <c r="B7" s="53" t="s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E611"/>
  <sheetViews>
    <sheetView topLeftCell="K1" zoomScale="55" zoomScaleNormal="55" zoomScaleSheetLayoutView="50" workbookViewId="0">
      <selection activeCell="W51" sqref="W51"/>
    </sheetView>
  </sheetViews>
  <sheetFormatPr defaultRowHeight="14.25" x14ac:dyDescent="0.25"/>
  <cols>
    <col min="1" max="2" width="25.7109375" style="11" customWidth="1"/>
    <col min="3" max="3" width="30.5703125" style="11" customWidth="1"/>
    <col min="4" max="7" width="25.7109375" style="11" customWidth="1"/>
    <col min="8" max="8" width="11" style="71" customWidth="1"/>
    <col min="9" max="10" width="8.28515625" style="71" customWidth="1"/>
    <col min="11" max="12" width="25.7109375" style="71" customWidth="1"/>
    <col min="13" max="13" width="5.7109375" style="71" customWidth="1"/>
    <col min="14" max="14" width="20.7109375" style="71" customWidth="1"/>
    <col min="15" max="15" width="9.85546875" style="11" customWidth="1"/>
    <col min="16" max="16384" width="9.140625" style="71"/>
  </cols>
  <sheetData>
    <row r="1" spans="1:15" ht="45" customHeight="1" x14ac:dyDescent="0.25">
      <c r="A1" s="93" t="s">
        <v>5</v>
      </c>
      <c r="B1" s="93"/>
      <c r="C1" s="93"/>
      <c r="D1" s="93"/>
      <c r="E1" s="93"/>
      <c r="F1" s="93"/>
      <c r="G1" s="93"/>
      <c r="J1" s="63"/>
      <c r="K1" s="94" t="s">
        <v>7</v>
      </c>
      <c r="L1" s="95"/>
      <c r="M1" s="97" t="s">
        <v>18</v>
      </c>
      <c r="N1" s="98"/>
    </row>
    <row r="2" spans="1:15" ht="24.95" customHeight="1" x14ac:dyDescent="0.25">
      <c r="A2" s="8" t="s">
        <v>0</v>
      </c>
      <c r="B2" s="8" t="s">
        <v>1</v>
      </c>
      <c r="C2" s="8" t="s">
        <v>4</v>
      </c>
      <c r="D2" s="8" t="s">
        <v>48</v>
      </c>
      <c r="E2" s="8" t="s">
        <v>49</v>
      </c>
      <c r="F2" s="8" t="s">
        <v>2</v>
      </c>
      <c r="G2" s="8" t="s">
        <v>17</v>
      </c>
      <c r="J2" s="9"/>
      <c r="K2" s="62" t="s">
        <v>16</v>
      </c>
      <c r="L2" s="10">
        <f>SUM(L3:L4)</f>
        <v>177</v>
      </c>
      <c r="M2" s="99"/>
      <c r="N2" s="100"/>
    </row>
    <row r="3" spans="1:15" s="72" customFormat="1" ht="24.95" customHeight="1" x14ac:dyDescent="0.25">
      <c r="A3" s="18"/>
      <c r="B3" s="18"/>
      <c r="C3" s="18" t="s">
        <v>140</v>
      </c>
      <c r="D3" s="18" t="s">
        <v>123</v>
      </c>
      <c r="E3" s="18" t="s">
        <v>123</v>
      </c>
      <c r="F3" s="19" t="str">
        <f>IFERROR(IF(AND(D3="Não",E3="Sim"),"REP",
IF(AND(D3="Sim",E3="Não"),"Técnico",
IF(AND(D3="Sim",E3="Sim"),"Ambos",""))),"")</f>
        <v>Ambos</v>
      </c>
      <c r="G3" s="18"/>
      <c r="H3" s="20"/>
      <c r="J3" s="23"/>
      <c r="K3" s="24" t="s">
        <v>6</v>
      </c>
      <c r="L3" s="25">
        <f>COUNTIFS(F3:F501,"Rep")</f>
        <v>19</v>
      </c>
      <c r="M3" s="26" t="s">
        <v>19</v>
      </c>
      <c r="N3" s="27">
        <f>IFERROR(SUM(L3/$L$2),"")</f>
        <v>0.10734463276836158</v>
      </c>
      <c r="O3" s="20"/>
    </row>
    <row r="4" spans="1:15" ht="24.95" customHeight="1" x14ac:dyDescent="0.25">
      <c r="A4" s="18"/>
      <c r="B4" s="18"/>
      <c r="C4" s="18" t="s">
        <v>161</v>
      </c>
      <c r="D4" s="18" t="s">
        <v>123</v>
      </c>
      <c r="E4" s="18" t="s">
        <v>122</v>
      </c>
      <c r="F4" s="19" t="str">
        <f t="shared" ref="F4:F66" si="0">IFERROR(IF(AND(D4="Não",E4="Sim"),"REP",
IF(AND(D4="Sim",E4="Não"),"Técnico",
IF(AND(D4="Sim",E4="Sim"),"Ambos",""))),"")</f>
        <v>Técnico</v>
      </c>
      <c r="G4" s="22"/>
      <c r="H4" s="11"/>
      <c r="J4" s="9"/>
      <c r="K4" s="62" t="s">
        <v>3</v>
      </c>
      <c r="L4" s="13">
        <f>SUM(L5:L18)</f>
        <v>158</v>
      </c>
      <c r="M4" s="14" t="s">
        <v>19</v>
      </c>
      <c r="N4" s="27">
        <f>IFERROR(SUM(L4/$L$2),"")</f>
        <v>0.89265536723163841</v>
      </c>
    </row>
    <row r="5" spans="1:15" ht="24.95" customHeight="1" x14ac:dyDescent="0.25">
      <c r="A5" s="12"/>
      <c r="B5" s="18"/>
      <c r="C5" s="18" t="s">
        <v>140</v>
      </c>
      <c r="D5" s="18" t="s">
        <v>123</v>
      </c>
      <c r="E5" s="18" t="s">
        <v>123</v>
      </c>
      <c r="F5" s="19" t="str">
        <f t="shared" si="0"/>
        <v>Ambos</v>
      </c>
      <c r="G5" s="12"/>
      <c r="H5" s="11"/>
      <c r="J5" s="85" t="s">
        <v>8</v>
      </c>
      <c r="K5" s="96" t="s">
        <v>126</v>
      </c>
      <c r="L5" s="80">
        <f>SUM(O5:O6)</f>
        <v>40</v>
      </c>
      <c r="M5" s="80" t="s">
        <v>20</v>
      </c>
      <c r="N5" s="83">
        <f>IFERROR(SUM(L5/$L$4),"")</f>
        <v>0.25316455696202533</v>
      </c>
      <c r="O5" s="73">
        <f>COUNTIFS($C$3:$C$501,"LAB. FIOS e CABOS",$F$3:$F$501,"Técnico")</f>
        <v>22</v>
      </c>
    </row>
    <row r="6" spans="1:15" ht="24.95" customHeight="1" x14ac:dyDescent="0.25">
      <c r="A6" s="12"/>
      <c r="B6" s="18"/>
      <c r="C6" s="18" t="s">
        <v>161</v>
      </c>
      <c r="D6" s="18" t="s">
        <v>123</v>
      </c>
      <c r="E6" s="18" t="s">
        <v>123</v>
      </c>
      <c r="F6" s="19" t="str">
        <f t="shared" si="0"/>
        <v>Ambos</v>
      </c>
      <c r="G6" s="12"/>
      <c r="H6" s="11"/>
      <c r="J6" s="86"/>
      <c r="K6" s="89"/>
      <c r="L6" s="82"/>
      <c r="M6" s="81"/>
      <c r="N6" s="84"/>
      <c r="O6" s="73">
        <f>COUNTIFS($C$3:$C$501,"LAB. FIOS e CABOS",$F$3:$F$501,"Ambos")</f>
        <v>18</v>
      </c>
    </row>
    <row r="7" spans="1:15" ht="24.95" customHeight="1" x14ac:dyDescent="0.25">
      <c r="A7" s="12"/>
      <c r="B7" s="18"/>
      <c r="C7" s="18" t="s">
        <v>140</v>
      </c>
      <c r="D7" s="18" t="s">
        <v>123</v>
      </c>
      <c r="E7" s="18" t="s">
        <v>123</v>
      </c>
      <c r="F7" s="19" t="str">
        <f t="shared" si="0"/>
        <v>Ambos</v>
      </c>
      <c r="G7" s="12"/>
      <c r="H7" s="11"/>
      <c r="J7" s="86"/>
      <c r="K7" s="88" t="s">
        <v>127</v>
      </c>
      <c r="L7" s="80">
        <f>SUM(O7:O8)</f>
        <v>39</v>
      </c>
      <c r="M7" s="80" t="s">
        <v>20</v>
      </c>
      <c r="N7" s="83">
        <f t="shared" ref="N7" si="1">IFERROR(SUM(L7/$L$4),"")</f>
        <v>0.24683544303797469</v>
      </c>
      <c r="O7" s="73">
        <f>COUNTIFS($C$3:$C$501,"LAB. ELETRO-MECÂNICO",$F$3:$F$501,"Técnico")</f>
        <v>21</v>
      </c>
    </row>
    <row r="8" spans="1:15" ht="24.95" customHeight="1" x14ac:dyDescent="0.25">
      <c r="A8" s="12"/>
      <c r="B8" s="18"/>
      <c r="C8" s="18" t="s">
        <v>161</v>
      </c>
      <c r="D8" s="18" t="s">
        <v>123</v>
      </c>
      <c r="E8" s="18" t="s">
        <v>123</v>
      </c>
      <c r="F8" s="19" t="str">
        <f t="shared" si="0"/>
        <v>Ambos</v>
      </c>
      <c r="G8" s="12"/>
      <c r="H8" s="11"/>
      <c r="J8" s="86"/>
      <c r="K8" s="89"/>
      <c r="L8" s="82"/>
      <c r="M8" s="81"/>
      <c r="N8" s="84"/>
      <c r="O8" s="73">
        <f>COUNTIFS($C$3:$C$501,"LAB. ELETRO-MECÂNICO",$F$3:$F$501,"Ambos")</f>
        <v>18</v>
      </c>
    </row>
    <row r="9" spans="1:15" ht="24.95" customHeight="1" x14ac:dyDescent="0.25">
      <c r="A9" s="18"/>
      <c r="B9" s="18"/>
      <c r="C9" s="18" t="s">
        <v>156</v>
      </c>
      <c r="D9" s="12" t="s">
        <v>122</v>
      </c>
      <c r="E9" s="18" t="s">
        <v>122</v>
      </c>
      <c r="F9" s="19" t="str">
        <f t="shared" si="0"/>
        <v/>
      </c>
      <c r="G9" s="12"/>
      <c r="H9" s="11"/>
      <c r="J9" s="86"/>
      <c r="K9" s="88" t="s">
        <v>128</v>
      </c>
      <c r="L9" s="80">
        <f>SUM(O9:O10)</f>
        <v>33</v>
      </c>
      <c r="M9" s="80" t="s">
        <v>20</v>
      </c>
      <c r="N9" s="83">
        <f t="shared" ref="N9" si="2">IFERROR(SUM(L9/$L$4),"")</f>
        <v>0.20886075949367089</v>
      </c>
      <c r="O9" s="73">
        <f>COUNTIFS($C$3:$C$501,"LAB. QUÍMICO",$F$3:$F$501,"Técnico")</f>
        <v>15</v>
      </c>
    </row>
    <row r="10" spans="1:15" ht="24.95" customHeight="1" x14ac:dyDescent="0.25">
      <c r="A10" s="18"/>
      <c r="B10" s="18"/>
      <c r="C10" s="18" t="s">
        <v>140</v>
      </c>
      <c r="D10" s="12" t="s">
        <v>122</v>
      </c>
      <c r="E10" s="18" t="s">
        <v>123</v>
      </c>
      <c r="F10" s="19" t="str">
        <f t="shared" si="0"/>
        <v>REP</v>
      </c>
      <c r="G10" s="12"/>
      <c r="H10" s="11"/>
      <c r="J10" s="86"/>
      <c r="K10" s="89"/>
      <c r="L10" s="82"/>
      <c r="M10" s="81"/>
      <c r="N10" s="84"/>
      <c r="O10" s="73">
        <f>COUNTIFS($C$3:$C$501,"LAB. QUÍMICO",$F$3:$F$501,"Ambos")</f>
        <v>18</v>
      </c>
    </row>
    <row r="11" spans="1:15" ht="24.95" customHeight="1" x14ac:dyDescent="0.25">
      <c r="A11" s="18"/>
      <c r="B11" s="18"/>
      <c r="C11" s="18" t="s">
        <v>140</v>
      </c>
      <c r="D11" s="12" t="s">
        <v>122</v>
      </c>
      <c r="E11" s="18" t="s">
        <v>123</v>
      </c>
      <c r="F11" s="19" t="str">
        <f t="shared" si="0"/>
        <v>REP</v>
      </c>
      <c r="G11" s="12"/>
      <c r="H11" s="11"/>
      <c r="J11" s="86"/>
      <c r="K11" s="88" t="s">
        <v>129</v>
      </c>
      <c r="L11" s="80">
        <f>SUM(O11:O12)</f>
        <v>40</v>
      </c>
      <c r="M11" s="80" t="s">
        <v>20</v>
      </c>
      <c r="N11" s="83">
        <f t="shared" ref="N11" si="3">IFERROR(SUM(L11/$L$4),"")</f>
        <v>0.25316455696202533</v>
      </c>
      <c r="O11" s="73">
        <f>COUNTIFS($C$3:$C$501,"LAB. FIOS e CABOS",$F$3:$F$501,"Técnico")</f>
        <v>22</v>
      </c>
    </row>
    <row r="12" spans="1:15" ht="24.95" customHeight="1" x14ac:dyDescent="0.25">
      <c r="A12" s="18"/>
      <c r="B12" s="18"/>
      <c r="C12" s="18" t="s">
        <v>140</v>
      </c>
      <c r="D12" s="12" t="s">
        <v>122</v>
      </c>
      <c r="E12" s="18" t="s">
        <v>122</v>
      </c>
      <c r="F12" s="19" t="str">
        <f t="shared" si="0"/>
        <v/>
      </c>
      <c r="G12" s="12"/>
      <c r="H12" s="11"/>
      <c r="J12" s="86"/>
      <c r="K12" s="89"/>
      <c r="L12" s="82"/>
      <c r="M12" s="81"/>
      <c r="N12" s="84"/>
      <c r="O12" s="73">
        <f>COUNTIFS($C$3:$C$501,"LAB. FIOS e CABOS",$F$3:$F$501,"Ambos")</f>
        <v>18</v>
      </c>
    </row>
    <row r="13" spans="1:15" ht="24.95" customHeight="1" x14ac:dyDescent="0.25">
      <c r="A13" s="18"/>
      <c r="B13" s="18"/>
      <c r="C13" s="18" t="s">
        <v>140</v>
      </c>
      <c r="D13" s="12" t="s">
        <v>122</v>
      </c>
      <c r="E13" s="18" t="s">
        <v>122</v>
      </c>
      <c r="F13" s="19" t="str">
        <f t="shared" si="0"/>
        <v/>
      </c>
      <c r="G13" s="12"/>
      <c r="H13" s="11"/>
      <c r="J13" s="86"/>
      <c r="K13" s="88" t="s">
        <v>915</v>
      </c>
      <c r="L13" s="80">
        <f>SUM(O13:O14)</f>
        <v>0</v>
      </c>
      <c r="M13" s="80" t="s">
        <v>20</v>
      </c>
      <c r="N13" s="83">
        <f t="shared" ref="N13" si="4">IFERROR(SUM(L13/$L$4),"")</f>
        <v>0</v>
      </c>
      <c r="O13" s="73">
        <f>COUNTIFS($C$3:$C$501,"LAB. CONSTRUÇÃO CIVIL",$F$3:$F$501,"Técnico")</f>
        <v>0</v>
      </c>
    </row>
    <row r="14" spans="1:15" ht="24.95" customHeight="1" x14ac:dyDescent="0.25">
      <c r="A14" s="18"/>
      <c r="B14" s="18"/>
      <c r="C14" s="18" t="s">
        <v>140</v>
      </c>
      <c r="D14" s="12" t="s">
        <v>122</v>
      </c>
      <c r="E14" s="18" t="s">
        <v>122</v>
      </c>
      <c r="F14" s="19" t="str">
        <f t="shared" si="0"/>
        <v/>
      </c>
      <c r="G14" s="12"/>
      <c r="H14" s="11"/>
      <c r="J14" s="86"/>
      <c r="K14" s="89"/>
      <c r="L14" s="82"/>
      <c r="M14" s="81"/>
      <c r="N14" s="84"/>
      <c r="O14" s="73">
        <f>COUNTIFS($C$3:$C$501,"LAB. CONSTRUÇÃO CIVIL",$F$3:$F$501,"Ambos")</f>
        <v>0</v>
      </c>
    </row>
    <row r="15" spans="1:15" ht="24.95" customHeight="1" x14ac:dyDescent="0.25">
      <c r="A15" s="18"/>
      <c r="B15" s="18"/>
      <c r="C15" s="18" t="s">
        <v>140</v>
      </c>
      <c r="D15" s="12" t="s">
        <v>122</v>
      </c>
      <c r="E15" s="18" t="s">
        <v>122</v>
      </c>
      <c r="F15" s="19" t="str">
        <f t="shared" si="0"/>
        <v/>
      </c>
      <c r="G15" s="12"/>
      <c r="H15" s="11"/>
      <c r="J15" s="86"/>
      <c r="K15" s="88" t="s">
        <v>130</v>
      </c>
      <c r="L15" s="80">
        <f>SUM(O15:O16)</f>
        <v>5</v>
      </c>
      <c r="M15" s="80" t="s">
        <v>20</v>
      </c>
      <c r="N15" s="83">
        <f t="shared" ref="N15" si="5">IFERROR(SUM(L15/$L$4),"")</f>
        <v>3.1645569620253167E-2</v>
      </c>
      <c r="O15" s="73">
        <f>COUNTIFS($C$3:$C$501,"LAB. PLUGUES e TOMADAS",$F$3:$F$501,"Técnico")</f>
        <v>3</v>
      </c>
    </row>
    <row r="16" spans="1:15" ht="24.95" customHeight="1" x14ac:dyDescent="0.25">
      <c r="A16" s="18"/>
      <c r="B16" s="18"/>
      <c r="C16" s="18" t="s">
        <v>140</v>
      </c>
      <c r="D16" s="12" t="s">
        <v>122</v>
      </c>
      <c r="E16" s="18" t="s">
        <v>122</v>
      </c>
      <c r="F16" s="19" t="str">
        <f t="shared" si="0"/>
        <v/>
      </c>
      <c r="G16" s="12"/>
      <c r="H16" s="11"/>
      <c r="J16" s="86"/>
      <c r="K16" s="89"/>
      <c r="L16" s="82"/>
      <c r="M16" s="81"/>
      <c r="N16" s="84"/>
      <c r="O16" s="73">
        <f>COUNTIFS($C$3:$C$501,"LAB. PLUGUES e TOMADAS",$F$3:$F$501,"Ambos")</f>
        <v>2</v>
      </c>
    </row>
    <row r="17" spans="1:31" ht="24.95" customHeight="1" x14ac:dyDescent="0.25">
      <c r="A17" s="18"/>
      <c r="B17" s="18"/>
      <c r="C17" s="18" t="s">
        <v>140</v>
      </c>
      <c r="D17" s="12" t="s">
        <v>122</v>
      </c>
      <c r="E17" s="18" t="s">
        <v>122</v>
      </c>
      <c r="F17" s="19" t="str">
        <f t="shared" si="0"/>
        <v/>
      </c>
      <c r="G17" s="12"/>
      <c r="H17" s="11"/>
      <c r="J17" s="86"/>
      <c r="K17" s="88" t="s">
        <v>132</v>
      </c>
      <c r="L17" s="80">
        <f>SUM(O17:O18)</f>
        <v>1</v>
      </c>
      <c r="M17" s="80" t="s">
        <v>20</v>
      </c>
      <c r="N17" s="83">
        <f t="shared" ref="N17" si="6">IFERROR(SUM(L17/$L$4),"")</f>
        <v>6.3291139240506328E-3</v>
      </c>
      <c r="O17" s="73">
        <f>COUNTIFS($C$3:$C$501,"LAB. ELETRODOMÉSTICO",$F$3:$F$501,"Técnico")</f>
        <v>1</v>
      </c>
    </row>
    <row r="18" spans="1:31" ht="24.95" customHeight="1" x14ac:dyDescent="0.25">
      <c r="A18" s="18"/>
      <c r="B18" s="18"/>
      <c r="C18" s="18" t="s">
        <v>140</v>
      </c>
      <c r="D18" s="12" t="s">
        <v>122</v>
      </c>
      <c r="E18" s="18" t="s">
        <v>122</v>
      </c>
      <c r="F18" s="19" t="str">
        <f t="shared" si="0"/>
        <v/>
      </c>
      <c r="G18" s="12"/>
      <c r="H18" s="11"/>
      <c r="J18" s="87"/>
      <c r="K18" s="89"/>
      <c r="L18" s="82"/>
      <c r="M18" s="82"/>
      <c r="N18" s="84"/>
      <c r="O18" s="73">
        <f>COUNTIFS($C$3:$C$501,"LAB. ELETRODOMÉSTICO",$F$3:$F$501,"Ambos")</f>
        <v>0</v>
      </c>
    </row>
    <row r="19" spans="1:31" s="72" customFormat="1" ht="24.95" customHeight="1" x14ac:dyDescent="0.25">
      <c r="A19" s="18"/>
      <c r="B19" s="18"/>
      <c r="C19" s="18" t="s">
        <v>140</v>
      </c>
      <c r="D19" s="12" t="s">
        <v>122</v>
      </c>
      <c r="E19" s="18" t="s">
        <v>122</v>
      </c>
      <c r="F19" s="19" t="str">
        <f t="shared" si="0"/>
        <v/>
      </c>
      <c r="G19" s="18"/>
      <c r="H19" s="11"/>
      <c r="I19" s="71"/>
      <c r="J19" s="78" t="s">
        <v>21</v>
      </c>
      <c r="K19" s="78"/>
      <c r="L19" s="78"/>
      <c r="M19" s="78"/>
      <c r="N19" s="78"/>
      <c r="O19" s="1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</row>
    <row r="20" spans="1:31" ht="24.95" customHeight="1" x14ac:dyDescent="0.25">
      <c r="A20" s="18"/>
      <c r="B20" s="18"/>
      <c r="C20" s="18" t="s">
        <v>140</v>
      </c>
      <c r="D20" s="12" t="s">
        <v>122</v>
      </c>
      <c r="E20" s="18" t="s">
        <v>122</v>
      </c>
      <c r="F20" s="19" t="str">
        <f t="shared" si="0"/>
        <v/>
      </c>
      <c r="G20" s="12"/>
      <c r="H20" s="11"/>
      <c r="J20" s="79" t="s">
        <v>22</v>
      </c>
      <c r="K20" s="79"/>
      <c r="L20" s="79"/>
      <c r="M20" s="79"/>
      <c r="N20" s="79"/>
    </row>
    <row r="21" spans="1:31" ht="24.95" customHeight="1" x14ac:dyDescent="0.25">
      <c r="A21" s="18"/>
      <c r="B21" s="18"/>
      <c r="C21" s="18" t="s">
        <v>140</v>
      </c>
      <c r="D21" s="12" t="s">
        <v>122</v>
      </c>
      <c r="E21" s="18" t="s">
        <v>122</v>
      </c>
      <c r="F21" s="19" t="str">
        <f t="shared" si="0"/>
        <v/>
      </c>
      <c r="G21" s="12"/>
      <c r="H21" s="20"/>
      <c r="I21" s="72"/>
      <c r="J21" s="72"/>
      <c r="K21" s="72"/>
      <c r="L21" s="72"/>
      <c r="M21" s="72"/>
      <c r="N21" s="72"/>
      <c r="O21" s="20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</row>
    <row r="22" spans="1:31" ht="24.95" customHeight="1" x14ac:dyDescent="0.25">
      <c r="A22" s="18"/>
      <c r="B22" s="18"/>
      <c r="C22" s="18" t="s">
        <v>140</v>
      </c>
      <c r="D22" s="12" t="s">
        <v>122</v>
      </c>
      <c r="E22" s="18" t="s">
        <v>122</v>
      </c>
      <c r="F22" s="19" t="str">
        <f t="shared" si="0"/>
        <v/>
      </c>
      <c r="G22" s="12"/>
      <c r="H22" s="11"/>
    </row>
    <row r="23" spans="1:31" ht="24.95" customHeight="1" x14ac:dyDescent="0.25">
      <c r="A23" s="18"/>
      <c r="B23" s="18"/>
      <c r="C23" s="18" t="s">
        <v>140</v>
      </c>
      <c r="D23" s="18" t="s">
        <v>122</v>
      </c>
      <c r="E23" s="18" t="s">
        <v>122</v>
      </c>
      <c r="F23" s="19" t="str">
        <f t="shared" si="0"/>
        <v/>
      </c>
      <c r="G23" s="18"/>
      <c r="H23" s="11"/>
    </row>
    <row r="24" spans="1:31" ht="24" customHeight="1" x14ac:dyDescent="0.25">
      <c r="A24" s="18"/>
      <c r="B24" s="18"/>
      <c r="C24" s="18" t="s">
        <v>140</v>
      </c>
      <c r="D24" s="18" t="s">
        <v>122</v>
      </c>
      <c r="E24" s="18" t="s">
        <v>122</v>
      </c>
      <c r="F24" s="19" t="str">
        <f t="shared" si="0"/>
        <v/>
      </c>
      <c r="G24" s="18"/>
      <c r="H24" s="11"/>
    </row>
    <row r="25" spans="1:31" ht="24.95" customHeight="1" x14ac:dyDescent="0.25">
      <c r="A25" s="18"/>
      <c r="B25" s="18"/>
      <c r="C25" s="18" t="s">
        <v>140</v>
      </c>
      <c r="D25" s="18" t="s">
        <v>122</v>
      </c>
      <c r="E25" s="18" t="s">
        <v>122</v>
      </c>
      <c r="F25" s="19" t="str">
        <f t="shared" si="0"/>
        <v/>
      </c>
      <c r="G25" s="32"/>
      <c r="H25" s="11"/>
    </row>
    <row r="26" spans="1:31" ht="24.95" customHeight="1" x14ac:dyDescent="0.25">
      <c r="A26" s="18"/>
      <c r="B26" s="18"/>
      <c r="C26" s="18" t="s">
        <v>140</v>
      </c>
      <c r="D26" s="18" t="s">
        <v>122</v>
      </c>
      <c r="E26" s="18" t="s">
        <v>122</v>
      </c>
      <c r="F26" s="19" t="str">
        <f t="shared" si="0"/>
        <v/>
      </c>
      <c r="G26" s="18"/>
      <c r="H26" s="11"/>
    </row>
    <row r="27" spans="1:31" ht="24.95" customHeight="1" x14ac:dyDescent="0.25">
      <c r="A27" s="18"/>
      <c r="B27" s="18"/>
      <c r="C27" s="18" t="s">
        <v>140</v>
      </c>
      <c r="D27" s="18" t="s">
        <v>122</v>
      </c>
      <c r="E27" s="18" t="s">
        <v>122</v>
      </c>
      <c r="F27" s="19" t="str">
        <f t="shared" si="0"/>
        <v/>
      </c>
      <c r="G27" s="32"/>
      <c r="H27" s="11"/>
    </row>
    <row r="28" spans="1:31" ht="24.95" customHeight="1" x14ac:dyDescent="0.25">
      <c r="A28" s="18"/>
      <c r="B28" s="18"/>
      <c r="C28" s="18" t="s">
        <v>140</v>
      </c>
      <c r="D28" s="18" t="s">
        <v>122</v>
      </c>
      <c r="E28" s="18" t="s">
        <v>122</v>
      </c>
      <c r="F28" s="19" t="str">
        <f t="shared" si="0"/>
        <v/>
      </c>
      <c r="G28" s="32"/>
      <c r="H28" s="11"/>
    </row>
    <row r="29" spans="1:31" ht="24.95" customHeight="1" x14ac:dyDescent="0.25">
      <c r="A29" s="18"/>
      <c r="B29" s="18"/>
      <c r="C29" s="18" t="s">
        <v>140</v>
      </c>
      <c r="D29" s="18" t="s">
        <v>122</v>
      </c>
      <c r="E29" s="18" t="s">
        <v>122</v>
      </c>
      <c r="F29" s="19" t="str">
        <f t="shared" si="0"/>
        <v/>
      </c>
      <c r="G29" s="12"/>
      <c r="H29" s="11"/>
    </row>
    <row r="30" spans="1:31" ht="24.95" customHeight="1" x14ac:dyDescent="0.25">
      <c r="A30" s="18"/>
      <c r="B30" s="18"/>
      <c r="C30" s="18" t="s">
        <v>140</v>
      </c>
      <c r="D30" s="18" t="s">
        <v>122</v>
      </c>
      <c r="E30" s="18" t="s">
        <v>122</v>
      </c>
      <c r="F30" s="19" t="str">
        <f t="shared" si="0"/>
        <v/>
      </c>
      <c r="G30" s="12"/>
      <c r="H30" s="11"/>
    </row>
    <row r="31" spans="1:31" ht="24.95" customHeight="1" x14ac:dyDescent="0.25">
      <c r="A31" s="18"/>
      <c r="B31" s="18"/>
      <c r="C31" s="18" t="s">
        <v>140</v>
      </c>
      <c r="D31" s="18" t="s">
        <v>122</v>
      </c>
      <c r="E31" s="18" t="s">
        <v>122</v>
      </c>
      <c r="F31" s="19" t="str">
        <f t="shared" si="0"/>
        <v/>
      </c>
      <c r="G31" s="12"/>
      <c r="H31" s="11"/>
    </row>
    <row r="32" spans="1:31" ht="24.95" customHeight="1" x14ac:dyDescent="0.25">
      <c r="A32" s="18"/>
      <c r="B32" s="18"/>
      <c r="C32" s="18" t="s">
        <v>161</v>
      </c>
      <c r="D32" s="18" t="s">
        <v>123</v>
      </c>
      <c r="E32" s="18" t="s">
        <v>122</v>
      </c>
      <c r="F32" s="19" t="str">
        <f t="shared" si="0"/>
        <v>Técnico</v>
      </c>
      <c r="G32" s="12"/>
      <c r="H32" s="11"/>
    </row>
    <row r="33" spans="1:31" s="72" customFormat="1" ht="24.95" customHeight="1" x14ac:dyDescent="0.25">
      <c r="A33" s="18"/>
      <c r="B33" s="18"/>
      <c r="C33" s="18" t="s">
        <v>161</v>
      </c>
      <c r="D33" s="18" t="s">
        <v>122</v>
      </c>
      <c r="E33" s="18" t="s">
        <v>122</v>
      </c>
      <c r="F33" s="19" t="str">
        <f t="shared" si="0"/>
        <v/>
      </c>
      <c r="G33" s="18"/>
      <c r="H33" s="11"/>
      <c r="I33" s="71"/>
      <c r="J33" s="71"/>
      <c r="K33" s="71"/>
      <c r="L33" s="71"/>
      <c r="M33" s="71"/>
      <c r="N33" s="71"/>
      <c r="O33" s="1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</row>
    <row r="34" spans="1:31" s="72" customFormat="1" ht="24.95" customHeight="1" x14ac:dyDescent="0.25">
      <c r="A34" s="18"/>
      <c r="B34" s="18"/>
      <c r="C34" s="18" t="s">
        <v>161</v>
      </c>
      <c r="D34" s="18" t="s">
        <v>122</v>
      </c>
      <c r="E34" s="18" t="s">
        <v>122</v>
      </c>
      <c r="F34" s="19" t="str">
        <f t="shared" si="0"/>
        <v/>
      </c>
      <c r="G34" s="18"/>
      <c r="H34" s="11"/>
      <c r="I34" s="71"/>
      <c r="J34" s="71"/>
      <c r="K34" s="71"/>
      <c r="L34" s="71"/>
      <c r="M34" s="71"/>
      <c r="N34" s="71"/>
      <c r="O34" s="1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</row>
    <row r="35" spans="1:31" ht="24.95" customHeight="1" x14ac:dyDescent="0.25">
      <c r="A35" s="18"/>
      <c r="B35" s="18"/>
      <c r="C35" s="18" t="s">
        <v>188</v>
      </c>
      <c r="D35" s="18" t="s">
        <v>123</v>
      </c>
      <c r="E35" s="18" t="s">
        <v>123</v>
      </c>
      <c r="F35" s="19" t="str">
        <f t="shared" si="0"/>
        <v>Ambos</v>
      </c>
      <c r="G35" s="12"/>
      <c r="H35" s="20"/>
      <c r="I35" s="72"/>
      <c r="J35" s="72"/>
      <c r="K35" s="72"/>
      <c r="L35" s="72"/>
      <c r="M35" s="72"/>
      <c r="N35" s="72"/>
      <c r="O35" s="20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</row>
    <row r="36" spans="1:31" s="72" customFormat="1" ht="24.95" customHeight="1" x14ac:dyDescent="0.25">
      <c r="A36" s="18"/>
      <c r="B36" s="18"/>
      <c r="C36" s="18" t="s">
        <v>156</v>
      </c>
      <c r="D36" s="18" t="s">
        <v>123</v>
      </c>
      <c r="E36" s="18" t="s">
        <v>123</v>
      </c>
      <c r="F36" s="19" t="str">
        <f t="shared" si="0"/>
        <v>Ambos</v>
      </c>
      <c r="G36" s="18"/>
      <c r="H36" s="20"/>
      <c r="O36" s="20"/>
    </row>
    <row r="37" spans="1:31" s="72" customFormat="1" ht="24.95" customHeight="1" x14ac:dyDescent="0.25">
      <c r="A37" s="18"/>
      <c r="B37" s="18"/>
      <c r="C37" s="18" t="s">
        <v>161</v>
      </c>
      <c r="D37" s="18" t="s">
        <v>123</v>
      </c>
      <c r="E37" s="18" t="s">
        <v>123</v>
      </c>
      <c r="F37" s="19" t="str">
        <f t="shared" si="0"/>
        <v>Ambos</v>
      </c>
      <c r="G37" s="18"/>
      <c r="H37" s="11"/>
      <c r="I37" s="71"/>
      <c r="J37" s="71"/>
      <c r="K37" s="71"/>
      <c r="L37" s="71"/>
      <c r="M37" s="71"/>
      <c r="N37" s="71"/>
      <c r="O37" s="1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</row>
    <row r="38" spans="1:31" s="72" customFormat="1" ht="24.95" customHeight="1" x14ac:dyDescent="0.25">
      <c r="A38" s="18"/>
      <c r="B38" s="18"/>
      <c r="C38" s="18" t="s">
        <v>140</v>
      </c>
      <c r="D38" s="18" t="s">
        <v>122</v>
      </c>
      <c r="E38" s="18" t="s">
        <v>122</v>
      </c>
      <c r="F38" s="19" t="str">
        <f t="shared" si="0"/>
        <v/>
      </c>
      <c r="G38" s="18"/>
      <c r="H38" s="20"/>
      <c r="O38" s="20"/>
    </row>
    <row r="39" spans="1:31" ht="24.95" customHeight="1" x14ac:dyDescent="0.25">
      <c r="A39" s="18"/>
      <c r="B39" s="18"/>
      <c r="C39" s="18" t="s">
        <v>140</v>
      </c>
      <c r="D39" s="18" t="s">
        <v>122</v>
      </c>
      <c r="E39" s="18" t="s">
        <v>122</v>
      </c>
      <c r="F39" s="19" t="str">
        <f t="shared" si="0"/>
        <v/>
      </c>
      <c r="G39" s="12"/>
      <c r="H39" s="20"/>
      <c r="I39" s="72"/>
      <c r="J39" s="72"/>
      <c r="K39" s="72"/>
      <c r="L39" s="72"/>
      <c r="M39" s="72"/>
      <c r="N39" s="72"/>
      <c r="O39" s="20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</row>
    <row r="40" spans="1:31" ht="24.95" customHeight="1" x14ac:dyDescent="0.25">
      <c r="A40" s="18"/>
      <c r="B40" s="18"/>
      <c r="C40" s="18" t="s">
        <v>188</v>
      </c>
      <c r="D40" s="18" t="s">
        <v>123</v>
      </c>
      <c r="E40" s="18" t="s">
        <v>123</v>
      </c>
      <c r="F40" s="19" t="str">
        <f t="shared" si="0"/>
        <v>Ambos</v>
      </c>
      <c r="G40" s="12"/>
      <c r="H40" s="20"/>
      <c r="I40" s="72"/>
      <c r="J40" s="72"/>
      <c r="K40" s="72"/>
      <c r="L40" s="72"/>
      <c r="M40" s="72"/>
      <c r="N40" s="90" t="s">
        <v>7</v>
      </c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2"/>
      <c r="AB40" s="72"/>
      <c r="AC40" s="72"/>
      <c r="AD40" s="72"/>
      <c r="AE40" s="72"/>
    </row>
    <row r="41" spans="1:31" ht="24.95" customHeight="1" x14ac:dyDescent="0.25">
      <c r="A41" s="18"/>
      <c r="B41" s="18"/>
      <c r="C41" s="18" t="s">
        <v>161</v>
      </c>
      <c r="D41" s="18" t="s">
        <v>123</v>
      </c>
      <c r="E41" s="18" t="s">
        <v>123</v>
      </c>
      <c r="F41" s="19" t="str">
        <f t="shared" si="0"/>
        <v>Ambos</v>
      </c>
      <c r="G41" s="12"/>
      <c r="H41" s="11"/>
      <c r="N41" s="33" t="s">
        <v>24</v>
      </c>
      <c r="O41" s="33"/>
      <c r="P41" s="33" t="s">
        <v>25</v>
      </c>
      <c r="Q41" s="33" t="s">
        <v>26</v>
      </c>
      <c r="R41" s="33" t="s">
        <v>27</v>
      </c>
      <c r="S41" s="33" t="s">
        <v>28</v>
      </c>
      <c r="T41" s="33" t="s">
        <v>29</v>
      </c>
      <c r="U41" s="33" t="s">
        <v>30</v>
      </c>
      <c r="V41" s="33" t="s">
        <v>31</v>
      </c>
      <c r="W41" s="33" t="s">
        <v>32</v>
      </c>
      <c r="X41" s="33" t="s">
        <v>33</v>
      </c>
      <c r="Y41" s="33" t="s">
        <v>34</v>
      </c>
      <c r="Z41" s="33" t="s">
        <v>35</v>
      </c>
      <c r="AA41" s="33" t="s">
        <v>36</v>
      </c>
    </row>
    <row r="42" spans="1:31" ht="24.95" customHeight="1" x14ac:dyDescent="0.25">
      <c r="A42" s="18"/>
      <c r="B42" s="18"/>
      <c r="C42" s="18" t="s">
        <v>161</v>
      </c>
      <c r="D42" s="18" t="s">
        <v>122</v>
      </c>
      <c r="E42" s="18" t="s">
        <v>122</v>
      </c>
      <c r="F42" s="19" t="str">
        <f t="shared" si="0"/>
        <v/>
      </c>
      <c r="G42" s="12"/>
      <c r="H42" s="11"/>
      <c r="N42" s="33" t="s">
        <v>37</v>
      </c>
      <c r="O42" s="34"/>
      <c r="P42" s="37">
        <v>8</v>
      </c>
      <c r="Q42" s="37">
        <v>8</v>
      </c>
      <c r="R42" s="37">
        <v>2</v>
      </c>
      <c r="S42" s="37">
        <v>7</v>
      </c>
      <c r="T42" s="37">
        <v>4</v>
      </c>
      <c r="U42" s="37">
        <v>26</v>
      </c>
      <c r="V42" s="37"/>
      <c r="W42" s="37"/>
      <c r="X42" s="37"/>
      <c r="Y42" s="37"/>
      <c r="Z42" s="37"/>
      <c r="AA42" s="37"/>
    </row>
    <row r="43" spans="1:31" ht="24.95" customHeight="1" x14ac:dyDescent="0.25">
      <c r="A43" s="18"/>
      <c r="B43" s="18"/>
      <c r="C43" s="18" t="s">
        <v>140</v>
      </c>
      <c r="D43" s="18" t="s">
        <v>122</v>
      </c>
      <c r="E43" s="18" t="s">
        <v>122</v>
      </c>
      <c r="F43" s="19" t="str">
        <f t="shared" si="0"/>
        <v/>
      </c>
      <c r="G43" s="12"/>
      <c r="H43" s="11"/>
      <c r="N43" s="33" t="s">
        <v>38</v>
      </c>
      <c r="O43" s="34"/>
      <c r="P43" s="37">
        <v>33</v>
      </c>
      <c r="Q43" s="37">
        <v>25</v>
      </c>
      <c r="R43" s="37">
        <v>32</v>
      </c>
      <c r="S43" s="37">
        <v>54</v>
      </c>
      <c r="T43" s="37">
        <v>74</v>
      </c>
      <c r="U43" s="37">
        <v>60</v>
      </c>
      <c r="V43" s="37"/>
      <c r="W43" s="37"/>
      <c r="X43" s="37"/>
      <c r="Y43" s="37"/>
      <c r="Z43" s="37"/>
      <c r="AA43" s="37"/>
    </row>
    <row r="44" spans="1:31" ht="24.95" customHeight="1" x14ac:dyDescent="0.25">
      <c r="A44" s="18"/>
      <c r="B44" s="32"/>
      <c r="C44" s="18" t="s">
        <v>140</v>
      </c>
      <c r="D44" s="18" t="s">
        <v>123</v>
      </c>
      <c r="E44" s="18" t="s">
        <v>123</v>
      </c>
      <c r="F44" s="19" t="str">
        <f t="shared" si="0"/>
        <v>Ambos</v>
      </c>
      <c r="G44" s="12"/>
      <c r="H44" s="11"/>
    </row>
    <row r="45" spans="1:31" ht="24.95" customHeight="1" x14ac:dyDescent="0.25">
      <c r="A45" s="18"/>
      <c r="B45" s="32"/>
      <c r="C45" s="18" t="s">
        <v>161</v>
      </c>
      <c r="D45" s="18" t="s">
        <v>123</v>
      </c>
      <c r="E45" s="18" t="s">
        <v>123</v>
      </c>
      <c r="F45" s="19" t="str">
        <f t="shared" si="0"/>
        <v>Ambos</v>
      </c>
      <c r="G45" s="12"/>
      <c r="H45" s="11"/>
    </row>
    <row r="46" spans="1:31" ht="24.95" customHeight="1" x14ac:dyDescent="0.25">
      <c r="A46" s="18"/>
      <c r="B46" s="18"/>
      <c r="C46" s="18" t="s">
        <v>140</v>
      </c>
      <c r="D46" s="18" t="s">
        <v>123</v>
      </c>
      <c r="E46" s="18" t="s">
        <v>123</v>
      </c>
      <c r="F46" s="19" t="str">
        <f t="shared" si="0"/>
        <v>Ambos</v>
      </c>
      <c r="G46" s="12"/>
      <c r="H46" s="11"/>
    </row>
    <row r="47" spans="1:31" ht="24.95" customHeight="1" x14ac:dyDescent="0.25">
      <c r="A47" s="18"/>
      <c r="B47" s="18"/>
      <c r="C47" s="18" t="s">
        <v>140</v>
      </c>
      <c r="D47" s="18" t="s">
        <v>122</v>
      </c>
      <c r="E47" s="18" t="s">
        <v>122</v>
      </c>
      <c r="F47" s="19" t="str">
        <f t="shared" si="0"/>
        <v/>
      </c>
      <c r="G47" s="12"/>
      <c r="H47" s="11"/>
    </row>
    <row r="48" spans="1:31" ht="24.95" customHeight="1" x14ac:dyDescent="0.25">
      <c r="A48" s="18"/>
      <c r="B48" s="18"/>
      <c r="C48" s="18" t="s">
        <v>161</v>
      </c>
      <c r="D48" s="18" t="s">
        <v>123</v>
      </c>
      <c r="E48" s="18" t="s">
        <v>122</v>
      </c>
      <c r="F48" s="19" t="str">
        <f t="shared" si="0"/>
        <v>Técnico</v>
      </c>
      <c r="G48" s="12"/>
      <c r="H48" s="11"/>
    </row>
    <row r="49" spans="1:8" ht="24.95" customHeight="1" x14ac:dyDescent="0.25">
      <c r="A49" s="18"/>
      <c r="B49" s="18"/>
      <c r="C49" s="18" t="s">
        <v>188</v>
      </c>
      <c r="D49" s="18" t="s">
        <v>123</v>
      </c>
      <c r="E49" s="18" t="s">
        <v>123</v>
      </c>
      <c r="F49" s="19" t="str">
        <f t="shared" si="0"/>
        <v>Ambos</v>
      </c>
      <c r="G49" s="12"/>
      <c r="H49" s="11"/>
    </row>
    <row r="50" spans="1:8" ht="24.95" customHeight="1" x14ac:dyDescent="0.25">
      <c r="A50" s="18"/>
      <c r="B50" s="18"/>
      <c r="C50" s="18" t="s">
        <v>283</v>
      </c>
      <c r="D50" s="18" t="s">
        <v>123</v>
      </c>
      <c r="E50" s="18" t="s">
        <v>123</v>
      </c>
      <c r="F50" s="19" t="str">
        <f t="shared" si="0"/>
        <v>Ambos</v>
      </c>
      <c r="G50" s="12"/>
      <c r="H50" s="11"/>
    </row>
    <row r="51" spans="1:8" ht="24.95" customHeight="1" x14ac:dyDescent="0.25">
      <c r="A51" s="18"/>
      <c r="B51" s="18"/>
      <c r="C51" s="18" t="s">
        <v>140</v>
      </c>
      <c r="D51" s="18" t="s">
        <v>123</v>
      </c>
      <c r="E51" s="18" t="s">
        <v>123</v>
      </c>
      <c r="F51" s="19" t="str">
        <f t="shared" si="0"/>
        <v>Ambos</v>
      </c>
      <c r="G51" s="12"/>
      <c r="H51" s="11"/>
    </row>
    <row r="52" spans="1:8" ht="24.95" customHeight="1" x14ac:dyDescent="0.25">
      <c r="A52" s="18"/>
      <c r="B52" s="18"/>
      <c r="C52" s="18" t="s">
        <v>188</v>
      </c>
      <c r="D52" s="18" t="s">
        <v>123</v>
      </c>
      <c r="E52" s="18" t="s">
        <v>122</v>
      </c>
      <c r="F52" s="19" t="str">
        <f t="shared" si="0"/>
        <v>Técnico</v>
      </c>
      <c r="G52" s="12"/>
      <c r="H52" s="11"/>
    </row>
    <row r="53" spans="1:8" ht="24.95" customHeight="1" x14ac:dyDescent="0.25">
      <c r="A53" s="18"/>
      <c r="B53" s="18"/>
      <c r="C53" s="18" t="s">
        <v>161</v>
      </c>
      <c r="D53" s="18" t="s">
        <v>123</v>
      </c>
      <c r="E53" s="18" t="s">
        <v>122</v>
      </c>
      <c r="F53" s="19" t="str">
        <f t="shared" si="0"/>
        <v>Técnico</v>
      </c>
      <c r="G53" s="12"/>
      <c r="H53" s="11"/>
    </row>
    <row r="54" spans="1:8" ht="24.95" customHeight="1" x14ac:dyDescent="0.25">
      <c r="A54" s="18"/>
      <c r="B54" s="18"/>
      <c r="C54" s="18" t="s">
        <v>176</v>
      </c>
      <c r="D54" s="18" t="s">
        <v>122</v>
      </c>
      <c r="E54" s="18" t="s">
        <v>122</v>
      </c>
      <c r="F54" s="19" t="str">
        <f t="shared" si="0"/>
        <v/>
      </c>
      <c r="G54" s="12"/>
      <c r="H54" s="11"/>
    </row>
    <row r="55" spans="1:8" ht="24.95" customHeight="1" x14ac:dyDescent="0.25">
      <c r="A55" s="18"/>
      <c r="B55" s="18"/>
      <c r="C55" s="18" t="s">
        <v>176</v>
      </c>
      <c r="D55" s="18" t="s">
        <v>122</v>
      </c>
      <c r="E55" s="18" t="s">
        <v>122</v>
      </c>
      <c r="F55" s="19" t="str">
        <f t="shared" si="0"/>
        <v/>
      </c>
      <c r="G55" s="12"/>
      <c r="H55" s="11"/>
    </row>
    <row r="56" spans="1:8" ht="24.95" customHeight="1" x14ac:dyDescent="0.25">
      <c r="A56" s="18"/>
      <c r="B56" s="18"/>
      <c r="C56" s="18" t="s">
        <v>156</v>
      </c>
      <c r="D56" s="18" t="s">
        <v>123</v>
      </c>
      <c r="E56" s="18" t="s">
        <v>123</v>
      </c>
      <c r="F56" s="19" t="str">
        <f t="shared" si="0"/>
        <v>Ambos</v>
      </c>
      <c r="G56" s="12"/>
      <c r="H56" s="11"/>
    </row>
    <row r="57" spans="1:8" ht="24.95" customHeight="1" x14ac:dyDescent="0.25">
      <c r="A57" s="18"/>
      <c r="B57" s="18"/>
      <c r="C57" s="18" t="s">
        <v>176</v>
      </c>
      <c r="D57" s="18" t="s">
        <v>122</v>
      </c>
      <c r="E57" s="18" t="s">
        <v>122</v>
      </c>
      <c r="F57" s="19" t="str">
        <f t="shared" si="0"/>
        <v/>
      </c>
      <c r="G57" s="12"/>
      <c r="H57" s="11"/>
    </row>
    <row r="58" spans="1:8" ht="24.95" customHeight="1" x14ac:dyDescent="0.25">
      <c r="A58" s="18"/>
      <c r="B58" s="18"/>
      <c r="C58" s="18" t="s">
        <v>176</v>
      </c>
      <c r="D58" s="18" t="s">
        <v>122</v>
      </c>
      <c r="E58" s="18" t="s">
        <v>122</v>
      </c>
      <c r="F58" s="19" t="str">
        <f t="shared" si="0"/>
        <v/>
      </c>
      <c r="G58" s="12"/>
      <c r="H58" s="11"/>
    </row>
    <row r="59" spans="1:8" ht="24.95" customHeight="1" x14ac:dyDescent="0.25">
      <c r="A59" s="18"/>
      <c r="B59" s="18"/>
      <c r="C59" s="18" t="s">
        <v>176</v>
      </c>
      <c r="D59" s="18" t="s">
        <v>122</v>
      </c>
      <c r="E59" s="18" t="s">
        <v>122</v>
      </c>
      <c r="F59" s="19" t="str">
        <f t="shared" si="0"/>
        <v/>
      </c>
      <c r="G59" s="12"/>
      <c r="H59" s="11"/>
    </row>
    <row r="60" spans="1:8" ht="24.95" customHeight="1" x14ac:dyDescent="0.25">
      <c r="A60" s="18"/>
      <c r="B60" s="18"/>
      <c r="C60" s="18" t="s">
        <v>176</v>
      </c>
      <c r="D60" s="18" t="s">
        <v>122</v>
      </c>
      <c r="E60" s="18" t="s">
        <v>122</v>
      </c>
      <c r="F60" s="19" t="str">
        <f t="shared" si="0"/>
        <v/>
      </c>
      <c r="G60" s="12"/>
      <c r="H60" s="11"/>
    </row>
    <row r="61" spans="1:8" ht="24.95" customHeight="1" x14ac:dyDescent="0.25">
      <c r="A61" s="18"/>
      <c r="B61" s="18"/>
      <c r="C61" s="18" t="s">
        <v>140</v>
      </c>
      <c r="D61" s="18" t="s">
        <v>123</v>
      </c>
      <c r="E61" s="18" t="s">
        <v>123</v>
      </c>
      <c r="F61" s="19" t="str">
        <f t="shared" si="0"/>
        <v>Ambos</v>
      </c>
      <c r="G61" s="12"/>
      <c r="H61" s="11"/>
    </row>
    <row r="62" spans="1:8" ht="24.95" customHeight="1" x14ac:dyDescent="0.25">
      <c r="A62" s="18"/>
      <c r="B62" s="18"/>
      <c r="C62" s="18" t="s">
        <v>161</v>
      </c>
      <c r="D62" s="18" t="s">
        <v>123</v>
      </c>
      <c r="E62" s="18" t="s">
        <v>123</v>
      </c>
      <c r="F62" s="19" t="str">
        <f t="shared" si="0"/>
        <v>Ambos</v>
      </c>
      <c r="G62" s="12"/>
      <c r="H62" s="11"/>
    </row>
    <row r="63" spans="1:8" ht="24.95" customHeight="1" x14ac:dyDescent="0.25">
      <c r="A63" s="18"/>
      <c r="B63" s="18"/>
      <c r="C63" s="18" t="s">
        <v>313</v>
      </c>
      <c r="D63" s="18" t="s">
        <v>122</v>
      </c>
      <c r="E63" s="18" t="s">
        <v>122</v>
      </c>
      <c r="F63" s="19" t="str">
        <f t="shared" si="0"/>
        <v/>
      </c>
      <c r="G63" s="12"/>
      <c r="H63" s="11"/>
    </row>
    <row r="64" spans="1:8" ht="24.95" customHeight="1" x14ac:dyDescent="0.25">
      <c r="A64" s="12"/>
      <c r="B64" s="12"/>
      <c r="C64" s="12" t="s">
        <v>188</v>
      </c>
      <c r="D64" s="12" t="s">
        <v>123</v>
      </c>
      <c r="E64" s="12" t="s">
        <v>123</v>
      </c>
      <c r="F64" s="19" t="str">
        <f t="shared" si="0"/>
        <v>Ambos</v>
      </c>
      <c r="G64" s="12"/>
      <c r="H64" s="11"/>
    </row>
    <row r="65" spans="1:8" ht="24.95" customHeight="1" x14ac:dyDescent="0.25">
      <c r="A65" s="12"/>
      <c r="B65" s="12"/>
      <c r="C65" s="12" t="s">
        <v>156</v>
      </c>
      <c r="D65" s="12" t="s">
        <v>122</v>
      </c>
      <c r="E65" s="12" t="s">
        <v>123</v>
      </c>
      <c r="F65" s="19" t="str">
        <f t="shared" si="0"/>
        <v>REP</v>
      </c>
      <c r="G65" s="12"/>
      <c r="H65" s="11"/>
    </row>
    <row r="66" spans="1:8" ht="24.95" customHeight="1" x14ac:dyDescent="0.25">
      <c r="A66" s="12"/>
      <c r="B66" s="12"/>
      <c r="C66" s="12" t="s">
        <v>188</v>
      </c>
      <c r="D66" s="12" t="s">
        <v>123</v>
      </c>
      <c r="E66" s="12" t="s">
        <v>123</v>
      </c>
      <c r="F66" s="19" t="str">
        <f t="shared" si="0"/>
        <v>Ambos</v>
      </c>
      <c r="G66" s="12"/>
      <c r="H66" s="11"/>
    </row>
    <row r="67" spans="1:8" ht="24.95" customHeight="1" x14ac:dyDescent="0.25">
      <c r="A67" s="12"/>
      <c r="B67" s="12"/>
      <c r="C67" s="12" t="s">
        <v>156</v>
      </c>
      <c r="D67" s="12" t="s">
        <v>122</v>
      </c>
      <c r="E67" s="12" t="s">
        <v>123</v>
      </c>
      <c r="F67" s="19" t="str">
        <f t="shared" ref="F67:F130" si="7">IFERROR(IF(AND(D67="Não",E67="Sim"),"REP",
IF(AND(D67="Sim",E67="Não"),"Técnico",
IF(AND(D67="Sim",E67="Sim"),"Ambos",""))),"")</f>
        <v>REP</v>
      </c>
      <c r="G67" s="12"/>
      <c r="H67" s="11"/>
    </row>
    <row r="68" spans="1:8" ht="24.95" customHeight="1" x14ac:dyDescent="0.25">
      <c r="A68" s="12"/>
      <c r="B68" s="12"/>
      <c r="C68" s="12" t="s">
        <v>188</v>
      </c>
      <c r="D68" s="12" t="s">
        <v>122</v>
      </c>
      <c r="E68" s="12" t="s">
        <v>122</v>
      </c>
      <c r="F68" s="19" t="str">
        <f t="shared" si="7"/>
        <v/>
      </c>
      <c r="G68" s="12"/>
      <c r="H68" s="11"/>
    </row>
    <row r="69" spans="1:8" ht="24.95" customHeight="1" x14ac:dyDescent="0.25">
      <c r="A69" s="12"/>
      <c r="B69" s="12"/>
      <c r="C69" s="12" t="s">
        <v>156</v>
      </c>
      <c r="D69" s="12" t="s">
        <v>122</v>
      </c>
      <c r="E69" s="12" t="s">
        <v>122</v>
      </c>
      <c r="F69" s="19" t="str">
        <f t="shared" si="7"/>
        <v/>
      </c>
      <c r="G69" s="12"/>
      <c r="H69" s="11"/>
    </row>
    <row r="70" spans="1:8" ht="24.95" customHeight="1" x14ac:dyDescent="0.25">
      <c r="A70" s="12"/>
      <c r="B70" s="12"/>
      <c r="C70" s="12" t="s">
        <v>161</v>
      </c>
      <c r="D70" s="12" t="s">
        <v>123</v>
      </c>
      <c r="E70" s="12" t="s">
        <v>123</v>
      </c>
      <c r="F70" s="19" t="str">
        <f t="shared" si="7"/>
        <v>Ambos</v>
      </c>
      <c r="G70" s="12"/>
      <c r="H70" s="11"/>
    </row>
    <row r="71" spans="1:8" ht="24.95" customHeight="1" x14ac:dyDescent="0.25">
      <c r="A71" s="12"/>
      <c r="B71" s="12"/>
      <c r="C71" s="12" t="s">
        <v>161</v>
      </c>
      <c r="D71" s="12" t="s">
        <v>123</v>
      </c>
      <c r="E71" s="12" t="s">
        <v>123</v>
      </c>
      <c r="F71" s="19" t="str">
        <f t="shared" si="7"/>
        <v>Ambos</v>
      </c>
      <c r="G71" s="12"/>
      <c r="H71" s="11"/>
    </row>
    <row r="72" spans="1:8" ht="24.95" customHeight="1" x14ac:dyDescent="0.25">
      <c r="A72" s="12"/>
      <c r="B72" s="12"/>
      <c r="C72" s="12" t="s">
        <v>283</v>
      </c>
      <c r="D72" s="12" t="s">
        <v>123</v>
      </c>
      <c r="E72" s="12" t="s">
        <v>123</v>
      </c>
      <c r="F72" s="19" t="str">
        <f t="shared" si="7"/>
        <v>Ambos</v>
      </c>
      <c r="G72" s="12"/>
      <c r="H72" s="11"/>
    </row>
    <row r="73" spans="1:8" ht="24.95" customHeight="1" x14ac:dyDescent="0.25">
      <c r="A73" s="12"/>
      <c r="B73" s="12"/>
      <c r="C73" s="12" t="s">
        <v>188</v>
      </c>
      <c r="D73" s="12" t="s">
        <v>123</v>
      </c>
      <c r="E73" s="12" t="s">
        <v>123</v>
      </c>
      <c r="F73" s="19" t="str">
        <f t="shared" si="7"/>
        <v>Ambos</v>
      </c>
      <c r="G73" s="12"/>
      <c r="H73" s="11"/>
    </row>
    <row r="74" spans="1:8" ht="24.95" customHeight="1" x14ac:dyDescent="0.25">
      <c r="A74" s="12"/>
      <c r="B74" s="12"/>
      <c r="C74" s="12" t="s">
        <v>156</v>
      </c>
      <c r="D74" s="12" t="s">
        <v>123</v>
      </c>
      <c r="E74" s="12" t="s">
        <v>123</v>
      </c>
      <c r="F74" s="19" t="str">
        <f t="shared" si="7"/>
        <v>Ambos</v>
      </c>
      <c r="G74" s="12"/>
      <c r="H74" s="11"/>
    </row>
    <row r="75" spans="1:8" ht="24.95" customHeight="1" x14ac:dyDescent="0.25">
      <c r="A75" s="12"/>
      <c r="B75" s="12"/>
      <c r="C75" s="12" t="s">
        <v>156</v>
      </c>
      <c r="D75" s="12" t="s">
        <v>123</v>
      </c>
      <c r="E75" s="12" t="s">
        <v>123</v>
      </c>
      <c r="F75" s="19" t="str">
        <f t="shared" si="7"/>
        <v>Ambos</v>
      </c>
      <c r="G75" s="12"/>
      <c r="H75" s="11"/>
    </row>
    <row r="76" spans="1:8" ht="24.95" customHeight="1" x14ac:dyDescent="0.25">
      <c r="A76" s="12"/>
      <c r="B76" s="12"/>
      <c r="C76" s="12" t="s">
        <v>156</v>
      </c>
      <c r="D76" s="12" t="s">
        <v>123</v>
      </c>
      <c r="E76" s="12" t="s">
        <v>123</v>
      </c>
      <c r="F76" s="19" t="str">
        <f t="shared" si="7"/>
        <v>Ambos</v>
      </c>
      <c r="G76" s="12"/>
      <c r="H76" s="11"/>
    </row>
    <row r="77" spans="1:8" ht="24.95" customHeight="1" x14ac:dyDescent="0.25">
      <c r="A77" s="12"/>
      <c r="B77" s="12"/>
      <c r="C77" s="12" t="s">
        <v>156</v>
      </c>
      <c r="D77" s="12" t="s">
        <v>123</v>
      </c>
      <c r="E77" s="12" t="s">
        <v>123</v>
      </c>
      <c r="F77" s="19" t="str">
        <f t="shared" si="7"/>
        <v>Ambos</v>
      </c>
      <c r="G77" s="12"/>
      <c r="H77" s="11"/>
    </row>
    <row r="78" spans="1:8" ht="24.95" customHeight="1" x14ac:dyDescent="0.25">
      <c r="A78" s="12"/>
      <c r="B78" s="12"/>
      <c r="C78" s="12" t="s">
        <v>156</v>
      </c>
      <c r="D78" s="12" t="s">
        <v>123</v>
      </c>
      <c r="E78" s="12" t="s">
        <v>123</v>
      </c>
      <c r="F78" s="19" t="str">
        <f t="shared" si="7"/>
        <v>Ambos</v>
      </c>
      <c r="G78" s="12"/>
      <c r="H78" s="11"/>
    </row>
    <row r="79" spans="1:8" ht="24.95" customHeight="1" x14ac:dyDescent="0.25">
      <c r="A79" s="12"/>
      <c r="B79" s="12"/>
      <c r="C79" s="12" t="s">
        <v>156</v>
      </c>
      <c r="D79" s="12" t="s">
        <v>123</v>
      </c>
      <c r="E79" s="12" t="s">
        <v>123</v>
      </c>
      <c r="F79" s="19" t="str">
        <f t="shared" si="7"/>
        <v>Ambos</v>
      </c>
      <c r="G79" s="12"/>
      <c r="H79" s="11"/>
    </row>
    <row r="80" spans="1:8" ht="24.95" customHeight="1" x14ac:dyDescent="0.25">
      <c r="A80" s="12"/>
      <c r="B80" s="12"/>
      <c r="C80" s="12" t="s">
        <v>156</v>
      </c>
      <c r="D80" s="12" t="s">
        <v>123</v>
      </c>
      <c r="E80" s="12" t="s">
        <v>123</v>
      </c>
      <c r="F80" s="19" t="str">
        <f t="shared" si="7"/>
        <v>Ambos</v>
      </c>
      <c r="G80" s="12"/>
      <c r="H80" s="11"/>
    </row>
    <row r="81" spans="1:8" ht="24.95" customHeight="1" x14ac:dyDescent="0.25">
      <c r="A81" s="12"/>
      <c r="B81" s="12"/>
      <c r="C81" s="12" t="s">
        <v>156</v>
      </c>
      <c r="D81" s="12" t="s">
        <v>123</v>
      </c>
      <c r="E81" s="12" t="s">
        <v>123</v>
      </c>
      <c r="F81" s="19" t="str">
        <f t="shared" si="7"/>
        <v>Ambos</v>
      </c>
      <c r="G81" s="12"/>
      <c r="H81" s="11"/>
    </row>
    <row r="82" spans="1:8" ht="24.95" customHeight="1" x14ac:dyDescent="0.25">
      <c r="A82" s="12"/>
      <c r="B82" s="12"/>
      <c r="C82" s="12" t="s">
        <v>156</v>
      </c>
      <c r="D82" s="12" t="s">
        <v>123</v>
      </c>
      <c r="E82" s="12" t="s">
        <v>123</v>
      </c>
      <c r="F82" s="19" t="str">
        <f t="shared" si="7"/>
        <v>Ambos</v>
      </c>
      <c r="G82" s="12"/>
      <c r="H82" s="11"/>
    </row>
    <row r="83" spans="1:8" ht="24.95" customHeight="1" x14ac:dyDescent="0.25">
      <c r="A83" s="12"/>
      <c r="B83" s="12"/>
      <c r="C83" s="12" t="s">
        <v>156</v>
      </c>
      <c r="D83" s="12" t="s">
        <v>123</v>
      </c>
      <c r="E83" s="12" t="s">
        <v>123</v>
      </c>
      <c r="F83" s="19" t="str">
        <f t="shared" si="7"/>
        <v>Ambos</v>
      </c>
      <c r="G83" s="12"/>
      <c r="H83" s="11"/>
    </row>
    <row r="84" spans="1:8" ht="24.95" customHeight="1" x14ac:dyDescent="0.25">
      <c r="A84" s="12"/>
      <c r="B84" s="12"/>
      <c r="C84" s="12" t="s">
        <v>156</v>
      </c>
      <c r="D84" s="12" t="s">
        <v>123</v>
      </c>
      <c r="E84" s="12" t="s">
        <v>123</v>
      </c>
      <c r="F84" s="19" t="str">
        <f t="shared" si="7"/>
        <v>Ambos</v>
      </c>
      <c r="G84" s="12"/>
      <c r="H84" s="11"/>
    </row>
    <row r="85" spans="1:8" ht="24.95" customHeight="1" x14ac:dyDescent="0.25">
      <c r="A85" s="12"/>
      <c r="B85" s="12"/>
      <c r="C85" s="12" t="s">
        <v>156</v>
      </c>
      <c r="D85" s="12" t="s">
        <v>123</v>
      </c>
      <c r="E85" s="12" t="s">
        <v>123</v>
      </c>
      <c r="F85" s="19" t="str">
        <f t="shared" si="7"/>
        <v>Ambos</v>
      </c>
      <c r="G85" s="12"/>
      <c r="H85" s="11"/>
    </row>
    <row r="86" spans="1:8" ht="24.95" customHeight="1" x14ac:dyDescent="0.25">
      <c r="A86" s="12"/>
      <c r="B86" s="12"/>
      <c r="C86" s="12" t="s">
        <v>140</v>
      </c>
      <c r="D86" s="12" t="s">
        <v>122</v>
      </c>
      <c r="E86" s="12" t="s">
        <v>122</v>
      </c>
      <c r="F86" s="19" t="str">
        <f t="shared" si="7"/>
        <v/>
      </c>
      <c r="G86" s="12"/>
      <c r="H86" s="11"/>
    </row>
    <row r="87" spans="1:8" ht="24.95" customHeight="1" x14ac:dyDescent="0.25">
      <c r="A87" s="12"/>
      <c r="B87" s="12"/>
      <c r="C87" s="12" t="s">
        <v>188</v>
      </c>
      <c r="D87" s="12" t="s">
        <v>122</v>
      </c>
      <c r="E87" s="12" t="s">
        <v>122</v>
      </c>
      <c r="F87" s="19" t="str">
        <f t="shared" si="7"/>
        <v/>
      </c>
      <c r="G87" s="12"/>
      <c r="H87" s="11"/>
    </row>
    <row r="88" spans="1:8" ht="24.95" customHeight="1" x14ac:dyDescent="0.25">
      <c r="A88" s="12"/>
      <c r="B88" s="12"/>
      <c r="C88" s="12" t="s">
        <v>161</v>
      </c>
      <c r="D88" s="12" t="s">
        <v>123</v>
      </c>
      <c r="E88" s="12" t="s">
        <v>122</v>
      </c>
      <c r="F88" s="19" t="str">
        <f t="shared" si="7"/>
        <v>Técnico</v>
      </c>
      <c r="G88" s="12"/>
      <c r="H88" s="11"/>
    </row>
    <row r="89" spans="1:8" ht="24.95" customHeight="1" x14ac:dyDescent="0.25">
      <c r="A89" s="12"/>
      <c r="B89" s="12"/>
      <c r="C89" s="12" t="s">
        <v>176</v>
      </c>
      <c r="D89" s="12" t="s">
        <v>122</v>
      </c>
      <c r="E89" s="12" t="s">
        <v>123</v>
      </c>
      <c r="F89" s="19" t="str">
        <f t="shared" si="7"/>
        <v>REP</v>
      </c>
      <c r="G89" s="12"/>
      <c r="H89" s="11"/>
    </row>
    <row r="90" spans="1:8" ht="24.95" customHeight="1" x14ac:dyDescent="0.25">
      <c r="A90" s="12"/>
      <c r="B90" s="12"/>
      <c r="C90" s="12" t="s">
        <v>176</v>
      </c>
      <c r="D90" s="12" t="s">
        <v>122</v>
      </c>
      <c r="E90" s="12" t="s">
        <v>123</v>
      </c>
      <c r="F90" s="19" t="str">
        <f t="shared" si="7"/>
        <v>REP</v>
      </c>
      <c r="G90" s="12"/>
      <c r="H90" s="11"/>
    </row>
    <row r="91" spans="1:8" ht="24.95" customHeight="1" x14ac:dyDescent="0.25">
      <c r="A91" s="12"/>
      <c r="B91" s="12"/>
      <c r="C91" s="12" t="s">
        <v>140</v>
      </c>
      <c r="D91" s="12" t="s">
        <v>122</v>
      </c>
      <c r="E91" s="12" t="s">
        <v>122</v>
      </c>
      <c r="F91" s="19" t="str">
        <f t="shared" si="7"/>
        <v/>
      </c>
      <c r="G91" s="12"/>
      <c r="H91" s="11"/>
    </row>
    <row r="92" spans="1:8" ht="24.95" customHeight="1" x14ac:dyDescent="0.25">
      <c r="A92" s="12"/>
      <c r="B92" s="12"/>
      <c r="C92" s="12" t="s">
        <v>140</v>
      </c>
      <c r="D92" s="12" t="s">
        <v>122</v>
      </c>
      <c r="E92" s="12" t="s">
        <v>122</v>
      </c>
      <c r="F92" s="19" t="str">
        <f t="shared" si="7"/>
        <v/>
      </c>
      <c r="G92" s="12"/>
      <c r="H92" s="11"/>
    </row>
    <row r="93" spans="1:8" ht="24.95" customHeight="1" x14ac:dyDescent="0.25">
      <c r="A93" s="12"/>
      <c r="B93" s="12"/>
      <c r="C93" s="12" t="s">
        <v>140</v>
      </c>
      <c r="D93" s="12" t="s">
        <v>123</v>
      </c>
      <c r="E93" s="12" t="s">
        <v>123</v>
      </c>
      <c r="F93" s="19" t="str">
        <f t="shared" si="7"/>
        <v>Ambos</v>
      </c>
      <c r="G93" s="12"/>
      <c r="H93" s="11"/>
    </row>
    <row r="94" spans="1:8" ht="24.95" customHeight="1" x14ac:dyDescent="0.25">
      <c r="A94" s="12"/>
      <c r="B94" s="12"/>
      <c r="C94" s="12" t="s">
        <v>140</v>
      </c>
      <c r="D94" s="12" t="s">
        <v>122</v>
      </c>
      <c r="E94" s="12" t="s">
        <v>122</v>
      </c>
      <c r="F94" s="19" t="str">
        <f t="shared" si="7"/>
        <v/>
      </c>
      <c r="G94" s="12"/>
      <c r="H94" s="11"/>
    </row>
    <row r="95" spans="1:8" ht="24.95" customHeight="1" x14ac:dyDescent="0.25">
      <c r="A95" s="12"/>
      <c r="B95" s="12"/>
      <c r="C95" s="12" t="s">
        <v>140</v>
      </c>
      <c r="D95" s="12" t="s">
        <v>122</v>
      </c>
      <c r="E95" s="12" t="s">
        <v>122</v>
      </c>
      <c r="F95" s="19" t="str">
        <f t="shared" si="7"/>
        <v/>
      </c>
      <c r="G95" s="12"/>
      <c r="H95" s="11"/>
    </row>
    <row r="96" spans="1:8" ht="24.95" customHeight="1" x14ac:dyDescent="0.25">
      <c r="A96" s="12"/>
      <c r="B96" s="12"/>
      <c r="C96" s="12" t="s">
        <v>176</v>
      </c>
      <c r="D96" s="12" t="s">
        <v>122</v>
      </c>
      <c r="E96" s="12" t="s">
        <v>122</v>
      </c>
      <c r="F96" s="19" t="str">
        <f t="shared" si="7"/>
        <v/>
      </c>
      <c r="G96" s="12"/>
      <c r="H96" s="11"/>
    </row>
    <row r="97" spans="1:8" ht="24.95" customHeight="1" x14ac:dyDescent="0.25">
      <c r="A97" s="12"/>
      <c r="B97" s="12"/>
      <c r="C97" s="12" t="s">
        <v>140</v>
      </c>
      <c r="D97" s="12" t="s">
        <v>123</v>
      </c>
      <c r="E97" s="12" t="s">
        <v>123</v>
      </c>
      <c r="F97" s="19" t="str">
        <f t="shared" si="7"/>
        <v>Ambos</v>
      </c>
      <c r="G97" s="12"/>
      <c r="H97" s="11"/>
    </row>
    <row r="98" spans="1:8" ht="24.95" customHeight="1" x14ac:dyDescent="0.25">
      <c r="A98" s="12"/>
      <c r="B98" s="12"/>
      <c r="C98" s="12" t="s">
        <v>140</v>
      </c>
      <c r="D98" s="12" t="s">
        <v>123</v>
      </c>
      <c r="E98" s="12" t="s">
        <v>123</v>
      </c>
      <c r="F98" s="19" t="str">
        <f t="shared" si="7"/>
        <v>Ambos</v>
      </c>
      <c r="G98" s="12"/>
      <c r="H98" s="11"/>
    </row>
    <row r="99" spans="1:8" ht="24.95" customHeight="1" x14ac:dyDescent="0.25">
      <c r="A99" s="12"/>
      <c r="B99" s="12"/>
      <c r="C99" s="12" t="s">
        <v>140</v>
      </c>
      <c r="D99" s="12" t="s">
        <v>123</v>
      </c>
      <c r="E99" s="12" t="s">
        <v>123</v>
      </c>
      <c r="F99" s="19" t="str">
        <f t="shared" si="7"/>
        <v>Ambos</v>
      </c>
      <c r="G99" s="12"/>
      <c r="H99" s="11"/>
    </row>
    <row r="100" spans="1:8" ht="24.95" customHeight="1" x14ac:dyDescent="0.25">
      <c r="A100" s="12"/>
      <c r="B100" s="12"/>
      <c r="C100" s="12" t="s">
        <v>140</v>
      </c>
      <c r="D100" s="12" t="s">
        <v>123</v>
      </c>
      <c r="E100" s="12" t="s">
        <v>123</v>
      </c>
      <c r="F100" s="19" t="str">
        <f t="shared" si="7"/>
        <v>Ambos</v>
      </c>
      <c r="G100" s="12"/>
      <c r="H100" s="11"/>
    </row>
    <row r="101" spans="1:8" ht="24.95" customHeight="1" x14ac:dyDescent="0.25">
      <c r="A101" s="12"/>
      <c r="B101" s="12"/>
      <c r="C101" s="12" t="s">
        <v>140</v>
      </c>
      <c r="D101" s="12" t="s">
        <v>123</v>
      </c>
      <c r="E101" s="12" t="s">
        <v>123</v>
      </c>
      <c r="F101" s="19" t="str">
        <f t="shared" si="7"/>
        <v>Ambos</v>
      </c>
      <c r="G101" s="12"/>
      <c r="H101" s="11"/>
    </row>
    <row r="102" spans="1:8" ht="24.95" customHeight="1" x14ac:dyDescent="0.25">
      <c r="A102" s="12"/>
      <c r="B102" s="12"/>
      <c r="C102" s="12" t="s">
        <v>161</v>
      </c>
      <c r="D102" s="12" t="s">
        <v>122</v>
      </c>
      <c r="E102" s="12" t="s">
        <v>122</v>
      </c>
      <c r="F102" s="19" t="str">
        <f t="shared" si="7"/>
        <v/>
      </c>
      <c r="G102" s="12"/>
      <c r="H102" s="11"/>
    </row>
    <row r="103" spans="1:8" ht="24.95" customHeight="1" x14ac:dyDescent="0.25">
      <c r="A103" s="12"/>
      <c r="B103" s="12"/>
      <c r="C103" s="12" t="s">
        <v>140</v>
      </c>
      <c r="D103" s="12" t="s">
        <v>123</v>
      </c>
      <c r="E103" s="12" t="s">
        <v>123</v>
      </c>
      <c r="F103" s="19" t="str">
        <f t="shared" si="7"/>
        <v>Ambos</v>
      </c>
      <c r="G103" s="12"/>
      <c r="H103" s="11"/>
    </row>
    <row r="104" spans="1:8" ht="24.95" customHeight="1" x14ac:dyDescent="0.25">
      <c r="A104" s="12"/>
      <c r="B104" s="12"/>
      <c r="C104" s="12" t="s">
        <v>161</v>
      </c>
      <c r="D104" s="12" t="s">
        <v>123</v>
      </c>
      <c r="E104" s="12" t="s">
        <v>123</v>
      </c>
      <c r="F104" s="19" t="str">
        <f t="shared" si="7"/>
        <v>Ambos</v>
      </c>
      <c r="G104" s="12"/>
      <c r="H104" s="11"/>
    </row>
    <row r="105" spans="1:8" ht="24.95" customHeight="1" x14ac:dyDescent="0.25">
      <c r="A105" s="12"/>
      <c r="B105" s="12"/>
      <c r="C105" s="12" t="s">
        <v>161</v>
      </c>
      <c r="D105" s="12" t="s">
        <v>123</v>
      </c>
      <c r="E105" s="12" t="s">
        <v>123</v>
      </c>
      <c r="F105" s="19" t="str">
        <f t="shared" si="7"/>
        <v>Ambos</v>
      </c>
      <c r="G105" s="12"/>
      <c r="H105" s="11"/>
    </row>
    <row r="106" spans="1:8" ht="24.95" customHeight="1" x14ac:dyDescent="0.25">
      <c r="A106" s="12"/>
      <c r="B106" s="12"/>
      <c r="C106" s="12" t="s">
        <v>140</v>
      </c>
      <c r="D106" s="12" t="s">
        <v>123</v>
      </c>
      <c r="E106" s="12" t="s">
        <v>123</v>
      </c>
      <c r="F106" s="19" t="str">
        <f t="shared" si="7"/>
        <v>Ambos</v>
      </c>
      <c r="G106" s="12"/>
      <c r="H106" s="11"/>
    </row>
    <row r="107" spans="1:8" ht="24.95" customHeight="1" x14ac:dyDescent="0.25">
      <c r="A107" s="12"/>
      <c r="B107" s="12"/>
      <c r="C107" s="12" t="s">
        <v>156</v>
      </c>
      <c r="D107" s="12" t="s">
        <v>122</v>
      </c>
      <c r="E107" s="12" t="s">
        <v>122</v>
      </c>
      <c r="F107" s="19" t="str">
        <f t="shared" si="7"/>
        <v/>
      </c>
      <c r="G107" s="12"/>
      <c r="H107" s="11"/>
    </row>
    <row r="108" spans="1:8" ht="24.95" customHeight="1" x14ac:dyDescent="0.25">
      <c r="A108" s="12"/>
      <c r="B108" s="12"/>
      <c r="C108" s="12" t="s">
        <v>176</v>
      </c>
      <c r="D108" s="12" t="s">
        <v>122</v>
      </c>
      <c r="E108" s="12" t="s">
        <v>122</v>
      </c>
      <c r="F108" s="19" t="str">
        <f t="shared" si="7"/>
        <v/>
      </c>
      <c r="G108" s="12"/>
      <c r="H108" s="11"/>
    </row>
    <row r="109" spans="1:8" ht="24.95" customHeight="1" x14ac:dyDescent="0.25">
      <c r="A109" s="12"/>
      <c r="B109" s="12"/>
      <c r="C109" s="12" t="s">
        <v>161</v>
      </c>
      <c r="D109" s="12" t="s">
        <v>123</v>
      </c>
      <c r="E109" s="12" t="s">
        <v>123</v>
      </c>
      <c r="F109" s="19" t="str">
        <f t="shared" si="7"/>
        <v>Ambos</v>
      </c>
      <c r="G109" s="12"/>
      <c r="H109" s="11"/>
    </row>
    <row r="110" spans="1:8" ht="24.95" customHeight="1" x14ac:dyDescent="0.25">
      <c r="A110" s="12"/>
      <c r="B110" s="12"/>
      <c r="C110" s="12" t="s">
        <v>161</v>
      </c>
      <c r="D110" s="12" t="s">
        <v>123</v>
      </c>
      <c r="E110" s="12" t="s">
        <v>123</v>
      </c>
      <c r="F110" s="19" t="str">
        <f t="shared" si="7"/>
        <v>Ambos</v>
      </c>
      <c r="G110" s="12"/>
      <c r="H110" s="11"/>
    </row>
    <row r="111" spans="1:8" ht="24.95" customHeight="1" x14ac:dyDescent="0.25">
      <c r="A111" s="12"/>
      <c r="B111" s="12"/>
      <c r="C111" s="12" t="s">
        <v>176</v>
      </c>
      <c r="D111" s="12" t="s">
        <v>122</v>
      </c>
      <c r="E111" s="12" t="s">
        <v>122</v>
      </c>
      <c r="F111" s="19" t="str">
        <f t="shared" si="7"/>
        <v/>
      </c>
      <c r="G111" s="12"/>
      <c r="H111" s="11"/>
    </row>
    <row r="112" spans="1:8" ht="24.95" customHeight="1" x14ac:dyDescent="0.25">
      <c r="A112" s="12"/>
      <c r="B112" s="12"/>
      <c r="C112" s="12" t="s">
        <v>176</v>
      </c>
      <c r="D112" s="12" t="s">
        <v>122</v>
      </c>
      <c r="E112" s="12" t="s">
        <v>122</v>
      </c>
      <c r="F112" s="19" t="str">
        <f t="shared" si="7"/>
        <v/>
      </c>
      <c r="G112" s="12"/>
      <c r="H112" s="11"/>
    </row>
    <row r="113" spans="1:8" ht="24.95" customHeight="1" x14ac:dyDescent="0.25">
      <c r="A113" s="12"/>
      <c r="B113" s="12"/>
      <c r="C113" s="12" t="s">
        <v>176</v>
      </c>
      <c r="D113" s="12" t="s">
        <v>123</v>
      </c>
      <c r="E113" s="12" t="s">
        <v>122</v>
      </c>
      <c r="F113" s="19" t="str">
        <f t="shared" si="7"/>
        <v>Técnico</v>
      </c>
      <c r="G113" s="12"/>
      <c r="H113" s="11"/>
    </row>
    <row r="114" spans="1:8" ht="24.95" customHeight="1" x14ac:dyDescent="0.25">
      <c r="A114" s="12"/>
      <c r="B114" s="12"/>
      <c r="C114" s="12" t="s">
        <v>176</v>
      </c>
      <c r="D114" s="12" t="s">
        <v>122</v>
      </c>
      <c r="E114" s="12" t="s">
        <v>122</v>
      </c>
      <c r="F114" s="19" t="str">
        <f t="shared" si="7"/>
        <v/>
      </c>
      <c r="G114" s="12"/>
      <c r="H114" s="11"/>
    </row>
    <row r="115" spans="1:8" ht="24.95" customHeight="1" x14ac:dyDescent="0.25">
      <c r="A115" s="12"/>
      <c r="B115" s="12"/>
      <c r="C115" s="12" t="s">
        <v>140</v>
      </c>
      <c r="D115" s="12" t="s">
        <v>123</v>
      </c>
      <c r="E115" s="12" t="s">
        <v>122</v>
      </c>
      <c r="F115" s="19" t="str">
        <f t="shared" si="7"/>
        <v>Técnico</v>
      </c>
      <c r="G115" s="12"/>
      <c r="H115" s="11"/>
    </row>
    <row r="116" spans="1:8" ht="24.95" customHeight="1" x14ac:dyDescent="0.25">
      <c r="A116" s="12"/>
      <c r="B116" s="12"/>
      <c r="C116" s="12" t="s">
        <v>140</v>
      </c>
      <c r="D116" s="12" t="s">
        <v>122</v>
      </c>
      <c r="E116" s="12" t="s">
        <v>122</v>
      </c>
      <c r="F116" s="19" t="str">
        <f t="shared" si="7"/>
        <v/>
      </c>
      <c r="G116" s="12"/>
      <c r="H116" s="11"/>
    </row>
    <row r="117" spans="1:8" ht="24.95" customHeight="1" x14ac:dyDescent="0.25">
      <c r="A117" s="12"/>
      <c r="B117" s="12"/>
      <c r="C117" s="12" t="s">
        <v>188</v>
      </c>
      <c r="D117" s="12" t="s">
        <v>123</v>
      </c>
      <c r="E117" s="12" t="s">
        <v>123</v>
      </c>
      <c r="F117" s="19" t="str">
        <f t="shared" si="7"/>
        <v>Ambos</v>
      </c>
      <c r="G117" s="12"/>
      <c r="H117" s="11"/>
    </row>
    <row r="118" spans="1:8" ht="24.95" customHeight="1" x14ac:dyDescent="0.25">
      <c r="A118" s="12"/>
      <c r="B118" s="12"/>
      <c r="C118" s="12" t="s">
        <v>140</v>
      </c>
      <c r="D118" s="12" t="s">
        <v>122</v>
      </c>
      <c r="E118" s="12" t="s">
        <v>122</v>
      </c>
      <c r="F118" s="19" t="str">
        <f t="shared" si="7"/>
        <v/>
      </c>
      <c r="G118" s="12"/>
      <c r="H118" s="11"/>
    </row>
    <row r="119" spans="1:8" ht="24.95" customHeight="1" x14ac:dyDescent="0.25">
      <c r="A119" s="12"/>
      <c r="B119" s="12"/>
      <c r="C119" s="12" t="s">
        <v>283</v>
      </c>
      <c r="D119" s="12" t="s">
        <v>123</v>
      </c>
      <c r="E119" s="12" t="s">
        <v>123</v>
      </c>
      <c r="F119" s="19" t="str">
        <f t="shared" si="7"/>
        <v>Ambos</v>
      </c>
      <c r="G119" s="12"/>
      <c r="H119" s="11"/>
    </row>
    <row r="120" spans="1:8" ht="24.95" customHeight="1" x14ac:dyDescent="0.25">
      <c r="A120" s="12"/>
      <c r="B120" s="12"/>
      <c r="C120" s="12" t="s">
        <v>188</v>
      </c>
      <c r="D120" s="12" t="s">
        <v>123</v>
      </c>
      <c r="E120" s="12" t="s">
        <v>123</v>
      </c>
      <c r="F120" s="19" t="str">
        <f t="shared" si="7"/>
        <v>Ambos</v>
      </c>
      <c r="G120" s="12"/>
      <c r="H120" s="11"/>
    </row>
    <row r="121" spans="1:8" ht="24.95" customHeight="1" x14ac:dyDescent="0.25">
      <c r="A121" s="12"/>
      <c r="B121" s="12"/>
      <c r="C121" s="12" t="s">
        <v>283</v>
      </c>
      <c r="D121" s="12" t="s">
        <v>122</v>
      </c>
      <c r="E121" s="12" t="s">
        <v>123</v>
      </c>
      <c r="F121" s="19" t="str">
        <f t="shared" si="7"/>
        <v>REP</v>
      </c>
      <c r="G121" s="12"/>
      <c r="H121" s="11"/>
    </row>
    <row r="122" spans="1:8" ht="24.95" customHeight="1" x14ac:dyDescent="0.25">
      <c r="A122" s="12"/>
      <c r="B122" s="12"/>
      <c r="C122" s="12" t="s">
        <v>283</v>
      </c>
      <c r="D122" s="12" t="s">
        <v>123</v>
      </c>
      <c r="E122" s="12" t="s">
        <v>123</v>
      </c>
      <c r="F122" s="19" t="str">
        <f t="shared" si="7"/>
        <v>Ambos</v>
      </c>
      <c r="G122" s="12"/>
      <c r="H122" s="11"/>
    </row>
    <row r="123" spans="1:8" ht="24.95" customHeight="1" x14ac:dyDescent="0.25">
      <c r="A123" s="12"/>
      <c r="B123" s="12"/>
      <c r="C123" s="12" t="s">
        <v>188</v>
      </c>
      <c r="D123" s="12" t="s">
        <v>122</v>
      </c>
      <c r="E123" s="12" t="s">
        <v>123</v>
      </c>
      <c r="F123" s="19" t="str">
        <f t="shared" si="7"/>
        <v>REP</v>
      </c>
      <c r="G123" s="12"/>
      <c r="H123" s="11"/>
    </row>
    <row r="124" spans="1:8" ht="24.95" customHeight="1" x14ac:dyDescent="0.25">
      <c r="A124" s="12"/>
      <c r="B124" s="12"/>
      <c r="C124" s="12" t="s">
        <v>283</v>
      </c>
      <c r="D124" s="12" t="s">
        <v>122</v>
      </c>
      <c r="E124" s="12" t="s">
        <v>123</v>
      </c>
      <c r="F124" s="19" t="str">
        <f t="shared" si="7"/>
        <v>REP</v>
      </c>
      <c r="G124" s="12"/>
      <c r="H124" s="11"/>
    </row>
    <row r="125" spans="1:8" ht="24.95" customHeight="1" x14ac:dyDescent="0.25">
      <c r="A125" s="12"/>
      <c r="B125" s="12"/>
      <c r="C125" s="12" t="s">
        <v>140</v>
      </c>
      <c r="D125" s="12" t="s">
        <v>123</v>
      </c>
      <c r="E125" s="12" t="s">
        <v>122</v>
      </c>
      <c r="F125" s="19" t="str">
        <f t="shared" si="7"/>
        <v>Técnico</v>
      </c>
      <c r="G125" s="12"/>
      <c r="H125" s="11"/>
    </row>
    <row r="126" spans="1:8" ht="24.95" customHeight="1" x14ac:dyDescent="0.25">
      <c r="A126" s="12"/>
      <c r="B126" s="12"/>
      <c r="C126" s="12" t="s">
        <v>140</v>
      </c>
      <c r="D126" s="12" t="s">
        <v>122</v>
      </c>
      <c r="E126" s="12" t="s">
        <v>122</v>
      </c>
      <c r="F126" s="19" t="str">
        <f t="shared" si="7"/>
        <v/>
      </c>
      <c r="G126" s="12"/>
      <c r="H126" s="11"/>
    </row>
    <row r="127" spans="1:8" ht="24.95" customHeight="1" x14ac:dyDescent="0.25">
      <c r="A127" s="12"/>
      <c r="B127" s="12"/>
      <c r="C127" s="12" t="s">
        <v>140</v>
      </c>
      <c r="D127" s="12" t="s">
        <v>122</v>
      </c>
      <c r="E127" s="12" t="s">
        <v>122</v>
      </c>
      <c r="F127" s="19" t="str">
        <f t="shared" si="7"/>
        <v/>
      </c>
      <c r="G127" s="12"/>
      <c r="H127" s="11"/>
    </row>
    <row r="128" spans="1:8" ht="24.95" customHeight="1" x14ac:dyDescent="0.25">
      <c r="A128" s="12"/>
      <c r="B128" s="12"/>
      <c r="C128" s="12" t="s">
        <v>140</v>
      </c>
      <c r="D128" s="12" t="s">
        <v>122</v>
      </c>
      <c r="E128" s="12" t="s">
        <v>122</v>
      </c>
      <c r="F128" s="19" t="str">
        <f t="shared" si="7"/>
        <v/>
      </c>
      <c r="G128" s="12"/>
      <c r="H128" s="11"/>
    </row>
    <row r="129" spans="1:8" ht="24.95" customHeight="1" x14ac:dyDescent="0.25">
      <c r="A129" s="12"/>
      <c r="B129" s="12"/>
      <c r="C129" s="12" t="s">
        <v>313</v>
      </c>
      <c r="D129" s="12" t="s">
        <v>122</v>
      </c>
      <c r="E129" s="12" t="s">
        <v>122</v>
      </c>
      <c r="F129" s="19" t="str">
        <f t="shared" si="7"/>
        <v/>
      </c>
      <c r="G129" s="12"/>
      <c r="H129" s="11"/>
    </row>
    <row r="130" spans="1:8" ht="24.95" customHeight="1" x14ac:dyDescent="0.25">
      <c r="A130" s="12"/>
      <c r="B130" s="12"/>
      <c r="C130" s="12" t="s">
        <v>140</v>
      </c>
      <c r="D130" s="12" t="s">
        <v>123</v>
      </c>
      <c r="E130" s="12" t="s">
        <v>122</v>
      </c>
      <c r="F130" s="19" t="str">
        <f t="shared" si="7"/>
        <v>Técnico</v>
      </c>
      <c r="G130" s="12"/>
      <c r="H130" s="11"/>
    </row>
    <row r="131" spans="1:8" ht="24.95" customHeight="1" x14ac:dyDescent="0.25">
      <c r="A131" s="12"/>
      <c r="B131" s="12"/>
      <c r="C131" s="12" t="s">
        <v>156</v>
      </c>
      <c r="D131" s="12" t="s">
        <v>122</v>
      </c>
      <c r="E131" s="12" t="s">
        <v>122</v>
      </c>
      <c r="F131" s="19" t="str">
        <f t="shared" ref="F131:F194" si="8">IFERROR(IF(AND(D131="Não",E131="Sim"),"REP",
IF(AND(D131="Sim",E131="Não"),"Técnico",
IF(AND(D131="Sim",E131="Sim"),"Ambos",""))),"")</f>
        <v/>
      </c>
      <c r="G131" s="12"/>
      <c r="H131" s="11"/>
    </row>
    <row r="132" spans="1:8" ht="24.95" customHeight="1" x14ac:dyDescent="0.25">
      <c r="A132" s="12"/>
      <c r="B132" s="12"/>
      <c r="C132" s="12" t="s">
        <v>161</v>
      </c>
      <c r="D132" s="12" t="s">
        <v>123</v>
      </c>
      <c r="E132" s="12" t="s">
        <v>122</v>
      </c>
      <c r="F132" s="19" t="str">
        <f t="shared" si="8"/>
        <v>Técnico</v>
      </c>
      <c r="G132" s="12"/>
      <c r="H132" s="11"/>
    </row>
    <row r="133" spans="1:8" ht="24.95" customHeight="1" x14ac:dyDescent="0.25">
      <c r="A133" s="12"/>
      <c r="B133" s="12"/>
      <c r="C133" s="12" t="s">
        <v>156</v>
      </c>
      <c r="D133" s="12" t="s">
        <v>122</v>
      </c>
      <c r="E133" s="12" t="s">
        <v>122</v>
      </c>
      <c r="F133" s="19" t="str">
        <f t="shared" si="8"/>
        <v/>
      </c>
      <c r="G133" s="12"/>
      <c r="H133" s="11"/>
    </row>
    <row r="134" spans="1:8" ht="24.95" customHeight="1" x14ac:dyDescent="0.25">
      <c r="A134" s="12"/>
      <c r="B134" s="12"/>
      <c r="C134" s="12" t="s">
        <v>161</v>
      </c>
      <c r="D134" s="12" t="s">
        <v>123</v>
      </c>
      <c r="E134" s="12" t="s">
        <v>122</v>
      </c>
      <c r="F134" s="19" t="str">
        <f t="shared" si="8"/>
        <v>Técnico</v>
      </c>
      <c r="G134" s="12"/>
      <c r="H134" s="11"/>
    </row>
    <row r="135" spans="1:8" ht="24.95" customHeight="1" x14ac:dyDescent="0.25">
      <c r="A135" s="12"/>
      <c r="B135" s="12"/>
      <c r="C135" s="12" t="s">
        <v>156</v>
      </c>
      <c r="D135" s="12" t="s">
        <v>122</v>
      </c>
      <c r="E135" s="12" t="s">
        <v>123</v>
      </c>
      <c r="F135" s="19" t="str">
        <f t="shared" si="8"/>
        <v>REP</v>
      </c>
      <c r="G135" s="12"/>
      <c r="H135" s="11"/>
    </row>
    <row r="136" spans="1:8" ht="24.95" customHeight="1" x14ac:dyDescent="0.25">
      <c r="A136" s="12"/>
      <c r="B136" s="12"/>
      <c r="C136" s="12" t="s">
        <v>161</v>
      </c>
      <c r="D136" s="12" t="s">
        <v>123</v>
      </c>
      <c r="E136" s="12" t="s">
        <v>123</v>
      </c>
      <c r="F136" s="19" t="str">
        <f t="shared" si="8"/>
        <v>Ambos</v>
      </c>
      <c r="G136" s="12"/>
      <c r="H136" s="11"/>
    </row>
    <row r="137" spans="1:8" ht="24.95" customHeight="1" x14ac:dyDescent="0.25">
      <c r="A137" s="12"/>
      <c r="B137" s="12"/>
      <c r="C137" s="12" t="s">
        <v>156</v>
      </c>
      <c r="D137" s="12" t="s">
        <v>123</v>
      </c>
      <c r="E137" s="12" t="s">
        <v>122</v>
      </c>
      <c r="F137" s="19" t="str">
        <f t="shared" si="8"/>
        <v>Técnico</v>
      </c>
      <c r="G137" s="12"/>
      <c r="H137" s="11"/>
    </row>
    <row r="138" spans="1:8" ht="24.95" customHeight="1" x14ac:dyDescent="0.25">
      <c r="A138" s="12"/>
      <c r="B138" s="12"/>
      <c r="C138" s="12" t="s">
        <v>156</v>
      </c>
      <c r="D138" s="12" t="s">
        <v>123</v>
      </c>
      <c r="E138" s="12" t="s">
        <v>122</v>
      </c>
      <c r="F138" s="19" t="str">
        <f t="shared" si="8"/>
        <v>Técnico</v>
      </c>
      <c r="G138" s="12"/>
      <c r="H138" s="11"/>
    </row>
    <row r="139" spans="1:8" ht="24.95" customHeight="1" x14ac:dyDescent="0.25">
      <c r="A139" s="12"/>
      <c r="B139" s="12"/>
      <c r="C139" s="12" t="s">
        <v>156</v>
      </c>
      <c r="D139" s="12" t="s">
        <v>123</v>
      </c>
      <c r="E139" s="12" t="s">
        <v>123</v>
      </c>
      <c r="F139" s="19" t="str">
        <f t="shared" si="8"/>
        <v>Ambos</v>
      </c>
      <c r="G139" s="12"/>
      <c r="H139" s="11"/>
    </row>
    <row r="140" spans="1:8" ht="24.95" customHeight="1" x14ac:dyDescent="0.25">
      <c r="A140" s="12"/>
      <c r="B140" s="12"/>
      <c r="C140" s="12" t="s">
        <v>156</v>
      </c>
      <c r="D140" s="12" t="s">
        <v>122</v>
      </c>
      <c r="E140" s="12" t="s">
        <v>122</v>
      </c>
      <c r="F140" s="19" t="str">
        <f t="shared" si="8"/>
        <v/>
      </c>
      <c r="G140" s="12"/>
      <c r="H140" s="11"/>
    </row>
    <row r="141" spans="1:8" ht="24.95" customHeight="1" x14ac:dyDescent="0.25">
      <c r="A141" s="12"/>
      <c r="B141" s="12"/>
      <c r="C141" s="12" t="s">
        <v>188</v>
      </c>
      <c r="D141" s="12" t="s">
        <v>123</v>
      </c>
      <c r="E141" s="12" t="s">
        <v>123</v>
      </c>
      <c r="F141" s="19" t="str">
        <f t="shared" si="8"/>
        <v>Ambos</v>
      </c>
      <c r="G141" s="12"/>
      <c r="H141" s="11"/>
    </row>
    <row r="142" spans="1:8" ht="24.95" customHeight="1" x14ac:dyDescent="0.25">
      <c r="A142" s="12"/>
      <c r="B142" s="12"/>
      <c r="C142" s="12" t="s">
        <v>188</v>
      </c>
      <c r="D142" s="12" t="s">
        <v>123</v>
      </c>
      <c r="E142" s="12" t="s">
        <v>123</v>
      </c>
      <c r="F142" s="19" t="str">
        <f t="shared" si="8"/>
        <v>Ambos</v>
      </c>
      <c r="G142" s="12"/>
      <c r="H142" s="11"/>
    </row>
    <row r="143" spans="1:8" ht="24.95" customHeight="1" x14ac:dyDescent="0.25">
      <c r="A143" s="12"/>
      <c r="B143" s="12"/>
      <c r="C143" s="12" t="s">
        <v>188</v>
      </c>
      <c r="D143" s="12" t="s">
        <v>123</v>
      </c>
      <c r="E143" s="12" t="s">
        <v>123</v>
      </c>
      <c r="F143" s="19" t="str">
        <f t="shared" si="8"/>
        <v>Ambos</v>
      </c>
      <c r="G143" s="12"/>
      <c r="H143" s="11"/>
    </row>
    <row r="144" spans="1:8" ht="24.95" customHeight="1" x14ac:dyDescent="0.25">
      <c r="A144" s="12"/>
      <c r="B144" s="12"/>
      <c r="C144" s="12" t="s">
        <v>140</v>
      </c>
      <c r="D144" s="12" t="s">
        <v>123</v>
      </c>
      <c r="E144" s="12" t="s">
        <v>123</v>
      </c>
      <c r="F144" s="19" t="str">
        <f t="shared" si="8"/>
        <v>Ambos</v>
      </c>
      <c r="G144" s="12"/>
      <c r="H144" s="11"/>
    </row>
    <row r="145" spans="1:8" ht="24.95" customHeight="1" x14ac:dyDescent="0.25">
      <c r="A145" s="12"/>
      <c r="B145" s="12"/>
      <c r="C145" s="12" t="s">
        <v>161</v>
      </c>
      <c r="D145" s="12" t="s">
        <v>123</v>
      </c>
      <c r="E145" s="12" t="s">
        <v>123</v>
      </c>
      <c r="F145" s="19" t="str">
        <f t="shared" si="8"/>
        <v>Ambos</v>
      </c>
      <c r="G145" s="12"/>
      <c r="H145" s="11"/>
    </row>
    <row r="146" spans="1:8" ht="24.95" customHeight="1" x14ac:dyDescent="0.25">
      <c r="A146" s="12"/>
      <c r="B146" s="12"/>
      <c r="C146" s="12" t="s">
        <v>176</v>
      </c>
      <c r="D146" s="12" t="s">
        <v>122</v>
      </c>
      <c r="E146" s="12" t="s">
        <v>122</v>
      </c>
      <c r="F146" s="19" t="str">
        <f t="shared" si="8"/>
        <v/>
      </c>
      <c r="G146" s="12"/>
      <c r="H146" s="11"/>
    </row>
    <row r="147" spans="1:8" ht="24.95" customHeight="1" x14ac:dyDescent="0.25">
      <c r="A147" s="12"/>
      <c r="B147" s="12"/>
      <c r="C147" s="12" t="s">
        <v>161</v>
      </c>
      <c r="D147" s="12" t="s">
        <v>123</v>
      </c>
      <c r="E147" s="12" t="s">
        <v>123</v>
      </c>
      <c r="F147" s="19" t="str">
        <f t="shared" si="8"/>
        <v>Ambos</v>
      </c>
      <c r="G147" s="12"/>
      <c r="H147" s="11"/>
    </row>
    <row r="148" spans="1:8" ht="24.95" customHeight="1" x14ac:dyDescent="0.25">
      <c r="A148" s="12"/>
      <c r="B148" s="12"/>
      <c r="C148" s="12" t="s">
        <v>140</v>
      </c>
      <c r="D148" s="12" t="s">
        <v>123</v>
      </c>
      <c r="E148" s="12" t="s">
        <v>123</v>
      </c>
      <c r="F148" s="19" t="str">
        <f t="shared" si="8"/>
        <v>Ambos</v>
      </c>
      <c r="G148" s="12"/>
      <c r="H148" s="11"/>
    </row>
    <row r="149" spans="1:8" ht="24.95" customHeight="1" x14ac:dyDescent="0.25">
      <c r="A149" s="12"/>
      <c r="B149" s="12"/>
      <c r="C149" s="12" t="s">
        <v>156</v>
      </c>
      <c r="D149" s="12" t="s">
        <v>122</v>
      </c>
      <c r="E149" s="12" t="s">
        <v>122</v>
      </c>
      <c r="F149" s="19" t="str">
        <f t="shared" si="8"/>
        <v/>
      </c>
      <c r="G149" s="12"/>
      <c r="H149" s="11"/>
    </row>
    <row r="150" spans="1:8" ht="24.95" customHeight="1" x14ac:dyDescent="0.25">
      <c r="A150" s="12"/>
      <c r="B150" s="12"/>
      <c r="C150" s="12" t="s">
        <v>156</v>
      </c>
      <c r="D150" s="12" t="s">
        <v>122</v>
      </c>
      <c r="E150" s="12" t="s">
        <v>122</v>
      </c>
      <c r="F150" s="19" t="str">
        <f t="shared" si="8"/>
        <v/>
      </c>
      <c r="G150" s="12"/>
      <c r="H150" s="11"/>
    </row>
    <row r="151" spans="1:8" ht="24.95" customHeight="1" x14ac:dyDescent="0.25">
      <c r="A151" s="12"/>
      <c r="B151" s="12"/>
      <c r="C151" s="12" t="s">
        <v>156</v>
      </c>
      <c r="D151" s="12" t="s">
        <v>123</v>
      </c>
      <c r="E151" s="12" t="s">
        <v>122</v>
      </c>
      <c r="F151" s="19" t="str">
        <f t="shared" si="8"/>
        <v>Técnico</v>
      </c>
      <c r="G151" s="12"/>
      <c r="H151" s="11"/>
    </row>
    <row r="152" spans="1:8" ht="24.95" customHeight="1" x14ac:dyDescent="0.25">
      <c r="A152" s="12"/>
      <c r="B152" s="12"/>
      <c r="C152" s="12" t="s">
        <v>156</v>
      </c>
      <c r="D152" s="12" t="s">
        <v>122</v>
      </c>
      <c r="E152" s="12" t="s">
        <v>122</v>
      </c>
      <c r="F152" s="19" t="str">
        <f t="shared" si="8"/>
        <v/>
      </c>
      <c r="G152" s="12"/>
      <c r="H152" s="11"/>
    </row>
    <row r="153" spans="1:8" ht="24.95" customHeight="1" x14ac:dyDescent="0.25">
      <c r="A153" s="12"/>
      <c r="B153" s="12"/>
      <c r="C153" s="12" t="s">
        <v>156</v>
      </c>
      <c r="D153" s="12" t="s">
        <v>122</v>
      </c>
      <c r="E153" s="12" t="s">
        <v>123</v>
      </c>
      <c r="F153" s="19" t="str">
        <f t="shared" si="8"/>
        <v>REP</v>
      </c>
      <c r="G153" s="12"/>
      <c r="H153" s="11"/>
    </row>
    <row r="154" spans="1:8" ht="24.95" customHeight="1" x14ac:dyDescent="0.25">
      <c r="A154" s="12"/>
      <c r="B154" s="12"/>
      <c r="C154" s="12" t="s">
        <v>156</v>
      </c>
      <c r="D154" s="12" t="s">
        <v>122</v>
      </c>
      <c r="E154" s="12" t="s">
        <v>122</v>
      </c>
      <c r="F154" s="19" t="str">
        <f t="shared" si="8"/>
        <v/>
      </c>
      <c r="G154" s="12"/>
      <c r="H154" s="11"/>
    </row>
    <row r="155" spans="1:8" ht="24.95" customHeight="1" x14ac:dyDescent="0.25">
      <c r="A155" s="12"/>
      <c r="B155" s="12"/>
      <c r="C155" s="12" t="s">
        <v>156</v>
      </c>
      <c r="D155" s="12" t="s">
        <v>122</v>
      </c>
      <c r="E155" s="12" t="s">
        <v>122</v>
      </c>
      <c r="F155" s="19" t="str">
        <f t="shared" si="8"/>
        <v/>
      </c>
      <c r="G155" s="12"/>
      <c r="H155" s="11"/>
    </row>
    <row r="156" spans="1:8" ht="24.95" customHeight="1" x14ac:dyDescent="0.25">
      <c r="A156" s="12"/>
      <c r="B156" s="12"/>
      <c r="C156" s="12" t="s">
        <v>156</v>
      </c>
      <c r="D156" s="12" t="s">
        <v>122</v>
      </c>
      <c r="E156" s="12" t="s">
        <v>122</v>
      </c>
      <c r="F156" s="19" t="str">
        <f t="shared" si="8"/>
        <v/>
      </c>
      <c r="G156" s="12"/>
      <c r="H156" s="11"/>
    </row>
    <row r="157" spans="1:8" ht="24.95" customHeight="1" x14ac:dyDescent="0.25">
      <c r="A157" s="12"/>
      <c r="B157" s="12"/>
      <c r="C157" s="12" t="s">
        <v>156</v>
      </c>
      <c r="D157" s="12" t="s">
        <v>122</v>
      </c>
      <c r="E157" s="12" t="s">
        <v>123</v>
      </c>
      <c r="F157" s="19" t="str">
        <f t="shared" si="8"/>
        <v>REP</v>
      </c>
      <c r="G157" s="12"/>
      <c r="H157" s="11"/>
    </row>
    <row r="158" spans="1:8" ht="24.95" customHeight="1" x14ac:dyDescent="0.25">
      <c r="A158" s="12"/>
      <c r="B158" s="12"/>
      <c r="C158" s="12" t="s">
        <v>156</v>
      </c>
      <c r="D158" s="12" t="s">
        <v>122</v>
      </c>
      <c r="E158" s="12" t="s">
        <v>122</v>
      </c>
      <c r="F158" s="19" t="str">
        <f t="shared" si="8"/>
        <v/>
      </c>
      <c r="G158" s="12"/>
      <c r="H158" s="11"/>
    </row>
    <row r="159" spans="1:8" ht="24.95" customHeight="1" x14ac:dyDescent="0.25">
      <c r="A159" s="12"/>
      <c r="B159" s="12"/>
      <c r="C159" s="12" t="s">
        <v>156</v>
      </c>
      <c r="D159" s="12" t="s">
        <v>122</v>
      </c>
      <c r="E159" s="12" t="s">
        <v>122</v>
      </c>
      <c r="F159" s="19" t="str">
        <f t="shared" si="8"/>
        <v/>
      </c>
      <c r="G159" s="12"/>
      <c r="H159" s="11"/>
    </row>
    <row r="160" spans="1:8" ht="24.95" customHeight="1" x14ac:dyDescent="0.25">
      <c r="A160" s="12"/>
      <c r="B160" s="12"/>
      <c r="C160" s="12" t="s">
        <v>140</v>
      </c>
      <c r="D160" s="12" t="s">
        <v>122</v>
      </c>
      <c r="E160" s="12" t="s">
        <v>122</v>
      </c>
      <c r="F160" s="19" t="str">
        <f t="shared" si="8"/>
        <v/>
      </c>
      <c r="G160" s="12"/>
      <c r="H160" s="11"/>
    </row>
    <row r="161" spans="1:8" ht="24.95" customHeight="1" x14ac:dyDescent="0.25">
      <c r="A161" s="12"/>
      <c r="B161" s="12"/>
      <c r="C161" s="12" t="s">
        <v>140</v>
      </c>
      <c r="D161" s="12" t="s">
        <v>122</v>
      </c>
      <c r="E161" s="12" t="s">
        <v>122</v>
      </c>
      <c r="F161" s="19" t="str">
        <f t="shared" si="8"/>
        <v/>
      </c>
      <c r="G161" s="12"/>
      <c r="H161" s="11"/>
    </row>
    <row r="162" spans="1:8" ht="24.95" customHeight="1" x14ac:dyDescent="0.25">
      <c r="A162" s="12"/>
      <c r="B162" s="12"/>
      <c r="C162" s="12" t="s">
        <v>140</v>
      </c>
      <c r="D162" s="12" t="s">
        <v>122</v>
      </c>
      <c r="E162" s="12" t="s">
        <v>122</v>
      </c>
      <c r="F162" s="19" t="str">
        <f t="shared" si="8"/>
        <v/>
      </c>
      <c r="G162" s="12"/>
      <c r="H162" s="11"/>
    </row>
    <row r="163" spans="1:8" ht="24.95" customHeight="1" x14ac:dyDescent="0.25">
      <c r="A163" s="12"/>
      <c r="B163" s="12"/>
      <c r="C163" s="12" t="s">
        <v>140</v>
      </c>
      <c r="D163" s="12" t="s">
        <v>122</v>
      </c>
      <c r="E163" s="12" t="s">
        <v>122</v>
      </c>
      <c r="F163" s="19" t="str">
        <f t="shared" si="8"/>
        <v/>
      </c>
      <c r="G163" s="12"/>
      <c r="H163" s="11"/>
    </row>
    <row r="164" spans="1:8" ht="24.95" customHeight="1" x14ac:dyDescent="0.25">
      <c r="A164" s="12"/>
      <c r="B164" s="12"/>
      <c r="C164" s="12" t="s">
        <v>176</v>
      </c>
      <c r="D164" s="12" t="s">
        <v>122</v>
      </c>
      <c r="E164" s="12" t="s">
        <v>122</v>
      </c>
      <c r="F164" s="19" t="str">
        <f t="shared" si="8"/>
        <v/>
      </c>
      <c r="G164" s="12"/>
      <c r="H164" s="11"/>
    </row>
    <row r="165" spans="1:8" ht="24.95" customHeight="1" x14ac:dyDescent="0.25">
      <c r="A165" s="12"/>
      <c r="B165" s="12"/>
      <c r="C165" s="12" t="s">
        <v>176</v>
      </c>
      <c r="D165" s="12" t="s">
        <v>122</v>
      </c>
      <c r="E165" s="12" t="s">
        <v>122</v>
      </c>
      <c r="F165" s="19" t="str">
        <f t="shared" si="8"/>
        <v/>
      </c>
      <c r="G165" s="12"/>
      <c r="H165" s="11"/>
    </row>
    <row r="166" spans="1:8" ht="24.95" customHeight="1" x14ac:dyDescent="0.25">
      <c r="A166" s="12"/>
      <c r="B166" s="12"/>
      <c r="C166" s="12" t="s">
        <v>176</v>
      </c>
      <c r="D166" s="12" t="s">
        <v>122</v>
      </c>
      <c r="E166" s="12" t="s">
        <v>122</v>
      </c>
      <c r="F166" s="19" t="str">
        <f t="shared" si="8"/>
        <v/>
      </c>
      <c r="G166" s="12"/>
      <c r="H166" s="11"/>
    </row>
    <row r="167" spans="1:8" ht="24.95" customHeight="1" x14ac:dyDescent="0.25">
      <c r="A167" s="12"/>
      <c r="B167" s="12"/>
      <c r="C167" s="12" t="s">
        <v>176</v>
      </c>
      <c r="D167" s="12" t="s">
        <v>122</v>
      </c>
      <c r="E167" s="12" t="s">
        <v>122</v>
      </c>
      <c r="F167" s="19" t="str">
        <f t="shared" si="8"/>
        <v/>
      </c>
      <c r="G167" s="12"/>
      <c r="H167" s="11"/>
    </row>
    <row r="168" spans="1:8" ht="24.95" customHeight="1" x14ac:dyDescent="0.25">
      <c r="A168" s="12"/>
      <c r="B168" s="12"/>
      <c r="C168" s="12" t="s">
        <v>176</v>
      </c>
      <c r="D168" s="12" t="s">
        <v>122</v>
      </c>
      <c r="E168" s="12" t="s">
        <v>122</v>
      </c>
      <c r="F168" s="19" t="str">
        <f t="shared" si="8"/>
        <v/>
      </c>
      <c r="G168" s="12"/>
      <c r="H168" s="11"/>
    </row>
    <row r="169" spans="1:8" ht="24.95" customHeight="1" x14ac:dyDescent="0.25">
      <c r="A169" s="12"/>
      <c r="B169" s="12"/>
      <c r="C169" s="12" t="s">
        <v>156</v>
      </c>
      <c r="D169" s="12" t="s">
        <v>123</v>
      </c>
      <c r="E169" s="12" t="s">
        <v>123</v>
      </c>
      <c r="F169" s="19" t="str">
        <f t="shared" si="8"/>
        <v>Ambos</v>
      </c>
      <c r="G169" s="12"/>
      <c r="H169" s="11"/>
    </row>
    <row r="170" spans="1:8" ht="24.95" customHeight="1" x14ac:dyDescent="0.25">
      <c r="A170" s="12"/>
      <c r="B170" s="12"/>
      <c r="C170" s="12" t="s">
        <v>156</v>
      </c>
      <c r="D170" s="12" t="s">
        <v>123</v>
      </c>
      <c r="E170" s="12" t="s">
        <v>123</v>
      </c>
      <c r="F170" s="19" t="str">
        <f t="shared" si="8"/>
        <v>Ambos</v>
      </c>
      <c r="G170" s="12"/>
      <c r="H170" s="11"/>
    </row>
    <row r="171" spans="1:8" ht="24.95" customHeight="1" x14ac:dyDescent="0.25">
      <c r="A171" s="12"/>
      <c r="B171" s="12"/>
      <c r="C171" s="12" t="s">
        <v>188</v>
      </c>
      <c r="D171" s="12" t="s">
        <v>122</v>
      </c>
      <c r="E171" s="12" t="s">
        <v>122</v>
      </c>
      <c r="F171" s="19" t="str">
        <f t="shared" si="8"/>
        <v/>
      </c>
      <c r="G171" s="12"/>
      <c r="H171" s="11"/>
    </row>
    <row r="172" spans="1:8" ht="24.95" customHeight="1" x14ac:dyDescent="0.25">
      <c r="A172" s="12"/>
      <c r="B172" s="12"/>
      <c r="C172" s="12" t="s">
        <v>161</v>
      </c>
      <c r="D172" s="12" t="s">
        <v>123</v>
      </c>
      <c r="E172" s="12" t="s">
        <v>122</v>
      </c>
      <c r="F172" s="19" t="str">
        <f t="shared" si="8"/>
        <v>Técnico</v>
      </c>
      <c r="G172" s="12"/>
      <c r="H172" s="11"/>
    </row>
    <row r="173" spans="1:8" ht="24.95" customHeight="1" x14ac:dyDescent="0.25">
      <c r="A173" s="12"/>
      <c r="B173" s="12"/>
      <c r="C173" s="12" t="s">
        <v>539</v>
      </c>
      <c r="D173" s="12" t="s">
        <v>122</v>
      </c>
      <c r="E173" s="12" t="s">
        <v>122</v>
      </c>
      <c r="F173" s="19" t="str">
        <f t="shared" si="8"/>
        <v/>
      </c>
      <c r="G173" s="12"/>
      <c r="H173" s="11"/>
    </row>
    <row r="174" spans="1:8" ht="24.95" customHeight="1" x14ac:dyDescent="0.25">
      <c r="A174" s="12"/>
      <c r="B174" s="12"/>
      <c r="C174" s="12" t="s">
        <v>539</v>
      </c>
      <c r="D174" s="12" t="s">
        <v>122</v>
      </c>
      <c r="E174" s="12" t="s">
        <v>122</v>
      </c>
      <c r="F174" s="19" t="str">
        <f t="shared" si="8"/>
        <v/>
      </c>
      <c r="G174" s="12"/>
      <c r="H174" s="11"/>
    </row>
    <row r="175" spans="1:8" ht="24.95" customHeight="1" x14ac:dyDescent="0.25">
      <c r="A175" s="12"/>
      <c r="B175" s="12"/>
      <c r="C175" s="12" t="s">
        <v>539</v>
      </c>
      <c r="D175" s="12" t="s">
        <v>122</v>
      </c>
      <c r="E175" s="12" t="s">
        <v>122</v>
      </c>
      <c r="F175" s="19" t="str">
        <f t="shared" si="8"/>
        <v/>
      </c>
      <c r="G175" s="12"/>
      <c r="H175" s="11"/>
    </row>
    <row r="176" spans="1:8" ht="24.95" customHeight="1" x14ac:dyDescent="0.25">
      <c r="A176" s="12"/>
      <c r="B176" s="12"/>
      <c r="C176" s="12" t="s">
        <v>539</v>
      </c>
      <c r="D176" s="12" t="s">
        <v>122</v>
      </c>
      <c r="E176" s="12" t="s">
        <v>122</v>
      </c>
      <c r="F176" s="19" t="str">
        <f t="shared" si="8"/>
        <v/>
      </c>
      <c r="G176" s="12"/>
      <c r="H176" s="11"/>
    </row>
    <row r="177" spans="1:8" ht="24.95" customHeight="1" x14ac:dyDescent="0.25">
      <c r="A177" s="12"/>
      <c r="B177" s="12"/>
      <c r="C177" s="12" t="s">
        <v>539</v>
      </c>
      <c r="D177" s="12" t="s">
        <v>122</v>
      </c>
      <c r="E177" s="12" t="s">
        <v>122</v>
      </c>
      <c r="F177" s="19" t="str">
        <f t="shared" si="8"/>
        <v/>
      </c>
      <c r="G177" s="12"/>
      <c r="H177" s="11"/>
    </row>
    <row r="178" spans="1:8" ht="24.95" customHeight="1" x14ac:dyDescent="0.25">
      <c r="A178" s="12"/>
      <c r="B178" s="12"/>
      <c r="C178" s="12" t="s">
        <v>539</v>
      </c>
      <c r="D178" s="12" t="s">
        <v>122</v>
      </c>
      <c r="E178" s="12" t="s">
        <v>122</v>
      </c>
      <c r="F178" s="19" t="str">
        <f t="shared" si="8"/>
        <v/>
      </c>
      <c r="G178" s="12"/>
      <c r="H178" s="11"/>
    </row>
    <row r="179" spans="1:8" ht="24.95" customHeight="1" x14ac:dyDescent="0.25">
      <c r="A179" s="12"/>
      <c r="B179" s="12"/>
      <c r="C179" s="12" t="s">
        <v>539</v>
      </c>
      <c r="D179" s="12" t="s">
        <v>122</v>
      </c>
      <c r="E179" s="12" t="s">
        <v>122</v>
      </c>
      <c r="F179" s="19" t="str">
        <f t="shared" si="8"/>
        <v/>
      </c>
      <c r="G179" s="12"/>
      <c r="H179" s="11"/>
    </row>
    <row r="180" spans="1:8" ht="24.95" customHeight="1" x14ac:dyDescent="0.25">
      <c r="A180" s="12"/>
      <c r="B180" s="12"/>
      <c r="C180" s="12" t="s">
        <v>539</v>
      </c>
      <c r="D180" s="12" t="s">
        <v>122</v>
      </c>
      <c r="E180" s="12" t="s">
        <v>122</v>
      </c>
      <c r="F180" s="19" t="str">
        <f t="shared" si="8"/>
        <v/>
      </c>
      <c r="G180" s="12"/>
      <c r="H180" s="11"/>
    </row>
    <row r="181" spans="1:8" ht="24.95" customHeight="1" x14ac:dyDescent="0.25">
      <c r="A181" s="12"/>
      <c r="B181" s="12"/>
      <c r="C181" s="12" t="s">
        <v>539</v>
      </c>
      <c r="D181" s="12" t="s">
        <v>122</v>
      </c>
      <c r="E181" s="12" t="s">
        <v>122</v>
      </c>
      <c r="F181" s="19" t="str">
        <f t="shared" si="8"/>
        <v/>
      </c>
      <c r="G181" s="12"/>
      <c r="H181" s="11"/>
    </row>
    <row r="182" spans="1:8" ht="24.95" customHeight="1" x14ac:dyDescent="0.25">
      <c r="A182" s="12"/>
      <c r="B182" s="12"/>
      <c r="C182" s="12" t="s">
        <v>539</v>
      </c>
      <c r="D182" s="12" t="s">
        <v>122</v>
      </c>
      <c r="E182" s="12" t="s">
        <v>122</v>
      </c>
      <c r="F182" s="19" t="str">
        <f t="shared" si="8"/>
        <v/>
      </c>
      <c r="G182" s="12"/>
      <c r="H182" s="11"/>
    </row>
    <row r="183" spans="1:8" ht="24.95" customHeight="1" x14ac:dyDescent="0.25">
      <c r="A183" s="12"/>
      <c r="B183" s="12"/>
      <c r="C183" s="12" t="s">
        <v>539</v>
      </c>
      <c r="D183" s="12" t="s">
        <v>122</v>
      </c>
      <c r="E183" s="12" t="s">
        <v>122</v>
      </c>
      <c r="F183" s="19" t="str">
        <f t="shared" si="8"/>
        <v/>
      </c>
      <c r="G183" s="12"/>
      <c r="H183" s="11"/>
    </row>
    <row r="184" spans="1:8" ht="24.95" customHeight="1" x14ac:dyDescent="0.25">
      <c r="A184" s="12"/>
      <c r="B184" s="12"/>
      <c r="C184" s="12" t="s">
        <v>539</v>
      </c>
      <c r="D184" s="12" t="s">
        <v>122</v>
      </c>
      <c r="E184" s="12" t="s">
        <v>122</v>
      </c>
      <c r="F184" s="19" t="str">
        <f t="shared" si="8"/>
        <v/>
      </c>
      <c r="G184" s="12"/>
      <c r="H184" s="11"/>
    </row>
    <row r="185" spans="1:8" ht="24.95" customHeight="1" x14ac:dyDescent="0.25">
      <c r="A185" s="12"/>
      <c r="B185" s="12"/>
      <c r="C185" s="12" t="s">
        <v>539</v>
      </c>
      <c r="D185" s="12" t="s">
        <v>122</v>
      </c>
      <c r="E185" s="12" t="s">
        <v>122</v>
      </c>
      <c r="F185" s="19" t="str">
        <f t="shared" si="8"/>
        <v/>
      </c>
      <c r="G185" s="12"/>
      <c r="H185" s="11"/>
    </row>
    <row r="186" spans="1:8" ht="24.95" customHeight="1" x14ac:dyDescent="0.25">
      <c r="A186" s="12"/>
      <c r="B186" s="12"/>
      <c r="C186" s="12" t="s">
        <v>539</v>
      </c>
      <c r="D186" s="12" t="s">
        <v>122</v>
      </c>
      <c r="E186" s="12" t="s">
        <v>122</v>
      </c>
      <c r="F186" s="19" t="str">
        <f t="shared" si="8"/>
        <v/>
      </c>
      <c r="G186" s="12"/>
      <c r="H186" s="11"/>
    </row>
    <row r="187" spans="1:8" ht="24.95" customHeight="1" x14ac:dyDescent="0.25">
      <c r="A187" s="12"/>
      <c r="B187" s="12"/>
      <c r="C187" s="12" t="s">
        <v>539</v>
      </c>
      <c r="D187" s="12" t="s">
        <v>122</v>
      </c>
      <c r="E187" s="12" t="s">
        <v>122</v>
      </c>
      <c r="F187" s="19" t="str">
        <f t="shared" si="8"/>
        <v/>
      </c>
      <c r="G187" s="12"/>
      <c r="H187" s="11"/>
    </row>
    <row r="188" spans="1:8" ht="24.95" customHeight="1" x14ac:dyDescent="0.25">
      <c r="A188" s="12"/>
      <c r="B188" s="12"/>
      <c r="C188" s="12" t="s">
        <v>539</v>
      </c>
      <c r="D188" s="12" t="s">
        <v>122</v>
      </c>
      <c r="E188" s="12" t="s">
        <v>122</v>
      </c>
      <c r="F188" s="19" t="str">
        <f t="shared" si="8"/>
        <v/>
      </c>
      <c r="G188" s="12"/>
      <c r="H188" s="11"/>
    </row>
    <row r="189" spans="1:8" ht="24.95" customHeight="1" x14ac:dyDescent="0.25">
      <c r="A189" s="12"/>
      <c r="B189" s="12"/>
      <c r="C189" s="12" t="s">
        <v>539</v>
      </c>
      <c r="D189" s="12" t="s">
        <v>122</v>
      </c>
      <c r="E189" s="12" t="s">
        <v>122</v>
      </c>
      <c r="F189" s="19" t="str">
        <f t="shared" si="8"/>
        <v/>
      </c>
      <c r="G189" s="12"/>
      <c r="H189" s="11"/>
    </row>
    <row r="190" spans="1:8" ht="24.95" customHeight="1" x14ac:dyDescent="0.25">
      <c r="A190" s="12"/>
      <c r="B190" s="12"/>
      <c r="C190" s="12" t="s">
        <v>539</v>
      </c>
      <c r="D190" s="12" t="s">
        <v>122</v>
      </c>
      <c r="E190" s="12" t="s">
        <v>122</v>
      </c>
      <c r="F190" s="19" t="str">
        <f t="shared" si="8"/>
        <v/>
      </c>
      <c r="G190" s="12"/>
      <c r="H190" s="11"/>
    </row>
    <row r="191" spans="1:8" ht="24.95" customHeight="1" x14ac:dyDescent="0.25">
      <c r="A191" s="12"/>
      <c r="B191" s="12"/>
      <c r="C191" s="12" t="s">
        <v>539</v>
      </c>
      <c r="D191" s="12" t="s">
        <v>122</v>
      </c>
      <c r="E191" s="12" t="s">
        <v>122</v>
      </c>
      <c r="F191" s="19" t="str">
        <f t="shared" si="8"/>
        <v/>
      </c>
      <c r="G191" s="12"/>
      <c r="H191" s="11"/>
    </row>
    <row r="192" spans="1:8" ht="24.95" customHeight="1" x14ac:dyDescent="0.25">
      <c r="A192" s="12"/>
      <c r="B192" s="12"/>
      <c r="C192" s="12" t="s">
        <v>539</v>
      </c>
      <c r="D192" s="12" t="s">
        <v>122</v>
      </c>
      <c r="E192" s="12" t="s">
        <v>122</v>
      </c>
      <c r="F192" s="19" t="str">
        <f t="shared" si="8"/>
        <v/>
      </c>
      <c r="G192" s="12"/>
      <c r="H192" s="11"/>
    </row>
    <row r="193" spans="1:8" ht="24.95" customHeight="1" x14ac:dyDescent="0.25">
      <c r="A193" s="12"/>
      <c r="B193" s="12"/>
      <c r="C193" s="12" t="s">
        <v>539</v>
      </c>
      <c r="D193" s="12" t="s">
        <v>122</v>
      </c>
      <c r="E193" s="12" t="s">
        <v>122</v>
      </c>
      <c r="F193" s="19" t="str">
        <f t="shared" si="8"/>
        <v/>
      </c>
      <c r="G193" s="12"/>
      <c r="H193" s="11"/>
    </row>
    <row r="194" spans="1:8" ht="24.95" customHeight="1" x14ac:dyDescent="0.25">
      <c r="A194" s="12"/>
      <c r="B194" s="12"/>
      <c r="C194" s="12" t="s">
        <v>539</v>
      </c>
      <c r="D194" s="12" t="s">
        <v>122</v>
      </c>
      <c r="E194" s="12" t="s">
        <v>122</v>
      </c>
      <c r="F194" s="19" t="str">
        <f t="shared" si="8"/>
        <v/>
      </c>
      <c r="G194" s="12"/>
      <c r="H194" s="11"/>
    </row>
    <row r="195" spans="1:8" ht="24.95" customHeight="1" x14ac:dyDescent="0.25">
      <c r="A195" s="12"/>
      <c r="B195" s="12"/>
      <c r="C195" s="12" t="s">
        <v>539</v>
      </c>
      <c r="D195" s="12" t="s">
        <v>122</v>
      </c>
      <c r="E195" s="12" t="s">
        <v>122</v>
      </c>
      <c r="F195" s="19" t="str">
        <f t="shared" ref="F195:F258" si="9">IFERROR(IF(AND(D195="Não",E195="Sim"),"REP",
IF(AND(D195="Sim",E195="Não"),"Técnico",
IF(AND(D195="Sim",E195="Sim"),"Ambos",""))),"")</f>
        <v/>
      </c>
      <c r="G195" s="12"/>
      <c r="H195" s="11"/>
    </row>
    <row r="196" spans="1:8" ht="24.95" customHeight="1" x14ac:dyDescent="0.25">
      <c r="A196" s="12"/>
      <c r="B196" s="12"/>
      <c r="C196" s="12" t="s">
        <v>539</v>
      </c>
      <c r="D196" s="12" t="s">
        <v>122</v>
      </c>
      <c r="E196" s="12" t="s">
        <v>122</v>
      </c>
      <c r="F196" s="19" t="str">
        <f t="shared" si="9"/>
        <v/>
      </c>
      <c r="G196" s="12"/>
      <c r="H196" s="11"/>
    </row>
    <row r="197" spans="1:8" ht="24.95" customHeight="1" x14ac:dyDescent="0.25">
      <c r="A197" s="12"/>
      <c r="B197" s="12"/>
      <c r="C197" s="12" t="s">
        <v>539</v>
      </c>
      <c r="D197" s="12" t="s">
        <v>122</v>
      </c>
      <c r="E197" s="12" t="s">
        <v>122</v>
      </c>
      <c r="F197" s="19" t="str">
        <f t="shared" si="9"/>
        <v/>
      </c>
      <c r="G197" s="12"/>
      <c r="H197" s="11"/>
    </row>
    <row r="198" spans="1:8" ht="24.95" customHeight="1" x14ac:dyDescent="0.25">
      <c r="A198" s="12"/>
      <c r="B198" s="12"/>
      <c r="C198" s="12" t="s">
        <v>539</v>
      </c>
      <c r="D198" s="12" t="s">
        <v>122</v>
      </c>
      <c r="E198" s="12" t="s">
        <v>122</v>
      </c>
      <c r="F198" s="19" t="str">
        <f t="shared" si="9"/>
        <v/>
      </c>
      <c r="G198" s="12"/>
      <c r="H198" s="11"/>
    </row>
    <row r="199" spans="1:8" ht="24.95" customHeight="1" x14ac:dyDescent="0.25">
      <c r="A199" s="12"/>
      <c r="B199" s="12"/>
      <c r="C199" s="12" t="s">
        <v>539</v>
      </c>
      <c r="D199" s="12" t="s">
        <v>122</v>
      </c>
      <c r="E199" s="12" t="s">
        <v>122</v>
      </c>
      <c r="F199" s="19" t="str">
        <f t="shared" si="9"/>
        <v/>
      </c>
      <c r="G199" s="12"/>
      <c r="H199" s="11"/>
    </row>
    <row r="200" spans="1:8" ht="24.95" customHeight="1" x14ac:dyDescent="0.25">
      <c r="A200" s="12"/>
      <c r="B200" s="12"/>
      <c r="C200" s="12" t="s">
        <v>539</v>
      </c>
      <c r="D200" s="12" t="s">
        <v>122</v>
      </c>
      <c r="E200" s="12" t="s">
        <v>122</v>
      </c>
      <c r="F200" s="19" t="str">
        <f t="shared" si="9"/>
        <v/>
      </c>
      <c r="G200" s="12"/>
      <c r="H200" s="11"/>
    </row>
    <row r="201" spans="1:8" ht="24.95" customHeight="1" x14ac:dyDescent="0.25">
      <c r="A201" s="12"/>
      <c r="B201" s="12"/>
      <c r="C201" s="12" t="s">
        <v>539</v>
      </c>
      <c r="D201" s="12" t="s">
        <v>122</v>
      </c>
      <c r="E201" s="12" t="s">
        <v>122</v>
      </c>
      <c r="F201" s="19" t="str">
        <f t="shared" si="9"/>
        <v/>
      </c>
      <c r="G201" s="12"/>
      <c r="H201" s="11"/>
    </row>
    <row r="202" spans="1:8" ht="24.95" customHeight="1" x14ac:dyDescent="0.25">
      <c r="A202" s="12"/>
      <c r="B202" s="12"/>
      <c r="C202" s="12" t="s">
        <v>539</v>
      </c>
      <c r="D202" s="12" t="s">
        <v>122</v>
      </c>
      <c r="E202" s="12" t="s">
        <v>122</v>
      </c>
      <c r="F202" s="19" t="str">
        <f t="shared" si="9"/>
        <v/>
      </c>
      <c r="G202" s="12"/>
      <c r="H202" s="11"/>
    </row>
    <row r="203" spans="1:8" ht="24.95" customHeight="1" x14ac:dyDescent="0.25">
      <c r="A203" s="12"/>
      <c r="B203" s="12"/>
      <c r="C203" s="12" t="s">
        <v>539</v>
      </c>
      <c r="D203" s="12" t="s">
        <v>122</v>
      </c>
      <c r="E203" s="12" t="s">
        <v>122</v>
      </c>
      <c r="F203" s="19" t="str">
        <f t="shared" si="9"/>
        <v/>
      </c>
      <c r="G203" s="12"/>
      <c r="H203" s="11"/>
    </row>
    <row r="204" spans="1:8" ht="24.95" customHeight="1" x14ac:dyDescent="0.25">
      <c r="A204" s="12"/>
      <c r="B204" s="12"/>
      <c r="C204" s="12" t="s">
        <v>539</v>
      </c>
      <c r="D204" s="12" t="s">
        <v>122</v>
      </c>
      <c r="E204" s="12" t="s">
        <v>122</v>
      </c>
      <c r="F204" s="19" t="str">
        <f t="shared" si="9"/>
        <v/>
      </c>
      <c r="G204" s="12"/>
      <c r="H204" s="11"/>
    </row>
    <row r="205" spans="1:8" ht="24.95" customHeight="1" x14ac:dyDescent="0.25">
      <c r="A205" s="12"/>
      <c r="B205" s="12"/>
      <c r="C205" s="12" t="s">
        <v>539</v>
      </c>
      <c r="D205" s="12" t="s">
        <v>122</v>
      </c>
      <c r="E205" s="12" t="s">
        <v>122</v>
      </c>
      <c r="F205" s="19" t="str">
        <f t="shared" si="9"/>
        <v/>
      </c>
      <c r="G205" s="12"/>
      <c r="H205" s="11"/>
    </row>
    <row r="206" spans="1:8" ht="24.95" customHeight="1" x14ac:dyDescent="0.25">
      <c r="A206" s="12"/>
      <c r="B206" s="12"/>
      <c r="C206" s="12" t="s">
        <v>539</v>
      </c>
      <c r="D206" s="12" t="s">
        <v>122</v>
      </c>
      <c r="E206" s="12" t="s">
        <v>122</v>
      </c>
      <c r="F206" s="19" t="str">
        <f t="shared" si="9"/>
        <v/>
      </c>
      <c r="G206" s="12"/>
      <c r="H206" s="11"/>
    </row>
    <row r="207" spans="1:8" ht="24.95" customHeight="1" x14ac:dyDescent="0.25">
      <c r="A207" s="12"/>
      <c r="B207" s="12"/>
      <c r="C207" s="12" t="s">
        <v>539</v>
      </c>
      <c r="D207" s="12" t="s">
        <v>122</v>
      </c>
      <c r="E207" s="12" t="s">
        <v>122</v>
      </c>
      <c r="F207" s="19" t="str">
        <f t="shared" si="9"/>
        <v/>
      </c>
      <c r="G207" s="12"/>
      <c r="H207" s="11"/>
    </row>
    <row r="208" spans="1:8" ht="24.95" customHeight="1" x14ac:dyDescent="0.25">
      <c r="A208" s="12"/>
      <c r="B208" s="12"/>
      <c r="C208" s="12" t="s">
        <v>539</v>
      </c>
      <c r="D208" s="12" t="s">
        <v>122</v>
      </c>
      <c r="E208" s="12" t="s">
        <v>122</v>
      </c>
      <c r="F208" s="19" t="str">
        <f t="shared" si="9"/>
        <v/>
      </c>
      <c r="G208" s="12"/>
      <c r="H208" s="11"/>
    </row>
    <row r="209" spans="1:8" ht="24.95" customHeight="1" x14ac:dyDescent="0.25">
      <c r="A209" s="12"/>
      <c r="B209" s="12"/>
      <c r="C209" s="12" t="s">
        <v>539</v>
      </c>
      <c r="D209" s="12" t="s">
        <v>122</v>
      </c>
      <c r="E209" s="12" t="s">
        <v>122</v>
      </c>
      <c r="F209" s="19" t="str">
        <f t="shared" si="9"/>
        <v/>
      </c>
      <c r="G209" s="12"/>
      <c r="H209" s="11"/>
    </row>
    <row r="210" spans="1:8" ht="24.95" customHeight="1" x14ac:dyDescent="0.25">
      <c r="A210" s="12"/>
      <c r="B210" s="12"/>
      <c r="C210" s="12" t="s">
        <v>539</v>
      </c>
      <c r="D210" s="12" t="s">
        <v>122</v>
      </c>
      <c r="E210" s="12" t="s">
        <v>122</v>
      </c>
      <c r="F210" s="19" t="str">
        <f t="shared" si="9"/>
        <v/>
      </c>
      <c r="G210" s="12"/>
      <c r="H210" s="11"/>
    </row>
    <row r="211" spans="1:8" ht="24.95" customHeight="1" x14ac:dyDescent="0.25">
      <c r="A211" s="12"/>
      <c r="B211" s="12"/>
      <c r="C211" s="12" t="s">
        <v>539</v>
      </c>
      <c r="D211" s="12" t="s">
        <v>122</v>
      </c>
      <c r="E211" s="12" t="s">
        <v>122</v>
      </c>
      <c r="F211" s="19" t="str">
        <f t="shared" si="9"/>
        <v/>
      </c>
      <c r="G211" s="12"/>
      <c r="H211" s="11"/>
    </row>
    <row r="212" spans="1:8" ht="24.95" customHeight="1" x14ac:dyDescent="0.25">
      <c r="A212" s="12"/>
      <c r="B212" s="12"/>
      <c r="C212" s="12" t="s">
        <v>539</v>
      </c>
      <c r="D212" s="12" t="s">
        <v>122</v>
      </c>
      <c r="E212" s="12" t="s">
        <v>122</v>
      </c>
      <c r="F212" s="19" t="str">
        <f t="shared" si="9"/>
        <v/>
      </c>
      <c r="G212" s="12"/>
      <c r="H212" s="11"/>
    </row>
    <row r="213" spans="1:8" ht="24.95" customHeight="1" x14ac:dyDescent="0.25">
      <c r="A213" s="12"/>
      <c r="B213" s="12"/>
      <c r="C213" s="12" t="s">
        <v>539</v>
      </c>
      <c r="D213" s="12" t="s">
        <v>122</v>
      </c>
      <c r="E213" s="12" t="s">
        <v>122</v>
      </c>
      <c r="F213" s="19" t="str">
        <f t="shared" si="9"/>
        <v/>
      </c>
      <c r="G213" s="12"/>
      <c r="H213" s="11"/>
    </row>
    <row r="214" spans="1:8" ht="24.95" customHeight="1" x14ac:dyDescent="0.25">
      <c r="A214" s="12"/>
      <c r="B214" s="12"/>
      <c r="C214" s="12" t="s">
        <v>539</v>
      </c>
      <c r="D214" s="12" t="s">
        <v>122</v>
      </c>
      <c r="E214" s="12" t="s">
        <v>122</v>
      </c>
      <c r="F214" s="19" t="str">
        <f t="shared" si="9"/>
        <v/>
      </c>
      <c r="G214" s="12"/>
      <c r="H214" s="11"/>
    </row>
    <row r="215" spans="1:8" ht="24.95" customHeight="1" x14ac:dyDescent="0.25">
      <c r="A215" s="12"/>
      <c r="B215" s="12"/>
      <c r="C215" s="12" t="s">
        <v>539</v>
      </c>
      <c r="D215" s="12" t="s">
        <v>122</v>
      </c>
      <c r="E215" s="12" t="s">
        <v>122</v>
      </c>
      <c r="F215" s="19" t="str">
        <f t="shared" si="9"/>
        <v/>
      </c>
      <c r="G215" s="12"/>
      <c r="H215" s="11"/>
    </row>
    <row r="216" spans="1:8" ht="24.95" customHeight="1" x14ac:dyDescent="0.25">
      <c r="A216" s="12"/>
      <c r="B216" s="12"/>
      <c r="C216" s="12" t="s">
        <v>539</v>
      </c>
      <c r="D216" s="12" t="s">
        <v>122</v>
      </c>
      <c r="E216" s="12" t="s">
        <v>122</v>
      </c>
      <c r="F216" s="19" t="str">
        <f t="shared" si="9"/>
        <v/>
      </c>
      <c r="G216" s="12"/>
      <c r="H216" s="11"/>
    </row>
    <row r="217" spans="1:8" ht="24.95" customHeight="1" x14ac:dyDescent="0.25">
      <c r="A217" s="12"/>
      <c r="B217" s="12"/>
      <c r="C217" s="12" t="s">
        <v>539</v>
      </c>
      <c r="D217" s="12" t="s">
        <v>122</v>
      </c>
      <c r="E217" s="12" t="s">
        <v>122</v>
      </c>
      <c r="F217" s="19" t="str">
        <f t="shared" si="9"/>
        <v/>
      </c>
      <c r="G217" s="12"/>
      <c r="H217" s="11"/>
    </row>
    <row r="218" spans="1:8" ht="24.95" customHeight="1" x14ac:dyDescent="0.25">
      <c r="A218" s="12"/>
      <c r="B218" s="12"/>
      <c r="C218" s="12" t="s">
        <v>539</v>
      </c>
      <c r="D218" s="12" t="s">
        <v>122</v>
      </c>
      <c r="E218" s="12" t="s">
        <v>122</v>
      </c>
      <c r="F218" s="19" t="str">
        <f t="shared" si="9"/>
        <v/>
      </c>
      <c r="G218" s="12"/>
      <c r="H218" s="11"/>
    </row>
    <row r="219" spans="1:8" ht="24.95" customHeight="1" x14ac:dyDescent="0.25">
      <c r="A219" s="12"/>
      <c r="B219" s="12"/>
      <c r="C219" s="12" t="s">
        <v>539</v>
      </c>
      <c r="D219" s="12" t="s">
        <v>122</v>
      </c>
      <c r="E219" s="12" t="s">
        <v>122</v>
      </c>
      <c r="F219" s="19" t="str">
        <f t="shared" si="9"/>
        <v/>
      </c>
      <c r="G219" s="12"/>
      <c r="H219" s="11"/>
    </row>
    <row r="220" spans="1:8" ht="24.95" customHeight="1" x14ac:dyDescent="0.25">
      <c r="A220" s="12"/>
      <c r="B220" s="12"/>
      <c r="C220" s="12" t="s">
        <v>539</v>
      </c>
      <c r="D220" s="12" t="s">
        <v>122</v>
      </c>
      <c r="E220" s="12" t="s">
        <v>122</v>
      </c>
      <c r="F220" s="19" t="str">
        <f t="shared" si="9"/>
        <v/>
      </c>
      <c r="G220" s="12"/>
      <c r="H220" s="11"/>
    </row>
    <row r="221" spans="1:8" ht="24.95" customHeight="1" x14ac:dyDescent="0.25">
      <c r="A221" s="12"/>
      <c r="B221" s="12"/>
      <c r="C221" s="12" t="s">
        <v>539</v>
      </c>
      <c r="D221" s="12" t="s">
        <v>122</v>
      </c>
      <c r="E221" s="12" t="s">
        <v>122</v>
      </c>
      <c r="F221" s="19" t="str">
        <f t="shared" si="9"/>
        <v/>
      </c>
      <c r="G221" s="12"/>
      <c r="H221" s="11"/>
    </row>
    <row r="222" spans="1:8" ht="24.95" customHeight="1" x14ac:dyDescent="0.25">
      <c r="A222" s="12"/>
      <c r="B222" s="12"/>
      <c r="C222" s="12" t="s">
        <v>539</v>
      </c>
      <c r="D222" s="12" t="s">
        <v>123</v>
      </c>
      <c r="E222" s="12" t="s">
        <v>122</v>
      </c>
      <c r="F222" s="19" t="str">
        <f t="shared" si="9"/>
        <v>Técnico</v>
      </c>
      <c r="G222" s="12"/>
      <c r="H222" s="11"/>
    </row>
    <row r="223" spans="1:8" ht="24.95" customHeight="1" x14ac:dyDescent="0.25">
      <c r="A223" s="12"/>
      <c r="B223" s="12"/>
      <c r="C223" s="12" t="s">
        <v>539</v>
      </c>
      <c r="D223" s="12" t="s">
        <v>122</v>
      </c>
      <c r="E223" s="12" t="s">
        <v>122</v>
      </c>
      <c r="F223" s="19" t="str">
        <f t="shared" si="9"/>
        <v/>
      </c>
      <c r="G223" s="12"/>
      <c r="H223" s="11"/>
    </row>
    <row r="224" spans="1:8" ht="24.95" customHeight="1" x14ac:dyDescent="0.25">
      <c r="A224" s="12"/>
      <c r="B224" s="12"/>
      <c r="C224" s="12" t="s">
        <v>539</v>
      </c>
      <c r="D224" s="12" t="s">
        <v>122</v>
      </c>
      <c r="E224" s="12" t="s">
        <v>123</v>
      </c>
      <c r="F224" s="19" t="str">
        <f t="shared" si="9"/>
        <v>REP</v>
      </c>
      <c r="G224" s="12"/>
      <c r="H224" s="11"/>
    </row>
    <row r="225" spans="1:8" ht="24.95" customHeight="1" x14ac:dyDescent="0.25">
      <c r="A225" s="12"/>
      <c r="B225" s="12"/>
      <c r="C225" s="12" t="s">
        <v>539</v>
      </c>
      <c r="D225" s="12" t="s">
        <v>122</v>
      </c>
      <c r="E225" s="12" t="s">
        <v>122</v>
      </c>
      <c r="F225" s="19" t="str">
        <f t="shared" si="9"/>
        <v/>
      </c>
      <c r="G225" s="12"/>
      <c r="H225" s="11"/>
    </row>
    <row r="226" spans="1:8" ht="24.95" customHeight="1" x14ac:dyDescent="0.25">
      <c r="A226" s="12"/>
      <c r="B226" s="12"/>
      <c r="C226" s="12" t="s">
        <v>539</v>
      </c>
      <c r="D226" s="12" t="s">
        <v>123</v>
      </c>
      <c r="E226" s="12" t="s">
        <v>123</v>
      </c>
      <c r="F226" s="19" t="str">
        <f t="shared" si="9"/>
        <v>Ambos</v>
      </c>
      <c r="G226" s="12"/>
      <c r="H226" s="11"/>
    </row>
    <row r="227" spans="1:8" ht="24.95" customHeight="1" x14ac:dyDescent="0.25">
      <c r="A227" s="12"/>
      <c r="B227" s="12"/>
      <c r="C227" s="12" t="s">
        <v>161</v>
      </c>
      <c r="D227" s="12" t="s">
        <v>123</v>
      </c>
      <c r="E227" s="12" t="s">
        <v>123</v>
      </c>
      <c r="F227" s="19" t="str">
        <f t="shared" si="9"/>
        <v>Ambos</v>
      </c>
      <c r="G227" s="12"/>
      <c r="H227" s="11"/>
    </row>
    <row r="228" spans="1:8" ht="24.95" customHeight="1" x14ac:dyDescent="0.25">
      <c r="A228" s="12"/>
      <c r="B228" s="12"/>
      <c r="C228" s="12" t="s">
        <v>539</v>
      </c>
      <c r="D228" s="12" t="s">
        <v>123</v>
      </c>
      <c r="E228" s="12" t="s">
        <v>123</v>
      </c>
      <c r="F228" s="19" t="str">
        <f t="shared" si="9"/>
        <v>Ambos</v>
      </c>
      <c r="G228" s="12"/>
      <c r="H228" s="11"/>
    </row>
    <row r="229" spans="1:8" ht="24.95" customHeight="1" x14ac:dyDescent="0.25">
      <c r="A229" s="12"/>
      <c r="B229" s="12"/>
      <c r="C229" s="12" t="s">
        <v>161</v>
      </c>
      <c r="D229" s="12" t="s">
        <v>123</v>
      </c>
      <c r="E229" s="12" t="s">
        <v>123</v>
      </c>
      <c r="F229" s="19" t="str">
        <f t="shared" si="9"/>
        <v>Ambos</v>
      </c>
      <c r="G229" s="12"/>
      <c r="H229" s="11"/>
    </row>
    <row r="230" spans="1:8" ht="24.95" customHeight="1" x14ac:dyDescent="0.25">
      <c r="A230" s="12"/>
      <c r="B230" s="12"/>
      <c r="C230" s="12" t="s">
        <v>176</v>
      </c>
      <c r="D230" s="12" t="s">
        <v>122</v>
      </c>
      <c r="E230" s="12" t="s">
        <v>122</v>
      </c>
      <c r="F230" s="19" t="str">
        <f t="shared" si="9"/>
        <v/>
      </c>
      <c r="G230" s="12"/>
      <c r="H230" s="11"/>
    </row>
    <row r="231" spans="1:8" ht="24.95" customHeight="1" x14ac:dyDescent="0.25">
      <c r="A231" s="12"/>
      <c r="B231" s="12"/>
      <c r="C231" s="12" t="s">
        <v>140</v>
      </c>
      <c r="D231" s="12" t="s">
        <v>122</v>
      </c>
      <c r="E231" s="12" t="s">
        <v>122</v>
      </c>
      <c r="F231" s="19" t="str">
        <f t="shared" si="9"/>
        <v/>
      </c>
      <c r="G231" s="12"/>
      <c r="H231" s="11"/>
    </row>
    <row r="232" spans="1:8" ht="24.95" customHeight="1" x14ac:dyDescent="0.25">
      <c r="A232" s="12"/>
      <c r="B232" s="12"/>
      <c r="C232" s="12" t="s">
        <v>140</v>
      </c>
      <c r="D232" s="12" t="s">
        <v>123</v>
      </c>
      <c r="E232" s="12" t="s">
        <v>122</v>
      </c>
      <c r="F232" s="19" t="str">
        <f t="shared" si="9"/>
        <v>Técnico</v>
      </c>
      <c r="G232" s="12"/>
      <c r="H232" s="11"/>
    </row>
    <row r="233" spans="1:8" ht="24.95" customHeight="1" x14ac:dyDescent="0.25">
      <c r="A233" s="12"/>
      <c r="B233" s="12"/>
      <c r="C233" s="12" t="s">
        <v>140</v>
      </c>
      <c r="D233" s="12" t="s">
        <v>122</v>
      </c>
      <c r="E233" s="12" t="s">
        <v>122</v>
      </c>
      <c r="F233" s="19" t="str">
        <f t="shared" si="9"/>
        <v/>
      </c>
      <c r="G233" s="12"/>
      <c r="H233" s="11"/>
    </row>
    <row r="234" spans="1:8" ht="24.95" customHeight="1" x14ac:dyDescent="0.25">
      <c r="A234" s="12"/>
      <c r="B234" s="12"/>
      <c r="C234" s="12" t="s">
        <v>156</v>
      </c>
      <c r="D234" s="12" t="s">
        <v>122</v>
      </c>
      <c r="E234" s="12" t="s">
        <v>122</v>
      </c>
      <c r="F234" s="19" t="str">
        <f t="shared" si="9"/>
        <v/>
      </c>
      <c r="G234" s="12"/>
      <c r="H234" s="11"/>
    </row>
    <row r="235" spans="1:8" ht="24.95" customHeight="1" x14ac:dyDescent="0.25">
      <c r="A235" s="12"/>
      <c r="B235" s="12"/>
      <c r="C235" s="12" t="s">
        <v>539</v>
      </c>
      <c r="D235" s="12" t="s">
        <v>122</v>
      </c>
      <c r="E235" s="12" t="s">
        <v>122</v>
      </c>
      <c r="F235" s="19" t="str">
        <f t="shared" si="9"/>
        <v/>
      </c>
      <c r="G235" s="12"/>
      <c r="H235" s="11"/>
    </row>
    <row r="236" spans="1:8" ht="24.95" customHeight="1" x14ac:dyDescent="0.25">
      <c r="A236" s="12"/>
      <c r="B236" s="12"/>
      <c r="C236" s="12" t="s">
        <v>539</v>
      </c>
      <c r="D236" s="12" t="s">
        <v>123</v>
      </c>
      <c r="E236" s="12" t="s">
        <v>122</v>
      </c>
      <c r="F236" s="19" t="str">
        <f t="shared" si="9"/>
        <v>Técnico</v>
      </c>
      <c r="G236" s="12"/>
      <c r="H236" s="11"/>
    </row>
    <row r="237" spans="1:8" ht="24.95" customHeight="1" x14ac:dyDescent="0.25">
      <c r="A237" s="12"/>
      <c r="B237" s="12"/>
      <c r="C237" s="12" t="s">
        <v>539</v>
      </c>
      <c r="D237" s="12" t="s">
        <v>123</v>
      </c>
      <c r="E237" s="12" t="s">
        <v>122</v>
      </c>
      <c r="F237" s="19" t="str">
        <f t="shared" si="9"/>
        <v>Técnico</v>
      </c>
      <c r="G237" s="12"/>
      <c r="H237" s="11"/>
    </row>
    <row r="238" spans="1:8" ht="24.95" customHeight="1" x14ac:dyDescent="0.25">
      <c r="A238" s="12"/>
      <c r="B238" s="12"/>
      <c r="C238" s="12" t="s">
        <v>539</v>
      </c>
      <c r="D238" s="12" t="s">
        <v>122</v>
      </c>
      <c r="E238" s="12" t="s">
        <v>122</v>
      </c>
      <c r="F238" s="19" t="str">
        <f t="shared" si="9"/>
        <v/>
      </c>
      <c r="G238" s="12"/>
      <c r="H238" s="11"/>
    </row>
    <row r="239" spans="1:8" ht="24.95" customHeight="1" x14ac:dyDescent="0.25">
      <c r="A239" s="12"/>
      <c r="B239" s="12"/>
      <c r="C239" s="12" t="s">
        <v>539</v>
      </c>
      <c r="D239" s="12" t="s">
        <v>122</v>
      </c>
      <c r="E239" s="12" t="s">
        <v>122</v>
      </c>
      <c r="F239" s="19" t="str">
        <f t="shared" si="9"/>
        <v/>
      </c>
      <c r="G239" s="12"/>
      <c r="H239" s="11"/>
    </row>
    <row r="240" spans="1:8" ht="24.95" customHeight="1" x14ac:dyDescent="0.25">
      <c r="A240" s="12"/>
      <c r="B240" s="12"/>
      <c r="C240" s="12" t="s">
        <v>161</v>
      </c>
      <c r="D240" s="12" t="s">
        <v>123</v>
      </c>
      <c r="E240" s="12" t="s">
        <v>122</v>
      </c>
      <c r="F240" s="19" t="str">
        <f t="shared" si="9"/>
        <v>Técnico</v>
      </c>
      <c r="G240" s="12"/>
      <c r="H240" s="11"/>
    </row>
    <row r="241" spans="1:8" ht="24.95" customHeight="1" x14ac:dyDescent="0.25">
      <c r="A241" s="12"/>
      <c r="B241" s="12"/>
      <c r="C241" s="12" t="s">
        <v>539</v>
      </c>
      <c r="D241" s="12" t="s">
        <v>122</v>
      </c>
      <c r="E241" s="12" t="s">
        <v>122</v>
      </c>
      <c r="F241" s="19" t="str">
        <f t="shared" si="9"/>
        <v/>
      </c>
      <c r="G241" s="12"/>
      <c r="H241" s="11"/>
    </row>
    <row r="242" spans="1:8" ht="24.95" customHeight="1" x14ac:dyDescent="0.25">
      <c r="A242" s="12"/>
      <c r="B242" s="12"/>
      <c r="C242" s="12" t="s">
        <v>161</v>
      </c>
      <c r="D242" s="12" t="s">
        <v>123</v>
      </c>
      <c r="E242" s="12" t="s">
        <v>122</v>
      </c>
      <c r="F242" s="19" t="str">
        <f t="shared" si="9"/>
        <v>Técnico</v>
      </c>
      <c r="G242" s="12"/>
      <c r="H242" s="11"/>
    </row>
    <row r="243" spans="1:8" ht="24.95" customHeight="1" x14ac:dyDescent="0.25">
      <c r="A243" s="12"/>
      <c r="B243" s="12"/>
      <c r="C243" s="12" t="s">
        <v>539</v>
      </c>
      <c r="D243" s="12" t="s">
        <v>122</v>
      </c>
      <c r="E243" s="12" t="s">
        <v>122</v>
      </c>
      <c r="F243" s="19" t="str">
        <f t="shared" si="9"/>
        <v/>
      </c>
      <c r="G243" s="12"/>
      <c r="H243" s="11"/>
    </row>
    <row r="244" spans="1:8" ht="24.95" customHeight="1" x14ac:dyDescent="0.25">
      <c r="A244" s="12"/>
      <c r="B244" s="12"/>
      <c r="C244" s="12" t="s">
        <v>161</v>
      </c>
      <c r="D244" s="12" t="s">
        <v>122</v>
      </c>
      <c r="E244" s="12" t="s">
        <v>122</v>
      </c>
      <c r="F244" s="19" t="str">
        <f t="shared" si="9"/>
        <v/>
      </c>
      <c r="G244" s="12"/>
      <c r="H244" s="11"/>
    </row>
    <row r="245" spans="1:8" ht="24.95" customHeight="1" x14ac:dyDescent="0.25">
      <c r="A245" s="12"/>
      <c r="B245" s="12"/>
      <c r="C245" s="12" t="s">
        <v>156</v>
      </c>
      <c r="D245" s="12" t="s">
        <v>122</v>
      </c>
      <c r="E245" s="12" t="s">
        <v>122</v>
      </c>
      <c r="F245" s="19" t="str">
        <f t="shared" si="9"/>
        <v/>
      </c>
      <c r="G245" s="12"/>
      <c r="H245" s="11"/>
    </row>
    <row r="246" spans="1:8" ht="24.95" customHeight="1" x14ac:dyDescent="0.25">
      <c r="A246" s="12"/>
      <c r="B246" s="12"/>
      <c r="C246" s="12" t="s">
        <v>161</v>
      </c>
      <c r="D246" s="12" t="s">
        <v>122</v>
      </c>
      <c r="E246" s="12" t="s">
        <v>122</v>
      </c>
      <c r="F246" s="19" t="str">
        <f t="shared" si="9"/>
        <v/>
      </c>
      <c r="G246" s="12"/>
      <c r="H246" s="11"/>
    </row>
    <row r="247" spans="1:8" ht="24.95" customHeight="1" x14ac:dyDescent="0.25">
      <c r="A247" s="12"/>
      <c r="B247" s="12"/>
      <c r="C247" s="12" t="s">
        <v>161</v>
      </c>
      <c r="D247" s="12" t="s">
        <v>122</v>
      </c>
      <c r="E247" s="12" t="s">
        <v>122</v>
      </c>
      <c r="F247" s="19" t="str">
        <f t="shared" si="9"/>
        <v/>
      </c>
      <c r="G247" s="12"/>
      <c r="H247" s="11"/>
    </row>
    <row r="248" spans="1:8" ht="24.95" customHeight="1" x14ac:dyDescent="0.25">
      <c r="A248" s="12"/>
      <c r="B248" s="12"/>
      <c r="C248" s="12" t="s">
        <v>161</v>
      </c>
      <c r="D248" s="12" t="s">
        <v>122</v>
      </c>
      <c r="E248" s="12" t="s">
        <v>122</v>
      </c>
      <c r="F248" s="19" t="str">
        <f t="shared" si="9"/>
        <v/>
      </c>
      <c r="G248" s="12"/>
      <c r="H248" s="11"/>
    </row>
    <row r="249" spans="1:8" ht="24.95" customHeight="1" x14ac:dyDescent="0.25">
      <c r="A249" s="12"/>
      <c r="B249" s="12"/>
      <c r="C249" s="12" t="s">
        <v>161</v>
      </c>
      <c r="D249" s="12" t="s">
        <v>123</v>
      </c>
      <c r="E249" s="12" t="s">
        <v>122</v>
      </c>
      <c r="F249" s="19" t="str">
        <f t="shared" si="9"/>
        <v>Técnico</v>
      </c>
      <c r="G249" s="12"/>
      <c r="H249" s="11"/>
    </row>
    <row r="250" spans="1:8" ht="24.95" customHeight="1" x14ac:dyDescent="0.25">
      <c r="A250" s="12"/>
      <c r="B250" s="12"/>
      <c r="C250" s="12" t="s">
        <v>161</v>
      </c>
      <c r="D250" s="12" t="s">
        <v>123</v>
      </c>
      <c r="E250" s="12" t="s">
        <v>122</v>
      </c>
      <c r="F250" s="19" t="str">
        <f t="shared" si="9"/>
        <v>Técnico</v>
      </c>
      <c r="G250" s="12"/>
      <c r="H250" s="11"/>
    </row>
    <row r="251" spans="1:8" ht="24.95" customHeight="1" x14ac:dyDescent="0.25">
      <c r="A251" s="12"/>
      <c r="B251" s="12"/>
      <c r="C251" s="12" t="s">
        <v>161</v>
      </c>
      <c r="D251" s="12" t="s">
        <v>123</v>
      </c>
      <c r="E251" s="12" t="s">
        <v>122</v>
      </c>
      <c r="F251" s="19" t="str">
        <f t="shared" si="9"/>
        <v>Técnico</v>
      </c>
      <c r="G251" s="12"/>
      <c r="H251" s="11"/>
    </row>
    <row r="252" spans="1:8" ht="24.95" customHeight="1" x14ac:dyDescent="0.25">
      <c r="A252" s="12"/>
      <c r="B252" s="12"/>
      <c r="C252" s="12" t="s">
        <v>161</v>
      </c>
      <c r="D252" s="12" t="s">
        <v>123</v>
      </c>
      <c r="E252" s="12" t="s">
        <v>122</v>
      </c>
      <c r="F252" s="19" t="str">
        <f t="shared" si="9"/>
        <v>Técnico</v>
      </c>
      <c r="G252" s="12"/>
      <c r="H252" s="11"/>
    </row>
    <row r="253" spans="1:8" ht="24.95" customHeight="1" x14ac:dyDescent="0.25">
      <c r="A253" s="12"/>
      <c r="B253" s="12"/>
      <c r="C253" s="12" t="s">
        <v>313</v>
      </c>
      <c r="D253" s="12" t="s">
        <v>122</v>
      </c>
      <c r="E253" s="12" t="s">
        <v>123</v>
      </c>
      <c r="F253" s="19" t="str">
        <f t="shared" si="9"/>
        <v>REP</v>
      </c>
      <c r="G253" s="12"/>
      <c r="H253" s="11"/>
    </row>
    <row r="254" spans="1:8" ht="24.95" customHeight="1" x14ac:dyDescent="0.25">
      <c r="A254" s="12"/>
      <c r="B254" s="12"/>
      <c r="C254" s="12" t="s">
        <v>140</v>
      </c>
      <c r="D254" s="12" t="s">
        <v>123</v>
      </c>
      <c r="E254" s="12" t="s">
        <v>123</v>
      </c>
      <c r="F254" s="19" t="str">
        <f t="shared" si="9"/>
        <v>Ambos</v>
      </c>
      <c r="G254" s="12"/>
      <c r="H254" s="11"/>
    </row>
    <row r="255" spans="1:8" ht="24.95" customHeight="1" x14ac:dyDescent="0.25">
      <c r="A255" s="12"/>
      <c r="B255" s="12"/>
      <c r="C255" s="12" t="s">
        <v>140</v>
      </c>
      <c r="D255" s="12" t="s">
        <v>122</v>
      </c>
      <c r="E255" s="12" t="s">
        <v>122</v>
      </c>
      <c r="F255" s="19" t="str">
        <f t="shared" si="9"/>
        <v/>
      </c>
      <c r="G255" s="12"/>
      <c r="H255" s="11"/>
    </row>
    <row r="256" spans="1:8" ht="24.95" customHeight="1" x14ac:dyDescent="0.25">
      <c r="A256" s="12"/>
      <c r="B256" s="12"/>
      <c r="C256" s="12" t="s">
        <v>140</v>
      </c>
      <c r="D256" s="12" t="s">
        <v>122</v>
      </c>
      <c r="E256" s="12" t="s">
        <v>122</v>
      </c>
      <c r="F256" s="19" t="str">
        <f t="shared" si="9"/>
        <v/>
      </c>
      <c r="G256" s="12"/>
      <c r="H256" s="11"/>
    </row>
    <row r="257" spans="1:8" ht="24.95" customHeight="1" x14ac:dyDescent="0.25">
      <c r="A257" s="12"/>
      <c r="B257" s="12"/>
      <c r="C257" s="12" t="s">
        <v>140</v>
      </c>
      <c r="D257" s="12" t="s">
        <v>122</v>
      </c>
      <c r="E257" s="12" t="s">
        <v>122</v>
      </c>
      <c r="F257" s="19" t="str">
        <f t="shared" si="9"/>
        <v/>
      </c>
      <c r="G257" s="12"/>
      <c r="H257" s="11"/>
    </row>
    <row r="258" spans="1:8" ht="24.95" customHeight="1" x14ac:dyDescent="0.25">
      <c r="A258" s="12"/>
      <c r="B258" s="12"/>
      <c r="C258" s="12" t="s">
        <v>156</v>
      </c>
      <c r="D258" s="12" t="s">
        <v>123</v>
      </c>
      <c r="E258" s="12" t="s">
        <v>123</v>
      </c>
      <c r="F258" s="19" t="str">
        <f t="shared" si="9"/>
        <v>Ambos</v>
      </c>
      <c r="G258" s="12"/>
      <c r="H258" s="11"/>
    </row>
    <row r="259" spans="1:8" ht="24.95" customHeight="1" x14ac:dyDescent="0.25">
      <c r="A259" s="12"/>
      <c r="B259" s="12"/>
      <c r="C259" s="12" t="s">
        <v>188</v>
      </c>
      <c r="D259" s="12" t="s">
        <v>122</v>
      </c>
      <c r="E259" s="12" t="s">
        <v>122</v>
      </c>
      <c r="F259" s="19" t="str">
        <f t="shared" ref="F259:F322" si="10">IFERROR(IF(AND(D259="Não",E259="Sim"),"REP",
IF(AND(D259="Sim",E259="Não"),"Técnico",
IF(AND(D259="Sim",E259="Sim"),"Ambos",""))),"")</f>
        <v/>
      </c>
      <c r="G259" s="12"/>
      <c r="H259" s="11"/>
    </row>
    <row r="260" spans="1:8" ht="24.95" customHeight="1" x14ac:dyDescent="0.25">
      <c r="A260" s="12"/>
      <c r="B260" s="12"/>
      <c r="C260" s="12" t="s">
        <v>156</v>
      </c>
      <c r="D260" s="12" t="s">
        <v>122</v>
      </c>
      <c r="E260" s="12" t="s">
        <v>122</v>
      </c>
      <c r="F260" s="19" t="str">
        <f t="shared" si="10"/>
        <v/>
      </c>
      <c r="G260" s="12"/>
      <c r="H260" s="11"/>
    </row>
    <row r="261" spans="1:8" ht="24.95" customHeight="1" x14ac:dyDescent="0.25">
      <c r="A261" s="12"/>
      <c r="B261" s="12"/>
      <c r="C261" s="12" t="s">
        <v>140</v>
      </c>
      <c r="D261" s="12" t="s">
        <v>123</v>
      </c>
      <c r="E261" s="12" t="s">
        <v>122</v>
      </c>
      <c r="F261" s="19" t="str">
        <f t="shared" si="10"/>
        <v>Técnico</v>
      </c>
      <c r="G261" s="12"/>
      <c r="H261" s="11"/>
    </row>
    <row r="262" spans="1:8" ht="24.95" customHeight="1" x14ac:dyDescent="0.25">
      <c r="A262" s="12"/>
      <c r="B262" s="12"/>
      <c r="C262" s="12" t="s">
        <v>188</v>
      </c>
      <c r="D262" s="12" t="s">
        <v>123</v>
      </c>
      <c r="E262" s="12" t="s">
        <v>123</v>
      </c>
      <c r="F262" s="19" t="str">
        <f t="shared" si="10"/>
        <v>Ambos</v>
      </c>
      <c r="G262" s="12"/>
      <c r="H262" s="11"/>
    </row>
    <row r="263" spans="1:8" ht="24.95" customHeight="1" x14ac:dyDescent="0.25">
      <c r="A263" s="12"/>
      <c r="B263" s="12"/>
      <c r="C263" s="12" t="s">
        <v>188</v>
      </c>
      <c r="D263" s="12" t="s">
        <v>122</v>
      </c>
      <c r="E263" s="12" t="s">
        <v>122</v>
      </c>
      <c r="F263" s="19" t="str">
        <f t="shared" si="10"/>
        <v/>
      </c>
      <c r="G263" s="12"/>
      <c r="H263" s="11"/>
    </row>
    <row r="264" spans="1:8" ht="24.95" customHeight="1" x14ac:dyDescent="0.25">
      <c r="A264" s="12"/>
      <c r="B264" s="12"/>
      <c r="C264" s="12" t="s">
        <v>188</v>
      </c>
      <c r="D264" s="12" t="s">
        <v>122</v>
      </c>
      <c r="E264" s="12" t="s">
        <v>122</v>
      </c>
      <c r="F264" s="19" t="str">
        <f t="shared" si="10"/>
        <v/>
      </c>
      <c r="G264" s="12"/>
      <c r="H264" s="11"/>
    </row>
    <row r="265" spans="1:8" ht="24.95" customHeight="1" x14ac:dyDescent="0.25">
      <c r="A265" s="12"/>
      <c r="B265" s="12"/>
      <c r="C265" s="12" t="s">
        <v>188</v>
      </c>
      <c r="D265" s="12" t="s">
        <v>123</v>
      </c>
      <c r="E265" s="12" t="s">
        <v>123</v>
      </c>
      <c r="F265" s="19" t="str">
        <f t="shared" si="10"/>
        <v>Ambos</v>
      </c>
      <c r="G265" s="12"/>
      <c r="H265" s="11"/>
    </row>
    <row r="266" spans="1:8" ht="24.95" customHeight="1" x14ac:dyDescent="0.25">
      <c r="A266" s="12"/>
      <c r="B266" s="12"/>
      <c r="C266" s="12" t="s">
        <v>188</v>
      </c>
      <c r="D266" s="12" t="s">
        <v>122</v>
      </c>
      <c r="E266" s="12" t="s">
        <v>122</v>
      </c>
      <c r="F266" s="19" t="str">
        <f t="shared" si="10"/>
        <v/>
      </c>
      <c r="G266" s="12"/>
      <c r="H266" s="11"/>
    </row>
    <row r="267" spans="1:8" ht="24.95" customHeight="1" x14ac:dyDescent="0.25">
      <c r="A267" s="12"/>
      <c r="B267" s="12"/>
      <c r="C267" s="12" t="s">
        <v>188</v>
      </c>
      <c r="D267" s="12" t="s">
        <v>122</v>
      </c>
      <c r="E267" s="12" t="s">
        <v>122</v>
      </c>
      <c r="F267" s="19" t="str">
        <f t="shared" si="10"/>
        <v/>
      </c>
      <c r="G267" s="12"/>
      <c r="H267" s="11"/>
    </row>
    <row r="268" spans="1:8" ht="24.95" customHeight="1" x14ac:dyDescent="0.25">
      <c r="A268" s="12"/>
      <c r="B268" s="12"/>
      <c r="C268" s="12" t="s">
        <v>140</v>
      </c>
      <c r="D268" s="12" t="s">
        <v>122</v>
      </c>
      <c r="E268" s="12" t="s">
        <v>123</v>
      </c>
      <c r="F268" s="19" t="str">
        <f t="shared" si="10"/>
        <v>REP</v>
      </c>
      <c r="G268" s="12"/>
      <c r="H268" s="11"/>
    </row>
    <row r="269" spans="1:8" ht="24.95" customHeight="1" x14ac:dyDescent="0.25">
      <c r="A269" s="12"/>
      <c r="B269" s="12"/>
      <c r="C269" s="12" t="s">
        <v>188</v>
      </c>
      <c r="D269" s="12" t="s">
        <v>123</v>
      </c>
      <c r="E269" s="12" t="s">
        <v>123</v>
      </c>
      <c r="F269" s="19" t="str">
        <f t="shared" si="10"/>
        <v>Ambos</v>
      </c>
      <c r="G269" s="12"/>
      <c r="H269" s="11"/>
    </row>
    <row r="270" spans="1:8" ht="24.95" customHeight="1" x14ac:dyDescent="0.25">
      <c r="A270" s="12"/>
      <c r="B270" s="12"/>
      <c r="C270" s="12" t="s">
        <v>539</v>
      </c>
      <c r="D270" s="12" t="s">
        <v>122</v>
      </c>
      <c r="E270" s="12" t="s">
        <v>122</v>
      </c>
      <c r="F270" s="19" t="str">
        <f t="shared" si="10"/>
        <v/>
      </c>
      <c r="G270" s="12"/>
      <c r="H270" s="11"/>
    </row>
    <row r="271" spans="1:8" ht="24.95" customHeight="1" x14ac:dyDescent="0.25">
      <c r="A271" s="12"/>
      <c r="B271" s="12"/>
      <c r="C271" s="12" t="s">
        <v>539</v>
      </c>
      <c r="D271" s="12" t="s">
        <v>122</v>
      </c>
      <c r="E271" s="12" t="s">
        <v>122</v>
      </c>
      <c r="F271" s="19" t="str">
        <f t="shared" si="10"/>
        <v/>
      </c>
      <c r="G271" s="12"/>
      <c r="H271" s="11"/>
    </row>
    <row r="272" spans="1:8" ht="24.95" customHeight="1" x14ac:dyDescent="0.25">
      <c r="A272" s="12"/>
      <c r="B272" s="12"/>
      <c r="C272" s="12" t="s">
        <v>539</v>
      </c>
      <c r="D272" s="12" t="s">
        <v>122</v>
      </c>
      <c r="E272" s="12" t="s">
        <v>122</v>
      </c>
      <c r="F272" s="19" t="str">
        <f t="shared" si="10"/>
        <v/>
      </c>
      <c r="G272" s="12"/>
      <c r="H272" s="11"/>
    </row>
    <row r="273" spans="1:8" ht="24.95" customHeight="1" x14ac:dyDescent="0.25">
      <c r="A273" s="12"/>
      <c r="B273" s="12"/>
      <c r="C273" s="12" t="s">
        <v>539</v>
      </c>
      <c r="D273" s="12" t="s">
        <v>122</v>
      </c>
      <c r="E273" s="12" t="s">
        <v>122</v>
      </c>
      <c r="F273" s="19" t="str">
        <f t="shared" si="10"/>
        <v/>
      </c>
      <c r="G273" s="12"/>
      <c r="H273" s="11"/>
    </row>
    <row r="274" spans="1:8" ht="24.95" customHeight="1" x14ac:dyDescent="0.25">
      <c r="A274" s="12"/>
      <c r="B274" s="12"/>
      <c r="C274" s="12" t="s">
        <v>539</v>
      </c>
      <c r="D274" s="12" t="s">
        <v>122</v>
      </c>
      <c r="E274" s="12" t="s">
        <v>122</v>
      </c>
      <c r="F274" s="19" t="str">
        <f t="shared" si="10"/>
        <v/>
      </c>
      <c r="G274" s="12"/>
      <c r="H274" s="11"/>
    </row>
    <row r="275" spans="1:8" ht="24.95" customHeight="1" x14ac:dyDescent="0.25">
      <c r="A275" s="12"/>
      <c r="B275" s="12"/>
      <c r="C275" s="12" t="s">
        <v>539</v>
      </c>
      <c r="D275" s="12" t="s">
        <v>122</v>
      </c>
      <c r="E275" s="12" t="s">
        <v>122</v>
      </c>
      <c r="F275" s="19" t="str">
        <f t="shared" si="10"/>
        <v/>
      </c>
      <c r="G275" s="12"/>
      <c r="H275" s="11"/>
    </row>
    <row r="276" spans="1:8" ht="24.95" customHeight="1" x14ac:dyDescent="0.25">
      <c r="A276" s="12"/>
      <c r="B276" s="12"/>
      <c r="C276" s="12" t="s">
        <v>539</v>
      </c>
      <c r="D276" s="12" t="s">
        <v>122</v>
      </c>
      <c r="E276" s="12" t="s">
        <v>122</v>
      </c>
      <c r="F276" s="19" t="str">
        <f t="shared" si="10"/>
        <v/>
      </c>
      <c r="G276" s="12"/>
      <c r="H276" s="11"/>
    </row>
    <row r="277" spans="1:8" ht="24.95" customHeight="1" x14ac:dyDescent="0.25">
      <c r="A277" s="12"/>
      <c r="B277" s="12"/>
      <c r="C277" s="12" t="s">
        <v>539</v>
      </c>
      <c r="D277" s="12" t="s">
        <v>122</v>
      </c>
      <c r="E277" s="12" t="s">
        <v>122</v>
      </c>
      <c r="F277" s="19" t="str">
        <f t="shared" si="10"/>
        <v/>
      </c>
      <c r="G277" s="12"/>
      <c r="H277" s="11"/>
    </row>
    <row r="278" spans="1:8" ht="24.95" customHeight="1" x14ac:dyDescent="0.25">
      <c r="A278" s="12"/>
      <c r="B278" s="12"/>
      <c r="C278" s="12" t="s">
        <v>539</v>
      </c>
      <c r="D278" s="12" t="s">
        <v>122</v>
      </c>
      <c r="E278" s="12" t="s">
        <v>122</v>
      </c>
      <c r="F278" s="19" t="str">
        <f t="shared" si="10"/>
        <v/>
      </c>
      <c r="G278" s="12"/>
      <c r="H278" s="11"/>
    </row>
    <row r="279" spans="1:8" ht="24.95" customHeight="1" x14ac:dyDescent="0.25">
      <c r="A279" s="12"/>
      <c r="B279" s="12"/>
      <c r="C279" s="12" t="s">
        <v>539</v>
      </c>
      <c r="D279" s="12" t="s">
        <v>122</v>
      </c>
      <c r="E279" s="12" t="s">
        <v>122</v>
      </c>
      <c r="F279" s="19" t="str">
        <f t="shared" si="10"/>
        <v/>
      </c>
      <c r="G279" s="12"/>
      <c r="H279" s="11"/>
    </row>
    <row r="280" spans="1:8" ht="24.95" customHeight="1" x14ac:dyDescent="0.25">
      <c r="A280" s="12"/>
      <c r="B280" s="12"/>
      <c r="C280" s="12" t="s">
        <v>188</v>
      </c>
      <c r="D280" s="12" t="s">
        <v>123</v>
      </c>
      <c r="E280" s="12" t="s">
        <v>123</v>
      </c>
      <c r="F280" s="19" t="str">
        <f t="shared" si="10"/>
        <v>Ambos</v>
      </c>
      <c r="G280" s="12"/>
      <c r="H280" s="11"/>
    </row>
    <row r="281" spans="1:8" ht="24.95" customHeight="1" x14ac:dyDescent="0.25">
      <c r="A281" s="12"/>
      <c r="B281" s="12"/>
      <c r="C281" s="12" t="s">
        <v>176</v>
      </c>
      <c r="D281" s="12" t="s">
        <v>122</v>
      </c>
      <c r="E281" s="12" t="s">
        <v>122</v>
      </c>
      <c r="F281" s="19" t="str">
        <f t="shared" si="10"/>
        <v/>
      </c>
      <c r="G281" s="12"/>
      <c r="H281" s="11"/>
    </row>
    <row r="282" spans="1:8" ht="24.95" customHeight="1" x14ac:dyDescent="0.25">
      <c r="A282" s="12"/>
      <c r="B282" s="12"/>
      <c r="C282" s="12" t="s">
        <v>176</v>
      </c>
      <c r="D282" s="12" t="s">
        <v>122</v>
      </c>
      <c r="E282" s="12" t="s">
        <v>122</v>
      </c>
      <c r="F282" s="19" t="str">
        <f t="shared" si="10"/>
        <v/>
      </c>
      <c r="G282" s="12"/>
      <c r="H282" s="11"/>
    </row>
    <row r="283" spans="1:8" ht="24.95" customHeight="1" x14ac:dyDescent="0.25">
      <c r="A283" s="12"/>
      <c r="B283" s="12"/>
      <c r="C283" s="12" t="s">
        <v>176</v>
      </c>
      <c r="D283" s="12" t="s">
        <v>122</v>
      </c>
      <c r="E283" s="12" t="s">
        <v>122</v>
      </c>
      <c r="F283" s="19" t="str">
        <f t="shared" si="10"/>
        <v/>
      </c>
      <c r="G283" s="12"/>
      <c r="H283" s="11"/>
    </row>
    <row r="284" spans="1:8" ht="24.95" customHeight="1" x14ac:dyDescent="0.25">
      <c r="A284" s="12"/>
      <c r="B284" s="12"/>
      <c r="C284" s="12" t="s">
        <v>313</v>
      </c>
      <c r="D284" s="12" t="s">
        <v>122</v>
      </c>
      <c r="E284" s="12" t="s">
        <v>123</v>
      </c>
      <c r="F284" s="19" t="str">
        <f t="shared" si="10"/>
        <v>REP</v>
      </c>
      <c r="G284" s="12"/>
      <c r="H284" s="11"/>
    </row>
    <row r="285" spans="1:8" ht="24.95" customHeight="1" x14ac:dyDescent="0.25">
      <c r="A285" s="12"/>
      <c r="B285" s="12"/>
      <c r="C285" s="12" t="s">
        <v>313</v>
      </c>
      <c r="D285" s="12" t="s">
        <v>122</v>
      </c>
      <c r="E285" s="12" t="s">
        <v>123</v>
      </c>
      <c r="F285" s="19" t="str">
        <f t="shared" si="10"/>
        <v>REP</v>
      </c>
      <c r="G285" s="12"/>
      <c r="H285" s="11"/>
    </row>
    <row r="286" spans="1:8" ht="24.95" customHeight="1" x14ac:dyDescent="0.25">
      <c r="A286" s="12"/>
      <c r="B286" s="12"/>
      <c r="C286" s="12" t="s">
        <v>156</v>
      </c>
      <c r="D286" s="12" t="s">
        <v>123</v>
      </c>
      <c r="E286" s="12" t="s">
        <v>122</v>
      </c>
      <c r="F286" s="19" t="str">
        <f t="shared" si="10"/>
        <v>Técnico</v>
      </c>
      <c r="G286" s="12"/>
      <c r="H286" s="11"/>
    </row>
    <row r="287" spans="1:8" ht="24.95" customHeight="1" x14ac:dyDescent="0.25">
      <c r="A287" s="12"/>
      <c r="B287" s="12"/>
      <c r="C287" s="12" t="s">
        <v>156</v>
      </c>
      <c r="D287" s="12" t="s">
        <v>123</v>
      </c>
      <c r="E287" s="12" t="s">
        <v>122</v>
      </c>
      <c r="F287" s="19" t="str">
        <f t="shared" si="10"/>
        <v>Técnico</v>
      </c>
      <c r="G287" s="12"/>
      <c r="H287" s="11"/>
    </row>
    <row r="288" spans="1:8" ht="24.95" customHeight="1" x14ac:dyDescent="0.25">
      <c r="A288" s="12"/>
      <c r="B288" s="12"/>
      <c r="C288" s="12" t="s">
        <v>156</v>
      </c>
      <c r="D288" s="12" t="s">
        <v>123</v>
      </c>
      <c r="E288" s="12" t="s">
        <v>122</v>
      </c>
      <c r="F288" s="19" t="str">
        <f t="shared" si="10"/>
        <v>Técnico</v>
      </c>
      <c r="G288" s="12"/>
      <c r="H288" s="11"/>
    </row>
    <row r="289" spans="1:8" ht="24.95" customHeight="1" x14ac:dyDescent="0.25">
      <c r="A289" s="12"/>
      <c r="B289" s="12"/>
      <c r="C289" s="12" t="s">
        <v>156</v>
      </c>
      <c r="D289" s="12" t="s">
        <v>123</v>
      </c>
      <c r="E289" s="12" t="s">
        <v>122</v>
      </c>
      <c r="F289" s="19" t="str">
        <f t="shared" si="10"/>
        <v>Técnico</v>
      </c>
      <c r="G289" s="12"/>
      <c r="H289" s="11"/>
    </row>
    <row r="290" spans="1:8" ht="24.95" customHeight="1" x14ac:dyDescent="0.25">
      <c r="A290" s="12"/>
      <c r="B290" s="12"/>
      <c r="C290" s="12" t="s">
        <v>156</v>
      </c>
      <c r="D290" s="12" t="s">
        <v>123</v>
      </c>
      <c r="E290" s="12" t="s">
        <v>122</v>
      </c>
      <c r="F290" s="19" t="str">
        <f t="shared" si="10"/>
        <v>Técnico</v>
      </c>
      <c r="G290" s="12"/>
      <c r="H290" s="11"/>
    </row>
    <row r="291" spans="1:8" ht="24.95" customHeight="1" x14ac:dyDescent="0.25">
      <c r="A291" s="12"/>
      <c r="B291" s="12"/>
      <c r="C291" s="12" t="s">
        <v>156</v>
      </c>
      <c r="D291" s="12" t="s">
        <v>123</v>
      </c>
      <c r="E291" s="12" t="s">
        <v>122</v>
      </c>
      <c r="F291" s="19" t="str">
        <f t="shared" si="10"/>
        <v>Técnico</v>
      </c>
      <c r="G291" s="12"/>
      <c r="H291" s="11"/>
    </row>
    <row r="292" spans="1:8" ht="24.95" customHeight="1" x14ac:dyDescent="0.25">
      <c r="A292" s="12"/>
      <c r="B292" s="12"/>
      <c r="C292" s="12" t="s">
        <v>156</v>
      </c>
      <c r="D292" s="12" t="s">
        <v>123</v>
      </c>
      <c r="E292" s="12" t="s">
        <v>122</v>
      </c>
      <c r="F292" s="19" t="str">
        <f t="shared" si="10"/>
        <v>Técnico</v>
      </c>
      <c r="G292" s="12"/>
      <c r="H292" s="11"/>
    </row>
    <row r="293" spans="1:8" ht="24.95" customHeight="1" x14ac:dyDescent="0.25">
      <c r="A293" s="12"/>
      <c r="B293" s="12"/>
      <c r="C293" s="12" t="s">
        <v>156</v>
      </c>
      <c r="D293" s="12" t="s">
        <v>123</v>
      </c>
      <c r="E293" s="12" t="s">
        <v>122</v>
      </c>
      <c r="F293" s="19" t="str">
        <f t="shared" si="10"/>
        <v>Técnico</v>
      </c>
      <c r="G293" s="12"/>
      <c r="H293" s="11"/>
    </row>
    <row r="294" spans="1:8" ht="24.95" customHeight="1" x14ac:dyDescent="0.25">
      <c r="A294" s="12"/>
      <c r="B294" s="12"/>
      <c r="C294" s="12" t="s">
        <v>156</v>
      </c>
      <c r="D294" s="12" t="s">
        <v>123</v>
      </c>
      <c r="E294" s="12" t="s">
        <v>122</v>
      </c>
      <c r="F294" s="19" t="str">
        <f t="shared" si="10"/>
        <v>Técnico</v>
      </c>
      <c r="G294" s="12"/>
      <c r="H294" s="11"/>
    </row>
    <row r="295" spans="1:8" ht="24.95" customHeight="1" x14ac:dyDescent="0.25">
      <c r="A295" s="12"/>
      <c r="B295" s="12"/>
      <c r="C295" s="12" t="s">
        <v>156</v>
      </c>
      <c r="D295" s="12" t="s">
        <v>123</v>
      </c>
      <c r="E295" s="12" t="s">
        <v>122</v>
      </c>
      <c r="F295" s="19" t="str">
        <f t="shared" si="10"/>
        <v>Técnico</v>
      </c>
      <c r="G295" s="12"/>
      <c r="H295" s="11"/>
    </row>
    <row r="296" spans="1:8" ht="24.95" customHeight="1" x14ac:dyDescent="0.25">
      <c r="A296" s="12"/>
      <c r="B296" s="12"/>
      <c r="C296" s="12" t="s">
        <v>156</v>
      </c>
      <c r="D296" s="12" t="s">
        <v>123</v>
      </c>
      <c r="E296" s="12" t="s">
        <v>122</v>
      </c>
      <c r="F296" s="19" t="str">
        <f t="shared" si="10"/>
        <v>Técnico</v>
      </c>
      <c r="G296" s="12"/>
      <c r="H296" s="11"/>
    </row>
    <row r="297" spans="1:8" ht="24.95" customHeight="1" x14ac:dyDescent="0.25">
      <c r="A297" s="12"/>
      <c r="B297" s="12"/>
      <c r="C297" s="12" t="s">
        <v>313</v>
      </c>
      <c r="D297" s="12" t="s">
        <v>122</v>
      </c>
      <c r="E297" s="12" t="s">
        <v>122</v>
      </c>
      <c r="F297" s="19" t="str">
        <f t="shared" si="10"/>
        <v/>
      </c>
      <c r="G297" s="12"/>
      <c r="H297" s="11"/>
    </row>
    <row r="298" spans="1:8" ht="24.95" customHeight="1" x14ac:dyDescent="0.25">
      <c r="A298" s="12"/>
      <c r="B298" s="12"/>
      <c r="C298" s="12" t="s">
        <v>161</v>
      </c>
      <c r="D298" s="12" t="s">
        <v>123</v>
      </c>
      <c r="E298" s="12" t="s">
        <v>123</v>
      </c>
      <c r="F298" s="19" t="str">
        <f t="shared" si="10"/>
        <v>Ambos</v>
      </c>
      <c r="G298" s="12"/>
      <c r="H298" s="11"/>
    </row>
    <row r="299" spans="1:8" ht="24.95" customHeight="1" x14ac:dyDescent="0.25">
      <c r="A299" s="12"/>
      <c r="B299" s="12"/>
      <c r="C299" s="12" t="s">
        <v>140</v>
      </c>
      <c r="D299" s="12" t="s">
        <v>122</v>
      </c>
      <c r="E299" s="12" t="s">
        <v>122</v>
      </c>
      <c r="F299" s="19" t="str">
        <f t="shared" si="10"/>
        <v/>
      </c>
      <c r="G299" s="12"/>
      <c r="H299" s="11"/>
    </row>
    <row r="300" spans="1:8" ht="24.95" customHeight="1" x14ac:dyDescent="0.25">
      <c r="A300" s="12"/>
      <c r="B300" s="12"/>
      <c r="C300" s="12" t="s">
        <v>161</v>
      </c>
      <c r="D300" s="12" t="s">
        <v>122</v>
      </c>
      <c r="E300" s="12" t="s">
        <v>122</v>
      </c>
      <c r="F300" s="19" t="str">
        <f t="shared" si="10"/>
        <v/>
      </c>
      <c r="G300" s="12"/>
      <c r="H300" s="11"/>
    </row>
    <row r="301" spans="1:8" ht="24.95" customHeight="1" x14ac:dyDescent="0.25">
      <c r="A301" s="12"/>
      <c r="B301" s="12"/>
      <c r="C301" s="12" t="s">
        <v>188</v>
      </c>
      <c r="D301" s="12" t="s">
        <v>122</v>
      </c>
      <c r="E301" s="12" t="s">
        <v>122</v>
      </c>
      <c r="F301" s="19" t="str">
        <f t="shared" si="10"/>
        <v/>
      </c>
      <c r="G301" s="12"/>
      <c r="H301" s="11"/>
    </row>
    <row r="302" spans="1:8" ht="24.95" customHeight="1" x14ac:dyDescent="0.25">
      <c r="A302" s="12"/>
      <c r="B302" s="12"/>
      <c r="C302" s="12" t="s">
        <v>176</v>
      </c>
      <c r="D302" s="12" t="s">
        <v>122</v>
      </c>
      <c r="E302" s="12" t="s">
        <v>122</v>
      </c>
      <c r="F302" s="19" t="str">
        <f t="shared" si="10"/>
        <v/>
      </c>
      <c r="G302" s="12"/>
      <c r="H302" s="11"/>
    </row>
    <row r="303" spans="1:8" ht="24.95" customHeight="1" x14ac:dyDescent="0.25">
      <c r="A303" s="12"/>
      <c r="B303" s="12"/>
      <c r="C303" s="12" t="s">
        <v>140</v>
      </c>
      <c r="D303" s="12" t="s">
        <v>123</v>
      </c>
      <c r="E303" s="12" t="s">
        <v>122</v>
      </c>
      <c r="F303" s="19" t="str">
        <f t="shared" si="10"/>
        <v>Técnico</v>
      </c>
      <c r="G303" s="12"/>
      <c r="H303" s="11"/>
    </row>
    <row r="304" spans="1:8" ht="24.95" customHeight="1" x14ac:dyDescent="0.25">
      <c r="A304" s="12"/>
      <c r="B304" s="12"/>
      <c r="C304" s="12" t="s">
        <v>140</v>
      </c>
      <c r="D304" s="12" t="s">
        <v>123</v>
      </c>
      <c r="E304" s="12" t="s">
        <v>122</v>
      </c>
      <c r="F304" s="19" t="str">
        <f t="shared" si="10"/>
        <v>Técnico</v>
      </c>
      <c r="G304" s="12"/>
      <c r="H304" s="11"/>
    </row>
    <row r="305" spans="1:8" ht="24.95" customHeight="1" x14ac:dyDescent="0.25">
      <c r="A305" s="12"/>
      <c r="B305" s="12"/>
      <c r="C305" s="12" t="s">
        <v>140</v>
      </c>
      <c r="D305" s="12" t="s">
        <v>123</v>
      </c>
      <c r="E305" s="12" t="s">
        <v>122</v>
      </c>
      <c r="F305" s="19" t="str">
        <f t="shared" si="10"/>
        <v>Técnico</v>
      </c>
      <c r="G305" s="12"/>
      <c r="H305" s="11"/>
    </row>
    <row r="306" spans="1:8" ht="24.95" customHeight="1" x14ac:dyDescent="0.25">
      <c r="A306" s="12"/>
      <c r="B306" s="12"/>
      <c r="C306" s="12" t="s">
        <v>156</v>
      </c>
      <c r="D306" s="12" t="s">
        <v>122</v>
      </c>
      <c r="E306" s="12" t="s">
        <v>122</v>
      </c>
      <c r="F306" s="19" t="str">
        <f t="shared" si="10"/>
        <v/>
      </c>
      <c r="G306" s="12"/>
      <c r="H306" s="11"/>
    </row>
    <row r="307" spans="1:8" ht="24.95" customHeight="1" x14ac:dyDescent="0.25">
      <c r="A307" s="12"/>
      <c r="B307" s="12"/>
      <c r="C307" s="12" t="s">
        <v>161</v>
      </c>
      <c r="D307" s="12" t="s">
        <v>122</v>
      </c>
      <c r="E307" s="12" t="s">
        <v>122</v>
      </c>
      <c r="F307" s="19" t="str">
        <f t="shared" si="10"/>
        <v/>
      </c>
      <c r="G307" s="12"/>
      <c r="H307" s="11"/>
    </row>
    <row r="308" spans="1:8" ht="24.95" customHeight="1" x14ac:dyDescent="0.25">
      <c r="A308" s="12"/>
      <c r="B308" s="12"/>
      <c r="C308" s="12" t="s">
        <v>156</v>
      </c>
      <c r="D308" s="12" t="s">
        <v>123</v>
      </c>
      <c r="E308" s="12" t="s">
        <v>122</v>
      </c>
      <c r="F308" s="19" t="str">
        <f t="shared" si="10"/>
        <v>Técnico</v>
      </c>
      <c r="G308" s="12"/>
      <c r="H308" s="11"/>
    </row>
    <row r="309" spans="1:8" ht="24.95" customHeight="1" x14ac:dyDescent="0.25">
      <c r="A309" s="12"/>
      <c r="B309" s="12"/>
      <c r="C309" s="12" t="s">
        <v>156</v>
      </c>
      <c r="D309" s="12" t="s">
        <v>123</v>
      </c>
      <c r="E309" s="12" t="s">
        <v>122</v>
      </c>
      <c r="F309" s="19" t="str">
        <f t="shared" si="10"/>
        <v>Técnico</v>
      </c>
      <c r="G309" s="12"/>
      <c r="H309" s="11"/>
    </row>
    <row r="310" spans="1:8" ht="24.95" customHeight="1" x14ac:dyDescent="0.25">
      <c r="A310" s="12"/>
      <c r="B310" s="12"/>
      <c r="C310" s="12" t="s">
        <v>156</v>
      </c>
      <c r="D310" s="12" t="s">
        <v>123</v>
      </c>
      <c r="E310" s="12" t="s">
        <v>122</v>
      </c>
      <c r="F310" s="19" t="str">
        <f t="shared" si="10"/>
        <v>Técnico</v>
      </c>
      <c r="G310" s="12"/>
      <c r="H310" s="11"/>
    </row>
    <row r="311" spans="1:8" ht="24.95" customHeight="1" x14ac:dyDescent="0.25">
      <c r="A311" s="12"/>
      <c r="B311" s="12"/>
      <c r="C311" s="12" t="s">
        <v>156</v>
      </c>
      <c r="D311" s="12" t="s">
        <v>123</v>
      </c>
      <c r="E311" s="12" t="s">
        <v>122</v>
      </c>
      <c r="F311" s="19" t="str">
        <f t="shared" si="10"/>
        <v>Técnico</v>
      </c>
      <c r="G311" s="12"/>
      <c r="H311" s="11"/>
    </row>
    <row r="312" spans="1:8" ht="24.95" customHeight="1" x14ac:dyDescent="0.25">
      <c r="A312" s="12"/>
      <c r="B312" s="12"/>
      <c r="C312" s="12" t="s">
        <v>156</v>
      </c>
      <c r="D312" s="12" t="s">
        <v>123</v>
      </c>
      <c r="E312" s="12" t="s">
        <v>122</v>
      </c>
      <c r="F312" s="19" t="str">
        <f t="shared" si="10"/>
        <v>Técnico</v>
      </c>
      <c r="G312" s="12"/>
      <c r="H312" s="11"/>
    </row>
    <row r="313" spans="1:8" ht="24.95" customHeight="1" x14ac:dyDescent="0.25">
      <c r="A313" s="12"/>
      <c r="B313" s="12"/>
      <c r="C313" s="12" t="s">
        <v>156</v>
      </c>
      <c r="D313" s="12" t="s">
        <v>123</v>
      </c>
      <c r="E313" s="12" t="s">
        <v>122</v>
      </c>
      <c r="F313" s="19" t="str">
        <f t="shared" si="10"/>
        <v>Técnico</v>
      </c>
      <c r="G313" s="12"/>
      <c r="H313" s="11"/>
    </row>
    <row r="314" spans="1:8" ht="24.95" customHeight="1" x14ac:dyDescent="0.25">
      <c r="A314" s="12"/>
      <c r="B314" s="12"/>
      <c r="C314" s="12" t="s">
        <v>156</v>
      </c>
      <c r="D314" s="12" t="s">
        <v>123</v>
      </c>
      <c r="E314" s="12" t="s">
        <v>122</v>
      </c>
      <c r="F314" s="19" t="str">
        <f t="shared" si="10"/>
        <v>Técnico</v>
      </c>
      <c r="G314" s="12"/>
      <c r="H314" s="11"/>
    </row>
    <row r="315" spans="1:8" ht="24.95" customHeight="1" x14ac:dyDescent="0.25">
      <c r="A315" s="12"/>
      <c r="B315" s="12"/>
      <c r="C315" s="12" t="s">
        <v>156</v>
      </c>
      <c r="D315" s="12" t="s">
        <v>123</v>
      </c>
      <c r="E315" s="12" t="s">
        <v>122</v>
      </c>
      <c r="F315" s="19" t="str">
        <f t="shared" si="10"/>
        <v>Técnico</v>
      </c>
      <c r="G315" s="12"/>
      <c r="H315" s="11"/>
    </row>
    <row r="316" spans="1:8" ht="24.95" customHeight="1" x14ac:dyDescent="0.25">
      <c r="A316" s="12"/>
      <c r="B316" s="12"/>
      <c r="C316" s="12" t="s">
        <v>140</v>
      </c>
      <c r="D316" s="12" t="s">
        <v>122</v>
      </c>
      <c r="E316" s="12" t="s">
        <v>123</v>
      </c>
      <c r="F316" s="19" t="str">
        <f t="shared" si="10"/>
        <v>REP</v>
      </c>
      <c r="G316" s="12"/>
      <c r="H316" s="11"/>
    </row>
    <row r="317" spans="1:8" ht="24.95" customHeight="1" x14ac:dyDescent="0.25">
      <c r="A317" s="12"/>
      <c r="B317" s="12"/>
      <c r="C317" s="12" t="s">
        <v>140</v>
      </c>
      <c r="D317" s="12" t="s">
        <v>122</v>
      </c>
      <c r="E317" s="12" t="s">
        <v>122</v>
      </c>
      <c r="F317" s="19" t="str">
        <f t="shared" si="10"/>
        <v/>
      </c>
      <c r="G317" s="12"/>
      <c r="H317" s="11"/>
    </row>
    <row r="318" spans="1:8" ht="24.95" customHeight="1" x14ac:dyDescent="0.25">
      <c r="A318" s="12"/>
      <c r="B318" s="12"/>
      <c r="C318" s="12" t="s">
        <v>539</v>
      </c>
      <c r="D318" s="12" t="s">
        <v>122</v>
      </c>
      <c r="E318" s="12" t="s">
        <v>122</v>
      </c>
      <c r="F318" s="19" t="str">
        <f t="shared" si="10"/>
        <v/>
      </c>
      <c r="G318" s="12"/>
      <c r="H318" s="11"/>
    </row>
    <row r="319" spans="1:8" ht="24.95" customHeight="1" x14ac:dyDescent="0.25">
      <c r="A319" s="12"/>
      <c r="B319" s="12"/>
      <c r="C319" s="12" t="s">
        <v>539</v>
      </c>
      <c r="D319" s="12" t="s">
        <v>122</v>
      </c>
      <c r="E319" s="12" t="s">
        <v>122</v>
      </c>
      <c r="F319" s="19" t="str">
        <f t="shared" si="10"/>
        <v/>
      </c>
      <c r="G319" s="12"/>
      <c r="H319" s="11"/>
    </row>
    <row r="320" spans="1:8" ht="24.95" customHeight="1" x14ac:dyDescent="0.25">
      <c r="A320" s="12"/>
      <c r="B320" s="12"/>
      <c r="C320" s="12" t="s">
        <v>140</v>
      </c>
      <c r="D320" s="12" t="s">
        <v>122</v>
      </c>
      <c r="E320" s="12" t="s">
        <v>122</v>
      </c>
      <c r="F320" s="19" t="str">
        <f t="shared" si="10"/>
        <v/>
      </c>
      <c r="G320" s="12"/>
      <c r="H320" s="11"/>
    </row>
    <row r="321" spans="1:8" ht="24.95" customHeight="1" x14ac:dyDescent="0.25">
      <c r="A321" s="12"/>
      <c r="B321" s="12"/>
      <c r="C321" s="12" t="s">
        <v>140</v>
      </c>
      <c r="D321" s="12" t="s">
        <v>122</v>
      </c>
      <c r="E321" s="12" t="s">
        <v>122</v>
      </c>
      <c r="F321" s="19" t="str">
        <f t="shared" si="10"/>
        <v/>
      </c>
      <c r="G321" s="12"/>
      <c r="H321" s="11"/>
    </row>
    <row r="322" spans="1:8" ht="24.95" customHeight="1" x14ac:dyDescent="0.25">
      <c r="A322" s="12"/>
      <c r="B322" s="12"/>
      <c r="C322" s="12" t="s">
        <v>539</v>
      </c>
      <c r="D322" s="12" t="s">
        <v>122</v>
      </c>
      <c r="E322" s="12" t="s">
        <v>122</v>
      </c>
      <c r="F322" s="19" t="str">
        <f t="shared" si="10"/>
        <v/>
      </c>
      <c r="G322" s="12"/>
      <c r="H322" s="11"/>
    </row>
    <row r="323" spans="1:8" ht="24.95" customHeight="1" x14ac:dyDescent="0.25">
      <c r="A323" s="12"/>
      <c r="B323" s="12"/>
      <c r="C323" s="12" t="s">
        <v>188</v>
      </c>
      <c r="D323" s="12" t="s">
        <v>123</v>
      </c>
      <c r="E323" s="12" t="s">
        <v>122</v>
      </c>
      <c r="F323" s="19" t="str">
        <f t="shared" ref="F323:F386" si="11">IFERROR(IF(AND(D323="Não",E323="Sim"),"REP",
IF(AND(D323="Sim",E323="Não"),"Técnico",
IF(AND(D323="Sim",E323="Sim"),"Ambos",""))),"")</f>
        <v>Técnico</v>
      </c>
      <c r="G323" s="12"/>
      <c r="H323" s="11"/>
    </row>
    <row r="324" spans="1:8" ht="24.95" customHeight="1" x14ac:dyDescent="0.25">
      <c r="A324" s="12"/>
      <c r="B324" s="12"/>
      <c r="C324" s="12" t="s">
        <v>161</v>
      </c>
      <c r="D324" s="12" t="s">
        <v>123</v>
      </c>
      <c r="E324" s="12" t="s">
        <v>122</v>
      </c>
      <c r="F324" s="19" t="str">
        <f t="shared" si="11"/>
        <v>Técnico</v>
      </c>
      <c r="G324" s="12"/>
      <c r="H324" s="11"/>
    </row>
    <row r="325" spans="1:8" ht="24.95" customHeight="1" x14ac:dyDescent="0.25">
      <c r="A325" s="12"/>
      <c r="B325" s="12"/>
      <c r="C325" s="12" t="s">
        <v>313</v>
      </c>
      <c r="D325" s="12" t="s">
        <v>122</v>
      </c>
      <c r="E325" s="12" t="s">
        <v>123</v>
      </c>
      <c r="F325" s="19" t="str">
        <f t="shared" si="11"/>
        <v>REP</v>
      </c>
      <c r="G325" s="12"/>
      <c r="H325" s="11"/>
    </row>
    <row r="326" spans="1:8" ht="24.95" customHeight="1" x14ac:dyDescent="0.25">
      <c r="A326" s="12"/>
      <c r="B326" s="12"/>
      <c r="C326" s="12" t="s">
        <v>188</v>
      </c>
      <c r="D326" s="12" t="s">
        <v>123</v>
      </c>
      <c r="E326" s="12" t="s">
        <v>123</v>
      </c>
      <c r="F326" s="19" t="str">
        <f t="shared" si="11"/>
        <v>Ambos</v>
      </c>
      <c r="G326" s="12"/>
      <c r="H326" s="11"/>
    </row>
    <row r="327" spans="1:8" ht="24.95" customHeight="1" x14ac:dyDescent="0.25">
      <c r="A327" s="12"/>
      <c r="B327" s="12"/>
      <c r="C327" s="12" t="s">
        <v>161</v>
      </c>
      <c r="D327" s="12" t="s">
        <v>122</v>
      </c>
      <c r="E327" s="12" t="s">
        <v>122</v>
      </c>
      <c r="F327" s="19" t="str">
        <f t="shared" si="11"/>
        <v/>
      </c>
      <c r="G327" s="12"/>
      <c r="H327" s="11"/>
    </row>
    <row r="328" spans="1:8" ht="24.95" customHeight="1" x14ac:dyDescent="0.25">
      <c r="A328" s="12"/>
      <c r="B328" s="12"/>
      <c r="C328" s="12" t="s">
        <v>539</v>
      </c>
      <c r="D328" s="12" t="s">
        <v>122</v>
      </c>
      <c r="E328" s="12" t="s">
        <v>122</v>
      </c>
      <c r="F328" s="19" t="str">
        <f t="shared" si="11"/>
        <v/>
      </c>
      <c r="G328" s="12"/>
      <c r="H328" s="11"/>
    </row>
    <row r="329" spans="1:8" ht="24.95" customHeight="1" x14ac:dyDescent="0.25">
      <c r="A329" s="12"/>
      <c r="B329" s="12"/>
      <c r="C329" s="12" t="s">
        <v>539</v>
      </c>
      <c r="D329" s="12" t="s">
        <v>122</v>
      </c>
      <c r="E329" s="12" t="s">
        <v>122</v>
      </c>
      <c r="F329" s="19" t="str">
        <f t="shared" si="11"/>
        <v/>
      </c>
      <c r="G329" s="12"/>
      <c r="H329" s="11"/>
    </row>
    <row r="330" spans="1:8" ht="24.95" customHeight="1" x14ac:dyDescent="0.25">
      <c r="A330" s="12"/>
      <c r="B330" s="12"/>
      <c r="C330" s="12" t="s">
        <v>539</v>
      </c>
      <c r="D330" s="12" t="s">
        <v>122</v>
      </c>
      <c r="E330" s="12" t="s">
        <v>122</v>
      </c>
      <c r="F330" s="19" t="str">
        <f t="shared" si="11"/>
        <v/>
      </c>
      <c r="G330" s="12"/>
      <c r="H330" s="11"/>
    </row>
    <row r="331" spans="1:8" ht="24.95" customHeight="1" x14ac:dyDescent="0.25">
      <c r="A331" s="12"/>
      <c r="B331" s="12"/>
      <c r="C331" s="12" t="s">
        <v>539</v>
      </c>
      <c r="D331" s="12" t="s">
        <v>122</v>
      </c>
      <c r="E331" s="12" t="s">
        <v>122</v>
      </c>
      <c r="F331" s="19" t="str">
        <f t="shared" si="11"/>
        <v/>
      </c>
      <c r="G331" s="12"/>
      <c r="H331" s="11"/>
    </row>
    <row r="332" spans="1:8" ht="24.95" customHeight="1" x14ac:dyDescent="0.25">
      <c r="A332" s="12"/>
      <c r="B332" s="12"/>
      <c r="C332" s="12" t="s">
        <v>539</v>
      </c>
      <c r="D332" s="12" t="s">
        <v>122</v>
      </c>
      <c r="E332" s="12" t="s">
        <v>122</v>
      </c>
      <c r="F332" s="19" t="str">
        <f t="shared" si="11"/>
        <v/>
      </c>
      <c r="G332" s="12"/>
      <c r="H332" s="11"/>
    </row>
    <row r="333" spans="1:8" ht="24.95" customHeight="1" x14ac:dyDescent="0.25">
      <c r="A333" s="12"/>
      <c r="B333" s="12"/>
      <c r="C333" s="12" t="s">
        <v>539</v>
      </c>
      <c r="D333" s="12" t="s">
        <v>122</v>
      </c>
      <c r="E333" s="12" t="s">
        <v>122</v>
      </c>
      <c r="F333" s="19" t="str">
        <f t="shared" si="11"/>
        <v/>
      </c>
      <c r="G333" s="12"/>
      <c r="H333" s="11"/>
    </row>
    <row r="334" spans="1:8" ht="24.95" customHeight="1" x14ac:dyDescent="0.25">
      <c r="A334" s="12"/>
      <c r="B334" s="12"/>
      <c r="C334" s="12" t="s">
        <v>140</v>
      </c>
      <c r="D334" s="12" t="s">
        <v>123</v>
      </c>
      <c r="E334" s="12" t="s">
        <v>122</v>
      </c>
      <c r="F334" s="19" t="str">
        <f t="shared" si="11"/>
        <v>Técnico</v>
      </c>
      <c r="G334" s="12"/>
      <c r="H334" s="11"/>
    </row>
    <row r="335" spans="1:8" ht="24.95" customHeight="1" x14ac:dyDescent="0.25">
      <c r="A335" s="12"/>
      <c r="B335" s="12"/>
      <c r="C335" s="12" t="s">
        <v>539</v>
      </c>
      <c r="D335" s="12" t="s">
        <v>122</v>
      </c>
      <c r="E335" s="12" t="s">
        <v>122</v>
      </c>
      <c r="F335" s="19" t="str">
        <f t="shared" si="11"/>
        <v/>
      </c>
      <c r="G335" s="12"/>
      <c r="H335" s="11"/>
    </row>
    <row r="336" spans="1:8" ht="24.95" customHeight="1" x14ac:dyDescent="0.25">
      <c r="A336" s="12"/>
      <c r="B336" s="12"/>
      <c r="C336" s="12" t="s">
        <v>140</v>
      </c>
      <c r="D336" s="12" t="s">
        <v>123</v>
      </c>
      <c r="E336" s="12" t="s">
        <v>122</v>
      </c>
      <c r="F336" s="19" t="str">
        <f t="shared" si="11"/>
        <v>Técnico</v>
      </c>
      <c r="G336" s="12"/>
      <c r="H336" s="11"/>
    </row>
    <row r="337" spans="1:8" ht="24.95" customHeight="1" x14ac:dyDescent="0.25">
      <c r="A337" s="12"/>
      <c r="B337" s="12"/>
      <c r="C337" s="12" t="s">
        <v>140</v>
      </c>
      <c r="D337" s="12" t="s">
        <v>123</v>
      </c>
      <c r="E337" s="12" t="s">
        <v>122</v>
      </c>
      <c r="F337" s="19" t="str">
        <f t="shared" si="11"/>
        <v>Técnico</v>
      </c>
      <c r="G337" s="12"/>
      <c r="H337" s="11"/>
    </row>
    <row r="338" spans="1:8" ht="24.95" customHeight="1" x14ac:dyDescent="0.25">
      <c r="A338" s="12"/>
      <c r="B338" s="12"/>
      <c r="C338" s="12" t="s">
        <v>140</v>
      </c>
      <c r="D338" s="12" t="s">
        <v>123</v>
      </c>
      <c r="E338" s="12" t="s">
        <v>122</v>
      </c>
      <c r="F338" s="19" t="str">
        <f t="shared" si="11"/>
        <v>Técnico</v>
      </c>
      <c r="G338" s="12"/>
      <c r="H338" s="11"/>
    </row>
    <row r="339" spans="1:8" ht="24.95" customHeight="1" x14ac:dyDescent="0.25">
      <c r="A339" s="12"/>
      <c r="B339" s="12"/>
      <c r="C339" s="12" t="s">
        <v>140</v>
      </c>
      <c r="D339" s="12" t="s">
        <v>123</v>
      </c>
      <c r="E339" s="12" t="s">
        <v>122</v>
      </c>
      <c r="F339" s="19" t="str">
        <f t="shared" si="11"/>
        <v>Técnico</v>
      </c>
      <c r="G339" s="12"/>
      <c r="H339" s="11"/>
    </row>
    <row r="340" spans="1:8" ht="24.95" customHeight="1" x14ac:dyDescent="0.25">
      <c r="A340" s="12"/>
      <c r="B340" s="12"/>
      <c r="C340" s="12" t="s">
        <v>140</v>
      </c>
      <c r="D340" s="12" t="s">
        <v>123</v>
      </c>
      <c r="E340" s="12" t="s">
        <v>122</v>
      </c>
      <c r="F340" s="19" t="str">
        <f t="shared" si="11"/>
        <v>Técnico</v>
      </c>
      <c r="G340" s="12"/>
      <c r="H340" s="11"/>
    </row>
    <row r="341" spans="1:8" ht="24.95" customHeight="1" x14ac:dyDescent="0.25">
      <c r="A341" s="12"/>
      <c r="B341" s="12"/>
      <c r="C341" s="12" t="s">
        <v>140</v>
      </c>
      <c r="D341" s="12" t="s">
        <v>123</v>
      </c>
      <c r="E341" s="12" t="s">
        <v>122</v>
      </c>
      <c r="F341" s="19" t="str">
        <f t="shared" si="11"/>
        <v>Técnico</v>
      </c>
      <c r="G341" s="12"/>
      <c r="H341" s="11"/>
    </row>
    <row r="342" spans="1:8" ht="24.95" customHeight="1" x14ac:dyDescent="0.25">
      <c r="A342" s="12"/>
      <c r="B342" s="12"/>
      <c r="C342" s="12" t="s">
        <v>140</v>
      </c>
      <c r="D342" s="12" t="s">
        <v>123</v>
      </c>
      <c r="E342" s="12" t="s">
        <v>122</v>
      </c>
      <c r="F342" s="19" t="str">
        <f t="shared" si="11"/>
        <v>Técnico</v>
      </c>
      <c r="G342" s="12"/>
      <c r="H342" s="11"/>
    </row>
    <row r="343" spans="1:8" ht="24.95" customHeight="1" x14ac:dyDescent="0.25">
      <c r="A343" s="12"/>
      <c r="B343" s="12"/>
      <c r="C343" s="12" t="s">
        <v>140</v>
      </c>
      <c r="D343" s="12" t="s">
        <v>122</v>
      </c>
      <c r="E343" s="12" t="s">
        <v>122</v>
      </c>
      <c r="F343" s="19" t="str">
        <f t="shared" si="11"/>
        <v/>
      </c>
      <c r="G343" s="12"/>
      <c r="H343" s="11"/>
    </row>
    <row r="344" spans="1:8" ht="24.95" customHeight="1" x14ac:dyDescent="0.25">
      <c r="A344" s="12"/>
      <c r="B344" s="12"/>
      <c r="C344" s="12" t="s">
        <v>140</v>
      </c>
      <c r="D344" s="12" t="s">
        <v>122</v>
      </c>
      <c r="E344" s="12" t="s">
        <v>122</v>
      </c>
      <c r="F344" s="19" t="str">
        <f t="shared" si="11"/>
        <v/>
      </c>
      <c r="G344" s="12"/>
      <c r="H344" s="11"/>
    </row>
    <row r="345" spans="1:8" ht="24.95" customHeight="1" x14ac:dyDescent="0.25">
      <c r="A345" s="12"/>
      <c r="B345" s="12"/>
      <c r="C345" s="12" t="s">
        <v>140</v>
      </c>
      <c r="D345" s="12" t="s">
        <v>122</v>
      </c>
      <c r="E345" s="12" t="s">
        <v>122</v>
      </c>
      <c r="F345" s="19" t="str">
        <f t="shared" si="11"/>
        <v/>
      </c>
      <c r="G345" s="12"/>
      <c r="H345" s="11"/>
    </row>
    <row r="346" spans="1:8" ht="24.95" customHeight="1" x14ac:dyDescent="0.25">
      <c r="A346" s="12"/>
      <c r="B346" s="12"/>
      <c r="C346" s="12" t="s">
        <v>140</v>
      </c>
      <c r="D346" s="12" t="s">
        <v>122</v>
      </c>
      <c r="E346" s="12" t="s">
        <v>122</v>
      </c>
      <c r="F346" s="19" t="str">
        <f t="shared" si="11"/>
        <v/>
      </c>
      <c r="G346" s="12"/>
      <c r="H346" s="11"/>
    </row>
    <row r="347" spans="1:8" ht="24.95" customHeight="1" x14ac:dyDescent="0.25">
      <c r="A347" s="12"/>
      <c r="B347" s="12"/>
      <c r="C347" s="12" t="s">
        <v>140</v>
      </c>
      <c r="D347" s="12" t="s">
        <v>122</v>
      </c>
      <c r="E347" s="12" t="s">
        <v>122</v>
      </c>
      <c r="F347" s="19" t="str">
        <f t="shared" si="11"/>
        <v/>
      </c>
      <c r="G347" s="12"/>
      <c r="H347" s="11"/>
    </row>
    <row r="348" spans="1:8" ht="24.95" customHeight="1" x14ac:dyDescent="0.25">
      <c r="A348" s="12"/>
      <c r="B348" s="12"/>
      <c r="C348" s="12" t="s">
        <v>140</v>
      </c>
      <c r="D348" s="12" t="s">
        <v>122</v>
      </c>
      <c r="E348" s="12" t="s">
        <v>122</v>
      </c>
      <c r="F348" s="19" t="str">
        <f t="shared" si="11"/>
        <v/>
      </c>
      <c r="G348" s="12"/>
      <c r="H348" s="11"/>
    </row>
    <row r="349" spans="1:8" ht="24.95" customHeight="1" x14ac:dyDescent="0.25">
      <c r="A349" s="12"/>
      <c r="B349" s="12"/>
      <c r="C349" s="12" t="s">
        <v>140</v>
      </c>
      <c r="D349" s="12" t="s">
        <v>122</v>
      </c>
      <c r="E349" s="12" t="s">
        <v>122</v>
      </c>
      <c r="F349" s="19" t="str">
        <f t="shared" si="11"/>
        <v/>
      </c>
      <c r="G349" s="12"/>
      <c r="H349" s="11"/>
    </row>
    <row r="350" spans="1:8" ht="24.95" customHeight="1" x14ac:dyDescent="0.25">
      <c r="A350" s="12"/>
      <c r="B350" s="12"/>
      <c r="C350" s="12" t="s">
        <v>161</v>
      </c>
      <c r="D350" s="12" t="s">
        <v>122</v>
      </c>
      <c r="E350" s="12" t="s">
        <v>122</v>
      </c>
      <c r="F350" s="19" t="str">
        <f t="shared" si="11"/>
        <v/>
      </c>
      <c r="G350" s="12"/>
      <c r="H350" s="11"/>
    </row>
    <row r="351" spans="1:8" ht="24.95" customHeight="1" x14ac:dyDescent="0.25">
      <c r="A351" s="12"/>
      <c r="B351" s="12"/>
      <c r="C351" s="12" t="s">
        <v>188</v>
      </c>
      <c r="D351" s="12" t="s">
        <v>123</v>
      </c>
      <c r="E351" s="12" t="s">
        <v>122</v>
      </c>
      <c r="F351" s="19" t="str">
        <f t="shared" si="11"/>
        <v>Técnico</v>
      </c>
      <c r="G351" s="12"/>
      <c r="H351" s="11"/>
    </row>
    <row r="352" spans="1:8" ht="24.95" customHeight="1" x14ac:dyDescent="0.25">
      <c r="A352" s="12"/>
      <c r="B352" s="12"/>
      <c r="C352" s="12" t="s">
        <v>140</v>
      </c>
      <c r="D352" s="12" t="s">
        <v>122</v>
      </c>
      <c r="E352" s="12" t="s">
        <v>122</v>
      </c>
      <c r="F352" s="19" t="str">
        <f t="shared" si="11"/>
        <v/>
      </c>
      <c r="G352" s="12"/>
      <c r="H352" s="11"/>
    </row>
    <row r="353" spans="1:8" ht="24.95" customHeight="1" x14ac:dyDescent="0.25">
      <c r="A353" s="12"/>
      <c r="B353" s="12"/>
      <c r="C353" s="12" t="s">
        <v>140</v>
      </c>
      <c r="D353" s="12" t="s">
        <v>123</v>
      </c>
      <c r="E353" s="12" t="s">
        <v>122</v>
      </c>
      <c r="F353" s="19" t="str">
        <f t="shared" si="11"/>
        <v>Técnico</v>
      </c>
      <c r="G353" s="12"/>
      <c r="H353" s="11"/>
    </row>
    <row r="354" spans="1:8" ht="24.95" customHeight="1" x14ac:dyDescent="0.25">
      <c r="A354" s="12"/>
      <c r="B354" s="12"/>
      <c r="C354" s="12" t="s">
        <v>161</v>
      </c>
      <c r="D354" s="12" t="s">
        <v>122</v>
      </c>
      <c r="E354" s="12" t="s">
        <v>122</v>
      </c>
      <c r="F354" s="19" t="str">
        <f t="shared" si="11"/>
        <v/>
      </c>
      <c r="G354" s="12"/>
      <c r="H354" s="11"/>
    </row>
    <row r="355" spans="1:8" ht="24.95" customHeight="1" x14ac:dyDescent="0.25">
      <c r="A355" s="12"/>
      <c r="B355" s="12"/>
      <c r="C355" s="12" t="s">
        <v>539</v>
      </c>
      <c r="D355" s="12" t="s">
        <v>122</v>
      </c>
      <c r="E355" s="12" t="s">
        <v>122</v>
      </c>
      <c r="F355" s="19" t="str">
        <f t="shared" si="11"/>
        <v/>
      </c>
      <c r="G355" s="12"/>
      <c r="H355" s="11"/>
    </row>
    <row r="356" spans="1:8" ht="24.95" customHeight="1" x14ac:dyDescent="0.25">
      <c r="A356" s="12"/>
      <c r="B356" s="12"/>
      <c r="C356" s="12" t="s">
        <v>539</v>
      </c>
      <c r="D356" s="12" t="s">
        <v>122</v>
      </c>
      <c r="E356" s="12" t="s">
        <v>122</v>
      </c>
      <c r="F356" s="19" t="str">
        <f t="shared" si="11"/>
        <v/>
      </c>
      <c r="G356" s="12"/>
      <c r="H356" s="11"/>
    </row>
    <row r="357" spans="1:8" ht="24.95" customHeight="1" x14ac:dyDescent="0.25">
      <c r="A357" s="12"/>
      <c r="B357" s="12"/>
      <c r="C357" s="12" t="s">
        <v>140</v>
      </c>
      <c r="D357" s="12" t="s">
        <v>123</v>
      </c>
      <c r="E357" s="12" t="s">
        <v>122</v>
      </c>
      <c r="F357" s="19" t="str">
        <f t="shared" si="11"/>
        <v>Técnico</v>
      </c>
      <c r="G357" s="12"/>
      <c r="H357" s="11"/>
    </row>
    <row r="358" spans="1:8" ht="24.95" customHeight="1" x14ac:dyDescent="0.25">
      <c r="A358" s="12"/>
      <c r="B358" s="12"/>
      <c r="C358" s="12" t="s">
        <v>140</v>
      </c>
      <c r="D358" s="12" t="s">
        <v>123</v>
      </c>
      <c r="E358" s="12" t="s">
        <v>122</v>
      </c>
      <c r="F358" s="19" t="str">
        <f t="shared" si="11"/>
        <v>Técnico</v>
      </c>
      <c r="G358" s="12"/>
      <c r="H358" s="11"/>
    </row>
    <row r="359" spans="1:8" ht="24.95" customHeight="1" x14ac:dyDescent="0.25">
      <c r="A359" s="12"/>
      <c r="B359" s="12"/>
      <c r="C359" s="12" t="s">
        <v>140</v>
      </c>
      <c r="D359" s="12" t="s">
        <v>123</v>
      </c>
      <c r="E359" s="12" t="s">
        <v>122</v>
      </c>
      <c r="F359" s="19" t="str">
        <f t="shared" si="11"/>
        <v>Técnico</v>
      </c>
      <c r="G359" s="12"/>
      <c r="H359" s="11"/>
    </row>
    <row r="360" spans="1:8" ht="24.95" customHeight="1" x14ac:dyDescent="0.25">
      <c r="A360" s="12"/>
      <c r="B360" s="12"/>
      <c r="C360" s="12" t="s">
        <v>140</v>
      </c>
      <c r="D360" s="12" t="s">
        <v>123</v>
      </c>
      <c r="E360" s="12" t="s">
        <v>122</v>
      </c>
      <c r="F360" s="19" t="str">
        <f t="shared" si="11"/>
        <v>Técnico</v>
      </c>
      <c r="G360" s="12"/>
      <c r="H360" s="11"/>
    </row>
    <row r="361" spans="1:8" ht="24.95" customHeight="1" x14ac:dyDescent="0.25">
      <c r="A361" s="12"/>
      <c r="B361" s="12"/>
      <c r="C361" s="12" t="s">
        <v>140</v>
      </c>
      <c r="D361" s="12" t="s">
        <v>122</v>
      </c>
      <c r="E361" s="12" t="s">
        <v>122</v>
      </c>
      <c r="F361" s="19" t="str">
        <f t="shared" si="11"/>
        <v/>
      </c>
      <c r="G361" s="12"/>
      <c r="H361" s="11"/>
    </row>
    <row r="362" spans="1:8" ht="24.95" customHeight="1" x14ac:dyDescent="0.25">
      <c r="A362" s="12"/>
      <c r="B362" s="12"/>
      <c r="C362" s="12" t="s">
        <v>176</v>
      </c>
      <c r="D362" s="12" t="s">
        <v>122</v>
      </c>
      <c r="E362" s="12" t="s">
        <v>122</v>
      </c>
      <c r="F362" s="19" t="str">
        <f t="shared" si="11"/>
        <v/>
      </c>
      <c r="G362" s="12"/>
      <c r="H362" s="11"/>
    </row>
    <row r="363" spans="1:8" ht="24.95" customHeight="1" x14ac:dyDescent="0.25">
      <c r="A363" s="12"/>
      <c r="B363" s="12"/>
      <c r="C363" s="12" t="s">
        <v>140</v>
      </c>
      <c r="D363" s="12" t="s">
        <v>122</v>
      </c>
      <c r="E363" s="12" t="s">
        <v>122</v>
      </c>
      <c r="F363" s="19" t="str">
        <f t="shared" si="11"/>
        <v/>
      </c>
      <c r="G363" s="12"/>
      <c r="H363" s="11"/>
    </row>
    <row r="364" spans="1:8" ht="24.95" customHeight="1" x14ac:dyDescent="0.25">
      <c r="A364" s="12"/>
      <c r="B364" s="12"/>
      <c r="C364" s="12"/>
      <c r="D364" s="12"/>
      <c r="E364" s="12"/>
      <c r="F364" s="19" t="str">
        <f t="shared" si="11"/>
        <v/>
      </c>
      <c r="G364" s="12"/>
      <c r="H364" s="11"/>
    </row>
    <row r="365" spans="1:8" ht="24.95" customHeight="1" x14ac:dyDescent="0.25">
      <c r="A365" s="12"/>
      <c r="B365" s="12"/>
      <c r="C365" s="12"/>
      <c r="D365" s="12"/>
      <c r="E365" s="12"/>
      <c r="F365" s="19" t="str">
        <f t="shared" si="11"/>
        <v/>
      </c>
      <c r="G365" s="12"/>
      <c r="H365" s="11"/>
    </row>
    <row r="366" spans="1:8" ht="24.95" customHeight="1" x14ac:dyDescent="0.25">
      <c r="A366" s="12"/>
      <c r="B366" s="12"/>
      <c r="C366" s="12"/>
      <c r="D366" s="12"/>
      <c r="E366" s="12"/>
      <c r="F366" s="19" t="str">
        <f t="shared" si="11"/>
        <v/>
      </c>
      <c r="G366" s="12"/>
      <c r="H366" s="11"/>
    </row>
    <row r="367" spans="1:8" ht="24.95" customHeight="1" x14ac:dyDescent="0.25">
      <c r="A367" s="12"/>
      <c r="B367" s="12"/>
      <c r="C367" s="12"/>
      <c r="D367" s="12"/>
      <c r="E367" s="12"/>
      <c r="F367" s="19" t="str">
        <f t="shared" si="11"/>
        <v/>
      </c>
      <c r="G367" s="12"/>
      <c r="H367" s="11"/>
    </row>
    <row r="368" spans="1:8" ht="24.95" customHeight="1" x14ac:dyDescent="0.25">
      <c r="A368" s="12"/>
      <c r="B368" s="12"/>
      <c r="C368" s="12"/>
      <c r="D368" s="12"/>
      <c r="E368" s="12"/>
      <c r="F368" s="19" t="str">
        <f t="shared" si="11"/>
        <v/>
      </c>
      <c r="G368" s="12"/>
      <c r="H368" s="11"/>
    </row>
    <row r="369" spans="1:8" ht="24.95" customHeight="1" x14ac:dyDescent="0.25">
      <c r="A369" s="12"/>
      <c r="B369" s="12"/>
      <c r="C369" s="12"/>
      <c r="D369" s="12"/>
      <c r="E369" s="12"/>
      <c r="F369" s="19" t="str">
        <f t="shared" si="11"/>
        <v/>
      </c>
      <c r="G369" s="12"/>
      <c r="H369" s="11"/>
    </row>
    <row r="370" spans="1:8" ht="24.95" customHeight="1" x14ac:dyDescent="0.25">
      <c r="A370" s="12"/>
      <c r="B370" s="12"/>
      <c r="C370" s="12"/>
      <c r="D370" s="12"/>
      <c r="E370" s="12"/>
      <c r="F370" s="19" t="str">
        <f t="shared" si="11"/>
        <v/>
      </c>
      <c r="G370" s="12"/>
      <c r="H370" s="11"/>
    </row>
    <row r="371" spans="1:8" ht="24.95" customHeight="1" x14ac:dyDescent="0.25">
      <c r="A371" s="12"/>
      <c r="B371" s="12"/>
      <c r="C371" s="12"/>
      <c r="D371" s="12"/>
      <c r="E371" s="12"/>
      <c r="F371" s="19" t="str">
        <f t="shared" si="11"/>
        <v/>
      </c>
      <c r="G371" s="12"/>
      <c r="H371" s="11"/>
    </row>
    <row r="372" spans="1:8" ht="24.95" customHeight="1" x14ac:dyDescent="0.25">
      <c r="A372" s="12"/>
      <c r="B372" s="12"/>
      <c r="C372" s="12"/>
      <c r="D372" s="12"/>
      <c r="E372" s="12"/>
      <c r="F372" s="19" t="str">
        <f t="shared" si="11"/>
        <v/>
      </c>
      <c r="G372" s="12"/>
      <c r="H372" s="11"/>
    </row>
    <row r="373" spans="1:8" ht="24.95" customHeight="1" x14ac:dyDescent="0.25">
      <c r="A373" s="12"/>
      <c r="B373" s="12"/>
      <c r="C373" s="12"/>
      <c r="D373" s="12"/>
      <c r="E373" s="12"/>
      <c r="F373" s="19" t="str">
        <f t="shared" si="11"/>
        <v/>
      </c>
      <c r="G373" s="12"/>
      <c r="H373" s="11"/>
    </row>
    <row r="374" spans="1:8" ht="24.95" customHeight="1" x14ac:dyDescent="0.25">
      <c r="A374" s="12"/>
      <c r="B374" s="12"/>
      <c r="C374" s="12"/>
      <c r="D374" s="12"/>
      <c r="E374" s="12"/>
      <c r="F374" s="19" t="str">
        <f t="shared" si="11"/>
        <v/>
      </c>
      <c r="G374" s="12"/>
      <c r="H374" s="11"/>
    </row>
    <row r="375" spans="1:8" ht="24.95" customHeight="1" x14ac:dyDescent="0.25">
      <c r="A375" s="12"/>
      <c r="B375" s="12"/>
      <c r="C375" s="12"/>
      <c r="D375" s="12"/>
      <c r="E375" s="12"/>
      <c r="F375" s="19" t="str">
        <f t="shared" si="11"/>
        <v/>
      </c>
      <c r="G375" s="12"/>
      <c r="H375" s="11"/>
    </row>
    <row r="376" spans="1:8" ht="24.95" customHeight="1" x14ac:dyDescent="0.25">
      <c r="A376" s="12"/>
      <c r="B376" s="12"/>
      <c r="C376" s="12"/>
      <c r="D376" s="12"/>
      <c r="E376" s="12"/>
      <c r="F376" s="19" t="str">
        <f t="shared" si="11"/>
        <v/>
      </c>
      <c r="G376" s="12"/>
      <c r="H376" s="11"/>
    </row>
    <row r="377" spans="1:8" ht="24.95" customHeight="1" x14ac:dyDescent="0.25">
      <c r="A377" s="12"/>
      <c r="B377" s="12"/>
      <c r="C377" s="12"/>
      <c r="D377" s="12"/>
      <c r="E377" s="12"/>
      <c r="F377" s="19" t="str">
        <f t="shared" si="11"/>
        <v/>
      </c>
      <c r="G377" s="12"/>
      <c r="H377" s="11"/>
    </row>
    <row r="378" spans="1:8" ht="24.95" customHeight="1" x14ac:dyDescent="0.25">
      <c r="A378" s="12"/>
      <c r="B378" s="12"/>
      <c r="C378" s="12"/>
      <c r="D378" s="12"/>
      <c r="E378" s="12"/>
      <c r="F378" s="19" t="str">
        <f t="shared" si="11"/>
        <v/>
      </c>
      <c r="G378" s="12"/>
      <c r="H378" s="11"/>
    </row>
    <row r="379" spans="1:8" ht="24.95" customHeight="1" x14ac:dyDescent="0.25">
      <c r="A379" s="12"/>
      <c r="B379" s="12"/>
      <c r="C379" s="12"/>
      <c r="D379" s="12"/>
      <c r="E379" s="12"/>
      <c r="F379" s="19" t="str">
        <f t="shared" si="11"/>
        <v/>
      </c>
      <c r="G379" s="12"/>
      <c r="H379" s="11"/>
    </row>
    <row r="380" spans="1:8" ht="24.95" customHeight="1" x14ac:dyDescent="0.25">
      <c r="A380" s="12"/>
      <c r="B380" s="12"/>
      <c r="C380" s="12"/>
      <c r="D380" s="12"/>
      <c r="E380" s="12"/>
      <c r="F380" s="19" t="str">
        <f t="shared" si="11"/>
        <v/>
      </c>
      <c r="G380" s="12"/>
      <c r="H380" s="11"/>
    </row>
    <row r="381" spans="1:8" ht="24.95" customHeight="1" x14ac:dyDescent="0.25">
      <c r="A381" s="12"/>
      <c r="B381" s="12"/>
      <c r="C381" s="12"/>
      <c r="D381" s="12"/>
      <c r="E381" s="12"/>
      <c r="F381" s="19" t="str">
        <f t="shared" si="11"/>
        <v/>
      </c>
      <c r="G381" s="12"/>
      <c r="H381" s="11"/>
    </row>
    <row r="382" spans="1:8" ht="24.95" customHeight="1" x14ac:dyDescent="0.25">
      <c r="A382" s="12"/>
      <c r="B382" s="12"/>
      <c r="C382" s="12"/>
      <c r="D382" s="12"/>
      <c r="E382" s="12"/>
      <c r="F382" s="19" t="str">
        <f t="shared" si="11"/>
        <v/>
      </c>
      <c r="G382" s="12"/>
      <c r="H382" s="11"/>
    </row>
    <row r="383" spans="1:8" ht="24.95" customHeight="1" x14ac:dyDescent="0.25">
      <c r="A383" s="12"/>
      <c r="B383" s="12"/>
      <c r="C383" s="12"/>
      <c r="D383" s="12"/>
      <c r="E383" s="12"/>
      <c r="F383" s="19" t="str">
        <f t="shared" si="11"/>
        <v/>
      </c>
      <c r="G383" s="12"/>
      <c r="H383" s="11"/>
    </row>
    <row r="384" spans="1:8" ht="24.95" customHeight="1" x14ac:dyDescent="0.25">
      <c r="A384" s="12"/>
      <c r="B384" s="12"/>
      <c r="C384" s="12"/>
      <c r="D384" s="12"/>
      <c r="E384" s="12"/>
      <c r="F384" s="19" t="str">
        <f t="shared" si="11"/>
        <v/>
      </c>
      <c r="G384" s="12"/>
      <c r="H384" s="11"/>
    </row>
    <row r="385" spans="1:8" ht="24.95" customHeight="1" x14ac:dyDescent="0.25">
      <c r="A385" s="12"/>
      <c r="B385" s="12"/>
      <c r="C385" s="12"/>
      <c r="D385" s="12"/>
      <c r="E385" s="12"/>
      <c r="F385" s="19" t="str">
        <f t="shared" si="11"/>
        <v/>
      </c>
      <c r="G385" s="12"/>
      <c r="H385" s="11"/>
    </row>
    <row r="386" spans="1:8" ht="24.95" customHeight="1" x14ac:dyDescent="0.25">
      <c r="A386" s="12"/>
      <c r="B386" s="12"/>
      <c r="C386" s="12"/>
      <c r="D386" s="12"/>
      <c r="E386" s="12"/>
      <c r="F386" s="19" t="str">
        <f t="shared" si="11"/>
        <v/>
      </c>
      <c r="G386" s="12"/>
      <c r="H386" s="11"/>
    </row>
    <row r="387" spans="1:8" ht="24.95" customHeight="1" x14ac:dyDescent="0.25">
      <c r="A387" s="12"/>
      <c r="B387" s="12"/>
      <c r="C387" s="12"/>
      <c r="D387" s="12"/>
      <c r="E387" s="12"/>
      <c r="F387" s="19" t="str">
        <f t="shared" ref="F387:F450" si="12">IFERROR(IF(AND(D387="Não",E387="Sim"),"REP",
IF(AND(D387="Sim",E387="Não"),"Técnico",
IF(AND(D387="Sim",E387="Sim"),"Ambos",""))),"")</f>
        <v/>
      </c>
      <c r="G387" s="12"/>
      <c r="H387" s="11"/>
    </row>
    <row r="388" spans="1:8" ht="24.95" customHeight="1" x14ac:dyDescent="0.25">
      <c r="A388" s="12"/>
      <c r="B388" s="12"/>
      <c r="C388" s="12"/>
      <c r="D388" s="12"/>
      <c r="E388" s="12"/>
      <c r="F388" s="19" t="str">
        <f t="shared" si="12"/>
        <v/>
      </c>
      <c r="G388" s="12"/>
      <c r="H388" s="11"/>
    </row>
    <row r="389" spans="1:8" ht="24.95" customHeight="1" x14ac:dyDescent="0.25">
      <c r="A389" s="12"/>
      <c r="B389" s="12"/>
      <c r="C389" s="12"/>
      <c r="D389" s="12"/>
      <c r="E389" s="12"/>
      <c r="F389" s="19" t="str">
        <f t="shared" si="12"/>
        <v/>
      </c>
      <c r="G389" s="12"/>
      <c r="H389" s="11"/>
    </row>
    <row r="390" spans="1:8" ht="24.95" customHeight="1" x14ac:dyDescent="0.25">
      <c r="A390" s="12"/>
      <c r="B390" s="12"/>
      <c r="C390" s="12"/>
      <c r="D390" s="12"/>
      <c r="E390" s="12"/>
      <c r="F390" s="19" t="str">
        <f t="shared" si="12"/>
        <v/>
      </c>
      <c r="G390" s="12"/>
      <c r="H390" s="11"/>
    </row>
    <row r="391" spans="1:8" ht="24.95" customHeight="1" x14ac:dyDescent="0.25">
      <c r="A391" s="12"/>
      <c r="B391" s="12"/>
      <c r="C391" s="12"/>
      <c r="D391" s="12"/>
      <c r="E391" s="12"/>
      <c r="F391" s="19" t="str">
        <f t="shared" si="12"/>
        <v/>
      </c>
      <c r="G391" s="12"/>
      <c r="H391" s="11"/>
    </row>
    <row r="392" spans="1:8" ht="24.95" customHeight="1" x14ac:dyDescent="0.25">
      <c r="A392" s="12"/>
      <c r="B392" s="12"/>
      <c r="C392" s="12"/>
      <c r="D392" s="12"/>
      <c r="E392" s="12"/>
      <c r="F392" s="19" t="str">
        <f t="shared" si="12"/>
        <v/>
      </c>
      <c r="G392" s="12"/>
      <c r="H392" s="11"/>
    </row>
    <row r="393" spans="1:8" ht="24.95" customHeight="1" x14ac:dyDescent="0.25">
      <c r="A393" s="12"/>
      <c r="B393" s="12"/>
      <c r="C393" s="12"/>
      <c r="D393" s="12"/>
      <c r="E393" s="12"/>
      <c r="F393" s="19" t="str">
        <f t="shared" si="12"/>
        <v/>
      </c>
      <c r="G393" s="12"/>
      <c r="H393" s="11"/>
    </row>
    <row r="394" spans="1:8" ht="24.95" customHeight="1" x14ac:dyDescent="0.25">
      <c r="A394" s="12"/>
      <c r="B394" s="12"/>
      <c r="C394" s="12"/>
      <c r="D394" s="12"/>
      <c r="E394" s="12"/>
      <c r="F394" s="19" t="str">
        <f t="shared" si="12"/>
        <v/>
      </c>
      <c r="G394" s="12"/>
      <c r="H394" s="11"/>
    </row>
    <row r="395" spans="1:8" ht="24.95" customHeight="1" x14ac:dyDescent="0.25">
      <c r="A395" s="12"/>
      <c r="B395" s="12"/>
      <c r="C395" s="12"/>
      <c r="D395" s="12"/>
      <c r="E395" s="12"/>
      <c r="F395" s="19" t="str">
        <f t="shared" si="12"/>
        <v/>
      </c>
      <c r="G395" s="12"/>
      <c r="H395" s="11"/>
    </row>
    <row r="396" spans="1:8" ht="24.95" customHeight="1" x14ac:dyDescent="0.25">
      <c r="A396" s="12"/>
      <c r="B396" s="12"/>
      <c r="C396" s="12"/>
      <c r="D396" s="12"/>
      <c r="E396" s="12"/>
      <c r="F396" s="19" t="str">
        <f t="shared" si="12"/>
        <v/>
      </c>
      <c r="G396" s="12"/>
      <c r="H396" s="11"/>
    </row>
    <row r="397" spans="1:8" ht="24.95" customHeight="1" x14ac:dyDescent="0.25">
      <c r="A397" s="12"/>
      <c r="B397" s="12"/>
      <c r="C397" s="12"/>
      <c r="D397" s="12"/>
      <c r="E397" s="12"/>
      <c r="F397" s="19" t="str">
        <f t="shared" si="12"/>
        <v/>
      </c>
      <c r="G397" s="12"/>
      <c r="H397" s="11"/>
    </row>
    <row r="398" spans="1:8" ht="24.95" customHeight="1" x14ac:dyDescent="0.25">
      <c r="A398" s="12"/>
      <c r="B398" s="12"/>
      <c r="C398" s="12"/>
      <c r="D398" s="12"/>
      <c r="E398" s="12"/>
      <c r="F398" s="19" t="str">
        <f t="shared" si="12"/>
        <v/>
      </c>
      <c r="G398" s="12"/>
      <c r="H398" s="11"/>
    </row>
    <row r="399" spans="1:8" ht="24.95" customHeight="1" x14ac:dyDescent="0.25">
      <c r="A399" s="12"/>
      <c r="B399" s="12"/>
      <c r="C399" s="12"/>
      <c r="D399" s="12"/>
      <c r="E399" s="12"/>
      <c r="F399" s="19" t="str">
        <f t="shared" si="12"/>
        <v/>
      </c>
      <c r="G399" s="12"/>
      <c r="H399" s="11"/>
    </row>
    <row r="400" spans="1:8" ht="24.95" customHeight="1" x14ac:dyDescent="0.25">
      <c r="A400" s="12"/>
      <c r="B400" s="12"/>
      <c r="C400" s="12"/>
      <c r="D400" s="12"/>
      <c r="E400" s="12"/>
      <c r="F400" s="19" t="str">
        <f t="shared" si="12"/>
        <v/>
      </c>
      <c r="G400" s="12"/>
      <c r="H400" s="11"/>
    </row>
    <row r="401" spans="1:8" ht="24.95" customHeight="1" x14ac:dyDescent="0.25">
      <c r="A401" s="12"/>
      <c r="B401" s="12"/>
      <c r="C401" s="12"/>
      <c r="D401" s="12"/>
      <c r="E401" s="12"/>
      <c r="F401" s="19" t="str">
        <f t="shared" si="12"/>
        <v/>
      </c>
      <c r="G401" s="12"/>
      <c r="H401" s="11"/>
    </row>
    <row r="402" spans="1:8" ht="24.95" customHeight="1" x14ac:dyDescent="0.25">
      <c r="A402" s="12"/>
      <c r="B402" s="12"/>
      <c r="C402" s="12"/>
      <c r="D402" s="12"/>
      <c r="E402" s="12"/>
      <c r="F402" s="19" t="str">
        <f t="shared" si="12"/>
        <v/>
      </c>
      <c r="G402" s="12"/>
      <c r="H402" s="11"/>
    </row>
    <row r="403" spans="1:8" ht="24.95" customHeight="1" x14ac:dyDescent="0.25">
      <c r="A403" s="12"/>
      <c r="B403" s="12"/>
      <c r="C403" s="12"/>
      <c r="D403" s="12"/>
      <c r="E403" s="12"/>
      <c r="F403" s="19" t="str">
        <f t="shared" si="12"/>
        <v/>
      </c>
      <c r="G403" s="12"/>
      <c r="H403" s="11"/>
    </row>
    <row r="404" spans="1:8" ht="24.95" customHeight="1" x14ac:dyDescent="0.25">
      <c r="A404" s="12"/>
      <c r="B404" s="12"/>
      <c r="C404" s="12"/>
      <c r="D404" s="12"/>
      <c r="E404" s="12"/>
      <c r="F404" s="19" t="str">
        <f t="shared" si="12"/>
        <v/>
      </c>
      <c r="G404" s="12"/>
      <c r="H404" s="11"/>
    </row>
    <row r="405" spans="1:8" ht="24.95" customHeight="1" x14ac:dyDescent="0.25">
      <c r="A405" s="12"/>
      <c r="B405" s="12"/>
      <c r="C405" s="12"/>
      <c r="D405" s="12"/>
      <c r="E405" s="12"/>
      <c r="F405" s="19" t="str">
        <f t="shared" si="12"/>
        <v/>
      </c>
      <c r="G405" s="12"/>
      <c r="H405" s="11"/>
    </row>
    <row r="406" spans="1:8" ht="24.95" customHeight="1" x14ac:dyDescent="0.25">
      <c r="A406" s="12"/>
      <c r="B406" s="12"/>
      <c r="C406" s="12"/>
      <c r="D406" s="12"/>
      <c r="E406" s="12"/>
      <c r="F406" s="19" t="str">
        <f t="shared" si="12"/>
        <v/>
      </c>
      <c r="G406" s="12"/>
      <c r="H406" s="11"/>
    </row>
    <row r="407" spans="1:8" ht="24.95" customHeight="1" x14ac:dyDescent="0.25">
      <c r="A407" s="12"/>
      <c r="B407" s="12"/>
      <c r="C407" s="12"/>
      <c r="D407" s="12"/>
      <c r="E407" s="12"/>
      <c r="F407" s="19" t="str">
        <f t="shared" si="12"/>
        <v/>
      </c>
      <c r="G407" s="12"/>
      <c r="H407" s="11"/>
    </row>
    <row r="408" spans="1:8" ht="24.95" customHeight="1" x14ac:dyDescent="0.25">
      <c r="A408" s="12"/>
      <c r="B408" s="12"/>
      <c r="C408" s="12"/>
      <c r="D408" s="12"/>
      <c r="E408" s="12"/>
      <c r="F408" s="19" t="str">
        <f t="shared" si="12"/>
        <v/>
      </c>
      <c r="G408" s="12"/>
      <c r="H408" s="11"/>
    </row>
    <row r="409" spans="1:8" ht="24.95" customHeight="1" x14ac:dyDescent="0.25">
      <c r="A409" s="12"/>
      <c r="B409" s="12"/>
      <c r="C409" s="12"/>
      <c r="D409" s="12"/>
      <c r="E409" s="12"/>
      <c r="F409" s="19" t="str">
        <f t="shared" si="12"/>
        <v/>
      </c>
      <c r="G409" s="12"/>
      <c r="H409" s="11"/>
    </row>
    <row r="410" spans="1:8" ht="24.95" customHeight="1" x14ac:dyDescent="0.25">
      <c r="A410" s="12"/>
      <c r="B410" s="12"/>
      <c r="C410" s="12"/>
      <c r="D410" s="12"/>
      <c r="E410" s="12"/>
      <c r="F410" s="19" t="str">
        <f t="shared" si="12"/>
        <v/>
      </c>
      <c r="G410" s="12"/>
      <c r="H410" s="11"/>
    </row>
    <row r="411" spans="1:8" ht="24.95" customHeight="1" x14ac:dyDescent="0.25">
      <c r="A411" s="12"/>
      <c r="B411" s="12"/>
      <c r="C411" s="12"/>
      <c r="D411" s="12"/>
      <c r="E411" s="12"/>
      <c r="F411" s="19" t="str">
        <f t="shared" si="12"/>
        <v/>
      </c>
      <c r="G411" s="12"/>
      <c r="H411" s="11"/>
    </row>
    <row r="412" spans="1:8" ht="24.95" customHeight="1" x14ac:dyDescent="0.25">
      <c r="A412" s="12"/>
      <c r="B412" s="12"/>
      <c r="C412" s="12"/>
      <c r="D412" s="12"/>
      <c r="E412" s="12"/>
      <c r="F412" s="19" t="str">
        <f t="shared" si="12"/>
        <v/>
      </c>
      <c r="G412" s="12"/>
      <c r="H412" s="11"/>
    </row>
    <row r="413" spans="1:8" ht="24.95" customHeight="1" x14ac:dyDescent="0.25">
      <c r="A413" s="12"/>
      <c r="B413" s="12"/>
      <c r="C413" s="12"/>
      <c r="D413" s="12"/>
      <c r="E413" s="12"/>
      <c r="F413" s="19" t="str">
        <f t="shared" si="12"/>
        <v/>
      </c>
      <c r="G413" s="12"/>
      <c r="H413" s="11"/>
    </row>
    <row r="414" spans="1:8" ht="24.95" customHeight="1" x14ac:dyDescent="0.25">
      <c r="A414" s="12"/>
      <c r="B414" s="12"/>
      <c r="C414" s="12"/>
      <c r="D414" s="12"/>
      <c r="E414" s="12"/>
      <c r="F414" s="19" t="str">
        <f t="shared" si="12"/>
        <v/>
      </c>
      <c r="G414" s="12"/>
      <c r="H414" s="11"/>
    </row>
    <row r="415" spans="1:8" ht="24.95" customHeight="1" x14ac:dyDescent="0.25">
      <c r="A415" s="12"/>
      <c r="B415" s="12"/>
      <c r="C415" s="12"/>
      <c r="D415" s="12"/>
      <c r="E415" s="12"/>
      <c r="F415" s="19" t="str">
        <f t="shared" si="12"/>
        <v/>
      </c>
      <c r="G415" s="12"/>
      <c r="H415" s="11"/>
    </row>
    <row r="416" spans="1:8" ht="24.95" customHeight="1" x14ac:dyDescent="0.25">
      <c r="A416" s="12"/>
      <c r="B416" s="12"/>
      <c r="C416" s="12"/>
      <c r="D416" s="12"/>
      <c r="E416" s="12"/>
      <c r="F416" s="19" t="str">
        <f t="shared" si="12"/>
        <v/>
      </c>
      <c r="G416" s="12"/>
      <c r="H416" s="11"/>
    </row>
    <row r="417" spans="1:8" ht="24.95" customHeight="1" x14ac:dyDescent="0.25">
      <c r="A417" s="12"/>
      <c r="B417" s="12"/>
      <c r="C417" s="12"/>
      <c r="D417" s="12"/>
      <c r="E417" s="12"/>
      <c r="F417" s="19" t="str">
        <f t="shared" si="12"/>
        <v/>
      </c>
      <c r="G417" s="12"/>
      <c r="H417" s="11"/>
    </row>
    <row r="418" spans="1:8" ht="24.95" customHeight="1" x14ac:dyDescent="0.25">
      <c r="A418" s="12"/>
      <c r="B418" s="12"/>
      <c r="C418" s="12"/>
      <c r="D418" s="12"/>
      <c r="E418" s="12"/>
      <c r="F418" s="19" t="str">
        <f t="shared" si="12"/>
        <v/>
      </c>
      <c r="G418" s="12"/>
      <c r="H418" s="11"/>
    </row>
    <row r="419" spans="1:8" ht="24.95" customHeight="1" x14ac:dyDescent="0.25">
      <c r="A419" s="12"/>
      <c r="B419" s="12"/>
      <c r="C419" s="12"/>
      <c r="D419" s="12"/>
      <c r="E419" s="12"/>
      <c r="F419" s="19" t="str">
        <f t="shared" si="12"/>
        <v/>
      </c>
      <c r="G419" s="12"/>
      <c r="H419" s="11"/>
    </row>
    <row r="420" spans="1:8" ht="24.95" customHeight="1" x14ac:dyDescent="0.25">
      <c r="A420" s="12"/>
      <c r="B420" s="12"/>
      <c r="C420" s="12"/>
      <c r="D420" s="12"/>
      <c r="E420" s="12"/>
      <c r="F420" s="19" t="str">
        <f t="shared" si="12"/>
        <v/>
      </c>
      <c r="G420" s="12"/>
      <c r="H420" s="11"/>
    </row>
    <row r="421" spans="1:8" ht="24.95" customHeight="1" x14ac:dyDescent="0.25">
      <c r="A421" s="12"/>
      <c r="B421" s="12"/>
      <c r="C421" s="12"/>
      <c r="D421" s="12"/>
      <c r="E421" s="12"/>
      <c r="F421" s="19" t="str">
        <f t="shared" si="12"/>
        <v/>
      </c>
      <c r="G421" s="12"/>
      <c r="H421" s="11"/>
    </row>
    <row r="422" spans="1:8" ht="24.95" customHeight="1" x14ac:dyDescent="0.25">
      <c r="A422" s="12"/>
      <c r="B422" s="12"/>
      <c r="C422" s="12"/>
      <c r="D422" s="12"/>
      <c r="E422" s="12"/>
      <c r="F422" s="19" t="str">
        <f t="shared" si="12"/>
        <v/>
      </c>
      <c r="G422" s="12"/>
      <c r="H422" s="11"/>
    </row>
    <row r="423" spans="1:8" ht="24.95" customHeight="1" x14ac:dyDescent="0.25">
      <c r="A423" s="12"/>
      <c r="B423" s="12"/>
      <c r="C423" s="12"/>
      <c r="D423" s="12"/>
      <c r="E423" s="12"/>
      <c r="F423" s="19" t="str">
        <f t="shared" si="12"/>
        <v/>
      </c>
      <c r="G423" s="12"/>
      <c r="H423" s="11"/>
    </row>
    <row r="424" spans="1:8" ht="24.95" customHeight="1" x14ac:dyDescent="0.25">
      <c r="A424" s="12"/>
      <c r="B424" s="12"/>
      <c r="C424" s="12"/>
      <c r="D424" s="12"/>
      <c r="E424" s="12"/>
      <c r="F424" s="19" t="str">
        <f t="shared" si="12"/>
        <v/>
      </c>
      <c r="G424" s="12"/>
      <c r="H424" s="11"/>
    </row>
    <row r="425" spans="1:8" ht="24.95" customHeight="1" x14ac:dyDescent="0.25">
      <c r="A425" s="12"/>
      <c r="B425" s="12"/>
      <c r="C425" s="12"/>
      <c r="D425" s="12"/>
      <c r="E425" s="12"/>
      <c r="F425" s="19" t="str">
        <f t="shared" si="12"/>
        <v/>
      </c>
      <c r="G425" s="12"/>
      <c r="H425" s="11"/>
    </row>
    <row r="426" spans="1:8" ht="24.95" customHeight="1" x14ac:dyDescent="0.25">
      <c r="A426" s="12"/>
      <c r="B426" s="12"/>
      <c r="C426" s="12"/>
      <c r="D426" s="12"/>
      <c r="E426" s="12"/>
      <c r="F426" s="19" t="str">
        <f t="shared" si="12"/>
        <v/>
      </c>
      <c r="G426" s="12"/>
      <c r="H426" s="11"/>
    </row>
    <row r="427" spans="1:8" ht="24.95" customHeight="1" x14ac:dyDescent="0.25">
      <c r="A427" s="12"/>
      <c r="B427" s="12"/>
      <c r="C427" s="12"/>
      <c r="D427" s="12"/>
      <c r="E427" s="12"/>
      <c r="F427" s="19" t="str">
        <f t="shared" si="12"/>
        <v/>
      </c>
      <c r="G427" s="12"/>
      <c r="H427" s="11"/>
    </row>
    <row r="428" spans="1:8" ht="24.95" customHeight="1" x14ac:dyDescent="0.25">
      <c r="A428" s="12"/>
      <c r="B428" s="12"/>
      <c r="C428" s="12"/>
      <c r="D428" s="12"/>
      <c r="E428" s="12"/>
      <c r="F428" s="19" t="str">
        <f t="shared" si="12"/>
        <v/>
      </c>
      <c r="G428" s="12"/>
      <c r="H428" s="11"/>
    </row>
    <row r="429" spans="1:8" ht="24.95" customHeight="1" x14ac:dyDescent="0.25">
      <c r="A429" s="12"/>
      <c r="B429" s="12"/>
      <c r="C429" s="12"/>
      <c r="D429" s="12"/>
      <c r="E429" s="12"/>
      <c r="F429" s="19" t="str">
        <f t="shared" si="12"/>
        <v/>
      </c>
      <c r="G429" s="12"/>
      <c r="H429" s="11"/>
    </row>
    <row r="430" spans="1:8" ht="24.95" customHeight="1" x14ac:dyDescent="0.25">
      <c r="A430" s="12"/>
      <c r="B430" s="12"/>
      <c r="C430" s="12"/>
      <c r="D430" s="12"/>
      <c r="E430" s="12"/>
      <c r="F430" s="19" t="str">
        <f t="shared" si="12"/>
        <v/>
      </c>
      <c r="G430" s="12"/>
      <c r="H430" s="11"/>
    </row>
    <row r="431" spans="1:8" ht="24.95" customHeight="1" x14ac:dyDescent="0.25">
      <c r="A431" s="12"/>
      <c r="B431" s="12"/>
      <c r="C431" s="12"/>
      <c r="D431" s="12"/>
      <c r="E431" s="12"/>
      <c r="F431" s="19" t="str">
        <f t="shared" si="12"/>
        <v/>
      </c>
      <c r="G431" s="12"/>
      <c r="H431" s="11"/>
    </row>
    <row r="432" spans="1:8" ht="24.95" customHeight="1" x14ac:dyDescent="0.25">
      <c r="A432" s="12"/>
      <c r="B432" s="12"/>
      <c r="C432" s="12"/>
      <c r="D432" s="12"/>
      <c r="E432" s="12"/>
      <c r="F432" s="19" t="str">
        <f t="shared" si="12"/>
        <v/>
      </c>
      <c r="G432" s="12"/>
      <c r="H432" s="11"/>
    </row>
    <row r="433" spans="1:8" ht="24.95" customHeight="1" x14ac:dyDescent="0.25">
      <c r="A433" s="12"/>
      <c r="B433" s="12"/>
      <c r="C433" s="12"/>
      <c r="D433" s="12"/>
      <c r="E433" s="12"/>
      <c r="F433" s="19" t="str">
        <f t="shared" si="12"/>
        <v/>
      </c>
      <c r="G433" s="12"/>
      <c r="H433" s="11"/>
    </row>
    <row r="434" spans="1:8" ht="24.95" customHeight="1" x14ac:dyDescent="0.25">
      <c r="A434" s="12"/>
      <c r="B434" s="12"/>
      <c r="C434" s="12"/>
      <c r="D434" s="12"/>
      <c r="E434" s="12"/>
      <c r="F434" s="19" t="str">
        <f t="shared" si="12"/>
        <v/>
      </c>
      <c r="G434" s="12"/>
      <c r="H434" s="11"/>
    </row>
    <row r="435" spans="1:8" ht="24.95" customHeight="1" x14ac:dyDescent="0.25">
      <c r="A435" s="12"/>
      <c r="B435" s="12"/>
      <c r="C435" s="12"/>
      <c r="D435" s="12"/>
      <c r="E435" s="12"/>
      <c r="F435" s="19" t="str">
        <f t="shared" si="12"/>
        <v/>
      </c>
      <c r="G435" s="12"/>
      <c r="H435" s="11"/>
    </row>
    <row r="436" spans="1:8" ht="24.95" customHeight="1" x14ac:dyDescent="0.25">
      <c r="A436" s="12"/>
      <c r="B436" s="12"/>
      <c r="C436" s="12"/>
      <c r="D436" s="12"/>
      <c r="E436" s="12"/>
      <c r="F436" s="19" t="str">
        <f t="shared" si="12"/>
        <v/>
      </c>
      <c r="G436" s="12"/>
      <c r="H436" s="11"/>
    </row>
    <row r="437" spans="1:8" ht="24.95" customHeight="1" x14ac:dyDescent="0.25">
      <c r="A437" s="12"/>
      <c r="B437" s="12"/>
      <c r="C437" s="12"/>
      <c r="D437" s="12"/>
      <c r="E437" s="12"/>
      <c r="F437" s="19" t="str">
        <f t="shared" si="12"/>
        <v/>
      </c>
      <c r="G437" s="12"/>
      <c r="H437" s="11"/>
    </row>
    <row r="438" spans="1:8" ht="24.95" customHeight="1" x14ac:dyDescent="0.25">
      <c r="A438" s="12"/>
      <c r="B438" s="12"/>
      <c r="C438" s="12"/>
      <c r="D438" s="12"/>
      <c r="E438" s="12"/>
      <c r="F438" s="19" t="str">
        <f t="shared" si="12"/>
        <v/>
      </c>
      <c r="G438" s="12"/>
      <c r="H438" s="11"/>
    </row>
    <row r="439" spans="1:8" ht="24.95" customHeight="1" x14ac:dyDescent="0.25">
      <c r="A439" s="12"/>
      <c r="B439" s="12"/>
      <c r="C439" s="12"/>
      <c r="D439" s="12"/>
      <c r="E439" s="12"/>
      <c r="F439" s="19" t="str">
        <f t="shared" si="12"/>
        <v/>
      </c>
      <c r="G439" s="12"/>
      <c r="H439" s="11"/>
    </row>
    <row r="440" spans="1:8" ht="24.95" customHeight="1" x14ac:dyDescent="0.25">
      <c r="A440" s="12"/>
      <c r="B440" s="12"/>
      <c r="C440" s="12"/>
      <c r="D440" s="12"/>
      <c r="E440" s="12"/>
      <c r="F440" s="19" t="str">
        <f t="shared" si="12"/>
        <v/>
      </c>
      <c r="G440" s="12"/>
      <c r="H440" s="11"/>
    </row>
    <row r="441" spans="1:8" ht="24.95" customHeight="1" x14ac:dyDescent="0.25">
      <c r="A441" s="12"/>
      <c r="B441" s="12"/>
      <c r="C441" s="12"/>
      <c r="D441" s="12"/>
      <c r="E441" s="12"/>
      <c r="F441" s="19" t="str">
        <f t="shared" si="12"/>
        <v/>
      </c>
      <c r="G441" s="12"/>
      <c r="H441" s="11"/>
    </row>
    <row r="442" spans="1:8" ht="24.95" customHeight="1" x14ac:dyDescent="0.25">
      <c r="A442" s="12"/>
      <c r="B442" s="12"/>
      <c r="C442" s="12"/>
      <c r="D442" s="12"/>
      <c r="E442" s="12"/>
      <c r="F442" s="19" t="str">
        <f t="shared" si="12"/>
        <v/>
      </c>
      <c r="G442" s="12"/>
      <c r="H442" s="11"/>
    </row>
    <row r="443" spans="1:8" ht="24.95" customHeight="1" x14ac:dyDescent="0.25">
      <c r="A443" s="12"/>
      <c r="B443" s="12"/>
      <c r="C443" s="12"/>
      <c r="D443" s="12"/>
      <c r="E443" s="12"/>
      <c r="F443" s="19" t="str">
        <f t="shared" si="12"/>
        <v/>
      </c>
      <c r="G443" s="12"/>
      <c r="H443" s="11"/>
    </row>
    <row r="444" spans="1:8" ht="24.95" customHeight="1" x14ac:dyDescent="0.25">
      <c r="A444" s="12"/>
      <c r="B444" s="12"/>
      <c r="C444" s="12"/>
      <c r="D444" s="12"/>
      <c r="E444" s="12"/>
      <c r="F444" s="19" t="str">
        <f t="shared" si="12"/>
        <v/>
      </c>
      <c r="G444" s="12"/>
      <c r="H444" s="11"/>
    </row>
    <row r="445" spans="1:8" ht="24.95" customHeight="1" x14ac:dyDescent="0.25">
      <c r="A445" s="12"/>
      <c r="B445" s="12"/>
      <c r="C445" s="12"/>
      <c r="D445" s="12"/>
      <c r="E445" s="12"/>
      <c r="F445" s="19" t="str">
        <f t="shared" si="12"/>
        <v/>
      </c>
      <c r="G445" s="12"/>
      <c r="H445" s="11"/>
    </row>
    <row r="446" spans="1:8" ht="24.95" customHeight="1" x14ac:dyDescent="0.25">
      <c r="A446" s="12"/>
      <c r="B446" s="12"/>
      <c r="C446" s="12"/>
      <c r="D446" s="12"/>
      <c r="E446" s="12"/>
      <c r="F446" s="19" t="str">
        <f t="shared" si="12"/>
        <v/>
      </c>
      <c r="G446" s="12"/>
      <c r="H446" s="11"/>
    </row>
    <row r="447" spans="1:8" ht="24.95" customHeight="1" x14ac:dyDescent="0.25">
      <c r="A447" s="12"/>
      <c r="B447" s="12"/>
      <c r="C447" s="12"/>
      <c r="D447" s="12"/>
      <c r="E447" s="12"/>
      <c r="F447" s="19" t="str">
        <f t="shared" si="12"/>
        <v/>
      </c>
      <c r="G447" s="12"/>
      <c r="H447" s="11"/>
    </row>
    <row r="448" spans="1:8" ht="24.95" customHeight="1" x14ac:dyDescent="0.25">
      <c r="A448" s="12"/>
      <c r="B448" s="12"/>
      <c r="C448" s="12"/>
      <c r="D448" s="12"/>
      <c r="E448" s="12"/>
      <c r="F448" s="19" t="str">
        <f t="shared" si="12"/>
        <v/>
      </c>
      <c r="G448" s="12"/>
      <c r="H448" s="11"/>
    </row>
    <row r="449" spans="1:8" ht="24.95" customHeight="1" x14ac:dyDescent="0.25">
      <c r="A449" s="12"/>
      <c r="B449" s="12"/>
      <c r="C449" s="12"/>
      <c r="D449" s="12"/>
      <c r="E449" s="12"/>
      <c r="F449" s="19" t="str">
        <f t="shared" si="12"/>
        <v/>
      </c>
      <c r="G449" s="12"/>
      <c r="H449" s="11"/>
    </row>
    <row r="450" spans="1:8" ht="24.95" customHeight="1" x14ac:dyDescent="0.25">
      <c r="A450" s="12"/>
      <c r="B450" s="12"/>
      <c r="C450" s="12"/>
      <c r="D450" s="12"/>
      <c r="E450" s="12"/>
      <c r="F450" s="19" t="str">
        <f t="shared" si="12"/>
        <v/>
      </c>
      <c r="G450" s="12"/>
      <c r="H450" s="11"/>
    </row>
    <row r="451" spans="1:8" ht="24.95" customHeight="1" x14ac:dyDescent="0.25">
      <c r="A451" s="12"/>
      <c r="B451" s="12"/>
      <c r="C451" s="12"/>
      <c r="D451" s="12"/>
      <c r="E451" s="12"/>
      <c r="F451" s="19" t="str">
        <f t="shared" ref="F451:F501" si="13">IFERROR(IF(AND(D451="Não",E451="Sim"),"REP",
IF(AND(D451="Sim",E451="Não"),"Técnico",
IF(AND(D451="Sim",E451="Sim"),"Ambos",""))),"")</f>
        <v/>
      </c>
      <c r="G451" s="12"/>
      <c r="H451" s="11"/>
    </row>
    <row r="452" spans="1:8" ht="24.95" customHeight="1" x14ac:dyDescent="0.25">
      <c r="A452" s="12"/>
      <c r="B452" s="12"/>
      <c r="C452" s="12"/>
      <c r="D452" s="12"/>
      <c r="E452" s="12"/>
      <c r="F452" s="19" t="str">
        <f t="shared" si="13"/>
        <v/>
      </c>
      <c r="G452" s="12"/>
      <c r="H452" s="11"/>
    </row>
    <row r="453" spans="1:8" ht="24.95" customHeight="1" x14ac:dyDescent="0.25">
      <c r="A453" s="12"/>
      <c r="B453" s="12"/>
      <c r="C453" s="12"/>
      <c r="D453" s="12"/>
      <c r="E453" s="12"/>
      <c r="F453" s="19" t="str">
        <f t="shared" si="13"/>
        <v/>
      </c>
      <c r="G453" s="12"/>
      <c r="H453" s="11"/>
    </row>
    <row r="454" spans="1:8" ht="24.95" customHeight="1" x14ac:dyDescent="0.25">
      <c r="A454" s="12"/>
      <c r="B454" s="12"/>
      <c r="C454" s="12"/>
      <c r="D454" s="12"/>
      <c r="E454" s="12"/>
      <c r="F454" s="19" t="str">
        <f t="shared" si="13"/>
        <v/>
      </c>
      <c r="G454" s="12"/>
      <c r="H454" s="11"/>
    </row>
    <row r="455" spans="1:8" ht="24.95" customHeight="1" x14ac:dyDescent="0.25">
      <c r="A455" s="12"/>
      <c r="B455" s="12"/>
      <c r="C455" s="12"/>
      <c r="D455" s="12"/>
      <c r="E455" s="12"/>
      <c r="F455" s="19" t="str">
        <f t="shared" si="13"/>
        <v/>
      </c>
      <c r="G455" s="12"/>
      <c r="H455" s="11"/>
    </row>
    <row r="456" spans="1:8" ht="24.95" customHeight="1" x14ac:dyDescent="0.25">
      <c r="A456" s="12"/>
      <c r="B456" s="12"/>
      <c r="C456" s="12"/>
      <c r="D456" s="12"/>
      <c r="E456" s="12"/>
      <c r="F456" s="19" t="str">
        <f t="shared" si="13"/>
        <v/>
      </c>
      <c r="G456" s="12"/>
      <c r="H456" s="11"/>
    </row>
    <row r="457" spans="1:8" ht="24.95" customHeight="1" x14ac:dyDescent="0.25">
      <c r="A457" s="12"/>
      <c r="B457" s="12"/>
      <c r="C457" s="12"/>
      <c r="D457" s="12"/>
      <c r="E457" s="12"/>
      <c r="F457" s="19" t="str">
        <f t="shared" si="13"/>
        <v/>
      </c>
      <c r="G457" s="12"/>
      <c r="H457" s="11"/>
    </row>
    <row r="458" spans="1:8" ht="24.95" customHeight="1" x14ac:dyDescent="0.25">
      <c r="A458" s="12"/>
      <c r="B458" s="12"/>
      <c r="C458" s="12"/>
      <c r="D458" s="12"/>
      <c r="E458" s="12"/>
      <c r="F458" s="19" t="str">
        <f t="shared" si="13"/>
        <v/>
      </c>
      <c r="G458" s="12"/>
      <c r="H458" s="11"/>
    </row>
    <row r="459" spans="1:8" ht="24.95" customHeight="1" x14ac:dyDescent="0.25">
      <c r="A459" s="12"/>
      <c r="B459" s="12"/>
      <c r="C459" s="12"/>
      <c r="D459" s="12"/>
      <c r="E459" s="12"/>
      <c r="F459" s="19" t="str">
        <f t="shared" si="13"/>
        <v/>
      </c>
      <c r="G459" s="12"/>
      <c r="H459" s="11"/>
    </row>
    <row r="460" spans="1:8" ht="24.95" customHeight="1" x14ac:dyDescent="0.25">
      <c r="A460" s="12"/>
      <c r="B460" s="12"/>
      <c r="C460" s="12"/>
      <c r="D460" s="12"/>
      <c r="E460" s="12"/>
      <c r="F460" s="19" t="str">
        <f t="shared" si="13"/>
        <v/>
      </c>
      <c r="G460" s="12"/>
      <c r="H460" s="11"/>
    </row>
    <row r="461" spans="1:8" ht="24.95" customHeight="1" x14ac:dyDescent="0.25">
      <c r="A461" s="12"/>
      <c r="B461" s="12"/>
      <c r="C461" s="12"/>
      <c r="D461" s="12"/>
      <c r="E461" s="12"/>
      <c r="F461" s="19" t="str">
        <f t="shared" si="13"/>
        <v/>
      </c>
      <c r="G461" s="12"/>
      <c r="H461" s="11"/>
    </row>
    <row r="462" spans="1:8" ht="24.95" customHeight="1" x14ac:dyDescent="0.25">
      <c r="A462" s="12"/>
      <c r="B462" s="12"/>
      <c r="C462" s="12"/>
      <c r="D462" s="12"/>
      <c r="E462" s="12"/>
      <c r="F462" s="19" t="str">
        <f t="shared" si="13"/>
        <v/>
      </c>
      <c r="G462" s="12"/>
      <c r="H462" s="11"/>
    </row>
    <row r="463" spans="1:8" ht="24.95" customHeight="1" x14ac:dyDescent="0.25">
      <c r="A463" s="12"/>
      <c r="B463" s="12"/>
      <c r="C463" s="12"/>
      <c r="D463" s="12"/>
      <c r="E463" s="12"/>
      <c r="F463" s="19" t="str">
        <f t="shared" si="13"/>
        <v/>
      </c>
      <c r="G463" s="12"/>
      <c r="H463" s="11"/>
    </row>
    <row r="464" spans="1:8" ht="24.95" customHeight="1" x14ac:dyDescent="0.25">
      <c r="A464" s="12"/>
      <c r="B464" s="12"/>
      <c r="C464" s="12"/>
      <c r="D464" s="12"/>
      <c r="E464" s="12"/>
      <c r="F464" s="19" t="str">
        <f t="shared" si="13"/>
        <v/>
      </c>
      <c r="G464" s="12"/>
      <c r="H464" s="11"/>
    </row>
    <row r="465" spans="1:8" ht="24.95" customHeight="1" x14ac:dyDescent="0.25">
      <c r="A465" s="12"/>
      <c r="B465" s="12"/>
      <c r="C465" s="12"/>
      <c r="D465" s="12"/>
      <c r="E465" s="12"/>
      <c r="F465" s="19" t="str">
        <f t="shared" si="13"/>
        <v/>
      </c>
      <c r="G465" s="12"/>
      <c r="H465" s="11"/>
    </row>
    <row r="466" spans="1:8" ht="24.95" customHeight="1" x14ac:dyDescent="0.25">
      <c r="A466" s="12"/>
      <c r="B466" s="12"/>
      <c r="C466" s="12"/>
      <c r="D466" s="12"/>
      <c r="E466" s="12"/>
      <c r="F466" s="19" t="str">
        <f t="shared" si="13"/>
        <v/>
      </c>
      <c r="G466" s="12"/>
      <c r="H466" s="11"/>
    </row>
    <row r="467" spans="1:8" ht="24.95" customHeight="1" x14ac:dyDescent="0.25">
      <c r="A467" s="12"/>
      <c r="B467" s="12"/>
      <c r="C467" s="12"/>
      <c r="D467" s="12"/>
      <c r="E467" s="12"/>
      <c r="F467" s="19" t="str">
        <f t="shared" si="13"/>
        <v/>
      </c>
      <c r="G467" s="12"/>
      <c r="H467" s="11"/>
    </row>
    <row r="468" spans="1:8" ht="24.95" customHeight="1" x14ac:dyDescent="0.25">
      <c r="A468" s="12"/>
      <c r="B468" s="12"/>
      <c r="C468" s="12"/>
      <c r="D468" s="12"/>
      <c r="E468" s="12"/>
      <c r="F468" s="19" t="str">
        <f t="shared" si="13"/>
        <v/>
      </c>
      <c r="G468" s="12"/>
      <c r="H468" s="11"/>
    </row>
    <row r="469" spans="1:8" ht="24.95" customHeight="1" x14ac:dyDescent="0.25">
      <c r="A469" s="12"/>
      <c r="B469" s="12"/>
      <c r="C469" s="12"/>
      <c r="D469" s="12"/>
      <c r="E469" s="12"/>
      <c r="F469" s="19" t="str">
        <f t="shared" si="13"/>
        <v/>
      </c>
      <c r="G469" s="12"/>
      <c r="H469" s="11"/>
    </row>
    <row r="470" spans="1:8" ht="24.95" customHeight="1" x14ac:dyDescent="0.25">
      <c r="A470" s="12"/>
      <c r="B470" s="12"/>
      <c r="C470" s="12"/>
      <c r="D470" s="12"/>
      <c r="E470" s="12"/>
      <c r="F470" s="19" t="str">
        <f t="shared" si="13"/>
        <v/>
      </c>
      <c r="G470" s="12"/>
      <c r="H470" s="11"/>
    </row>
    <row r="471" spans="1:8" ht="24.95" customHeight="1" x14ac:dyDescent="0.25">
      <c r="A471" s="12"/>
      <c r="B471" s="12"/>
      <c r="C471" s="12"/>
      <c r="D471" s="12"/>
      <c r="E471" s="12"/>
      <c r="F471" s="19" t="str">
        <f t="shared" si="13"/>
        <v/>
      </c>
      <c r="G471" s="12"/>
      <c r="H471" s="11"/>
    </row>
    <row r="472" spans="1:8" ht="24.95" customHeight="1" x14ac:dyDescent="0.25">
      <c r="A472" s="12"/>
      <c r="B472" s="12"/>
      <c r="C472" s="12"/>
      <c r="D472" s="12"/>
      <c r="E472" s="12"/>
      <c r="F472" s="19" t="str">
        <f t="shared" si="13"/>
        <v/>
      </c>
      <c r="G472" s="12"/>
      <c r="H472" s="11"/>
    </row>
    <row r="473" spans="1:8" ht="24.95" customHeight="1" x14ac:dyDescent="0.25">
      <c r="A473" s="12"/>
      <c r="B473" s="12"/>
      <c r="C473" s="12"/>
      <c r="D473" s="12"/>
      <c r="E473" s="12"/>
      <c r="F473" s="19" t="str">
        <f t="shared" si="13"/>
        <v/>
      </c>
      <c r="G473" s="12"/>
      <c r="H473" s="11"/>
    </row>
    <row r="474" spans="1:8" ht="24.95" customHeight="1" x14ac:dyDescent="0.25">
      <c r="A474" s="12"/>
      <c r="B474" s="12"/>
      <c r="C474" s="12"/>
      <c r="D474" s="12"/>
      <c r="E474" s="12"/>
      <c r="F474" s="19" t="str">
        <f t="shared" si="13"/>
        <v/>
      </c>
      <c r="G474" s="12"/>
      <c r="H474" s="11"/>
    </row>
    <row r="475" spans="1:8" ht="24.95" customHeight="1" x14ac:dyDescent="0.25">
      <c r="A475" s="12"/>
      <c r="B475" s="12"/>
      <c r="C475" s="12"/>
      <c r="D475" s="12"/>
      <c r="E475" s="12"/>
      <c r="F475" s="19" t="str">
        <f t="shared" si="13"/>
        <v/>
      </c>
      <c r="G475" s="12"/>
      <c r="H475" s="11"/>
    </row>
    <row r="476" spans="1:8" ht="24.95" customHeight="1" x14ac:dyDescent="0.25">
      <c r="A476" s="12"/>
      <c r="B476" s="12"/>
      <c r="C476" s="12"/>
      <c r="D476" s="12"/>
      <c r="E476" s="12"/>
      <c r="F476" s="19" t="str">
        <f t="shared" si="13"/>
        <v/>
      </c>
      <c r="G476" s="12"/>
      <c r="H476" s="11"/>
    </row>
    <row r="477" spans="1:8" ht="24.95" customHeight="1" x14ac:dyDescent="0.25">
      <c r="A477" s="12"/>
      <c r="B477" s="12"/>
      <c r="C477" s="12"/>
      <c r="D477" s="12"/>
      <c r="E477" s="12"/>
      <c r="F477" s="19" t="str">
        <f t="shared" si="13"/>
        <v/>
      </c>
      <c r="G477" s="12"/>
      <c r="H477" s="11"/>
    </row>
    <row r="478" spans="1:8" ht="24.95" customHeight="1" x14ac:dyDescent="0.25">
      <c r="A478" s="12"/>
      <c r="B478" s="12"/>
      <c r="C478" s="12"/>
      <c r="D478" s="12"/>
      <c r="E478" s="12"/>
      <c r="F478" s="19" t="str">
        <f t="shared" si="13"/>
        <v/>
      </c>
      <c r="G478" s="12"/>
      <c r="H478" s="11"/>
    </row>
    <row r="479" spans="1:8" ht="24.95" customHeight="1" x14ac:dyDescent="0.25">
      <c r="A479" s="12"/>
      <c r="B479" s="12"/>
      <c r="C479" s="12"/>
      <c r="D479" s="12"/>
      <c r="E479" s="12"/>
      <c r="F479" s="19" t="str">
        <f t="shared" si="13"/>
        <v/>
      </c>
      <c r="G479" s="12"/>
      <c r="H479" s="11"/>
    </row>
    <row r="480" spans="1:8" ht="24.95" customHeight="1" x14ac:dyDescent="0.25">
      <c r="A480" s="12"/>
      <c r="B480" s="12"/>
      <c r="C480" s="12"/>
      <c r="D480" s="12"/>
      <c r="E480" s="12"/>
      <c r="F480" s="19" t="str">
        <f t="shared" si="13"/>
        <v/>
      </c>
      <c r="G480" s="12"/>
      <c r="H480" s="11"/>
    </row>
    <row r="481" spans="1:8" ht="24.95" customHeight="1" x14ac:dyDescent="0.25">
      <c r="A481" s="12"/>
      <c r="B481" s="12"/>
      <c r="C481" s="12"/>
      <c r="D481" s="12"/>
      <c r="E481" s="12"/>
      <c r="F481" s="19" t="str">
        <f t="shared" si="13"/>
        <v/>
      </c>
      <c r="G481" s="12"/>
      <c r="H481" s="11"/>
    </row>
    <row r="482" spans="1:8" ht="24.95" customHeight="1" x14ac:dyDescent="0.25">
      <c r="A482" s="12"/>
      <c r="B482" s="12"/>
      <c r="C482" s="12"/>
      <c r="D482" s="12"/>
      <c r="E482" s="12"/>
      <c r="F482" s="19" t="str">
        <f t="shared" si="13"/>
        <v/>
      </c>
      <c r="G482" s="12"/>
      <c r="H482" s="11"/>
    </row>
    <row r="483" spans="1:8" ht="24.95" customHeight="1" x14ac:dyDescent="0.25">
      <c r="A483" s="12"/>
      <c r="B483" s="12"/>
      <c r="C483" s="12"/>
      <c r="D483" s="12"/>
      <c r="E483" s="12"/>
      <c r="F483" s="19" t="str">
        <f t="shared" si="13"/>
        <v/>
      </c>
      <c r="G483" s="12"/>
      <c r="H483" s="11"/>
    </row>
    <row r="484" spans="1:8" ht="24.95" customHeight="1" x14ac:dyDescent="0.25">
      <c r="A484" s="12"/>
      <c r="B484" s="12"/>
      <c r="C484" s="12"/>
      <c r="D484" s="12"/>
      <c r="E484" s="12"/>
      <c r="F484" s="19" t="str">
        <f t="shared" si="13"/>
        <v/>
      </c>
      <c r="G484" s="12"/>
      <c r="H484" s="11"/>
    </row>
    <row r="485" spans="1:8" ht="24.95" customHeight="1" x14ac:dyDescent="0.25">
      <c r="A485" s="12"/>
      <c r="B485" s="12"/>
      <c r="C485" s="12"/>
      <c r="D485" s="12"/>
      <c r="E485" s="12"/>
      <c r="F485" s="19" t="str">
        <f t="shared" si="13"/>
        <v/>
      </c>
      <c r="G485" s="12"/>
      <c r="H485" s="11"/>
    </row>
    <row r="486" spans="1:8" ht="24.95" customHeight="1" x14ac:dyDescent="0.25">
      <c r="A486" s="12"/>
      <c r="B486" s="12"/>
      <c r="C486" s="12"/>
      <c r="D486" s="12"/>
      <c r="E486" s="12"/>
      <c r="F486" s="19" t="str">
        <f t="shared" si="13"/>
        <v/>
      </c>
      <c r="G486" s="12"/>
      <c r="H486" s="11"/>
    </row>
    <row r="487" spans="1:8" ht="24.95" customHeight="1" x14ac:dyDescent="0.25">
      <c r="A487" s="12"/>
      <c r="B487" s="12"/>
      <c r="C487" s="12"/>
      <c r="D487" s="12"/>
      <c r="E487" s="12"/>
      <c r="F487" s="19" t="str">
        <f t="shared" si="13"/>
        <v/>
      </c>
      <c r="G487" s="12"/>
      <c r="H487" s="11"/>
    </row>
    <row r="488" spans="1:8" ht="24.95" customHeight="1" x14ac:dyDescent="0.25">
      <c r="A488" s="12"/>
      <c r="B488" s="12"/>
      <c r="C488" s="12"/>
      <c r="D488" s="12"/>
      <c r="E488" s="12"/>
      <c r="F488" s="19" t="str">
        <f t="shared" si="13"/>
        <v/>
      </c>
      <c r="G488" s="12"/>
      <c r="H488" s="11"/>
    </row>
    <row r="489" spans="1:8" ht="24.95" customHeight="1" x14ac:dyDescent="0.25">
      <c r="A489" s="12"/>
      <c r="B489" s="12"/>
      <c r="C489" s="12"/>
      <c r="D489" s="12"/>
      <c r="E489" s="12"/>
      <c r="F489" s="19" t="str">
        <f t="shared" si="13"/>
        <v/>
      </c>
      <c r="G489" s="12"/>
      <c r="H489" s="11"/>
    </row>
    <row r="490" spans="1:8" ht="24.95" customHeight="1" x14ac:dyDescent="0.25">
      <c r="A490" s="12"/>
      <c r="B490" s="12"/>
      <c r="C490" s="12"/>
      <c r="D490" s="12"/>
      <c r="E490" s="12"/>
      <c r="F490" s="19" t="str">
        <f t="shared" si="13"/>
        <v/>
      </c>
      <c r="G490" s="12"/>
      <c r="H490" s="11"/>
    </row>
    <row r="491" spans="1:8" ht="24.95" customHeight="1" x14ac:dyDescent="0.25">
      <c r="A491" s="12"/>
      <c r="B491" s="12"/>
      <c r="C491" s="12"/>
      <c r="D491" s="12"/>
      <c r="E491" s="12"/>
      <c r="F491" s="19" t="str">
        <f t="shared" si="13"/>
        <v/>
      </c>
      <c r="G491" s="12"/>
      <c r="H491" s="11"/>
    </row>
    <row r="492" spans="1:8" ht="24.95" customHeight="1" x14ac:dyDescent="0.25">
      <c r="A492" s="12"/>
      <c r="B492" s="12"/>
      <c r="C492" s="12"/>
      <c r="D492" s="12"/>
      <c r="E492" s="12"/>
      <c r="F492" s="19" t="str">
        <f t="shared" si="13"/>
        <v/>
      </c>
      <c r="G492" s="12"/>
      <c r="H492" s="11"/>
    </row>
    <row r="493" spans="1:8" ht="24.95" customHeight="1" x14ac:dyDescent="0.25">
      <c r="A493" s="12"/>
      <c r="B493" s="12"/>
      <c r="C493" s="12"/>
      <c r="D493" s="12"/>
      <c r="E493" s="12"/>
      <c r="F493" s="19" t="str">
        <f t="shared" si="13"/>
        <v/>
      </c>
      <c r="G493" s="12"/>
      <c r="H493" s="11"/>
    </row>
    <row r="494" spans="1:8" ht="24.95" customHeight="1" x14ac:dyDescent="0.25">
      <c r="A494" s="12"/>
      <c r="B494" s="12"/>
      <c r="C494" s="12"/>
      <c r="D494" s="12"/>
      <c r="E494" s="12"/>
      <c r="F494" s="19" t="str">
        <f t="shared" si="13"/>
        <v/>
      </c>
      <c r="G494" s="12"/>
      <c r="H494" s="11"/>
    </row>
    <row r="495" spans="1:8" ht="24.95" customHeight="1" x14ac:dyDescent="0.25">
      <c r="A495" s="12"/>
      <c r="B495" s="12"/>
      <c r="C495" s="12"/>
      <c r="D495" s="12"/>
      <c r="E495" s="12"/>
      <c r="F495" s="19" t="str">
        <f t="shared" si="13"/>
        <v/>
      </c>
      <c r="G495" s="12"/>
      <c r="H495" s="11"/>
    </row>
    <row r="496" spans="1:8" ht="24.95" customHeight="1" x14ac:dyDescent="0.25">
      <c r="A496" s="12"/>
      <c r="B496" s="12"/>
      <c r="C496" s="12"/>
      <c r="D496" s="12"/>
      <c r="E496" s="12"/>
      <c r="F496" s="19" t="str">
        <f t="shared" si="13"/>
        <v/>
      </c>
      <c r="G496" s="12"/>
      <c r="H496" s="11"/>
    </row>
    <row r="497" spans="1:8" ht="24.95" customHeight="1" x14ac:dyDescent="0.25">
      <c r="A497" s="12"/>
      <c r="B497" s="12"/>
      <c r="C497" s="12"/>
      <c r="D497" s="12"/>
      <c r="E497" s="12"/>
      <c r="F497" s="19" t="str">
        <f t="shared" si="13"/>
        <v/>
      </c>
      <c r="G497" s="12"/>
      <c r="H497" s="11"/>
    </row>
    <row r="498" spans="1:8" ht="24.95" customHeight="1" x14ac:dyDescent="0.25">
      <c r="A498" s="12"/>
      <c r="B498" s="12"/>
      <c r="C498" s="12"/>
      <c r="D498" s="12"/>
      <c r="E498" s="12"/>
      <c r="F498" s="19" t="str">
        <f t="shared" si="13"/>
        <v/>
      </c>
      <c r="G498" s="12"/>
      <c r="H498" s="11"/>
    </row>
    <row r="499" spans="1:8" ht="24.95" customHeight="1" x14ac:dyDescent="0.25">
      <c r="A499" s="12"/>
      <c r="B499" s="12"/>
      <c r="C499" s="12"/>
      <c r="D499" s="12"/>
      <c r="E499" s="12"/>
      <c r="F499" s="19" t="str">
        <f t="shared" si="13"/>
        <v/>
      </c>
      <c r="G499" s="12"/>
      <c r="H499" s="11"/>
    </row>
    <row r="500" spans="1:8" ht="24.95" customHeight="1" x14ac:dyDescent="0.25">
      <c r="A500" s="12"/>
      <c r="B500" s="12"/>
      <c r="C500" s="12"/>
      <c r="D500" s="12"/>
      <c r="E500" s="12"/>
      <c r="F500" s="19" t="str">
        <f t="shared" si="13"/>
        <v/>
      </c>
      <c r="G500" s="12"/>
      <c r="H500" s="11"/>
    </row>
    <row r="501" spans="1:8" ht="24.95" customHeight="1" x14ac:dyDescent="0.25">
      <c r="A501" s="12"/>
      <c r="B501" s="12"/>
      <c r="C501" s="12"/>
      <c r="D501" s="12"/>
      <c r="E501" s="12"/>
      <c r="F501" s="19" t="str">
        <f t="shared" si="13"/>
        <v/>
      </c>
      <c r="G501" s="12"/>
      <c r="H501" s="11"/>
    </row>
    <row r="502" spans="1:8" ht="24.95" customHeight="1" x14ac:dyDescent="0.25">
      <c r="H502" s="11"/>
    </row>
    <row r="503" spans="1:8" ht="24.95" customHeight="1" x14ac:dyDescent="0.25">
      <c r="H503" s="11"/>
    </row>
    <row r="504" spans="1:8" ht="24.95" customHeight="1" x14ac:dyDescent="0.25"/>
    <row r="505" spans="1:8" ht="24.95" customHeight="1" x14ac:dyDescent="0.25"/>
    <row r="506" spans="1:8" ht="24.95" customHeight="1" x14ac:dyDescent="0.25"/>
    <row r="507" spans="1:8" ht="24.95" customHeight="1" x14ac:dyDescent="0.25"/>
    <row r="508" spans="1:8" ht="24.95" customHeight="1" x14ac:dyDescent="0.25"/>
    <row r="509" spans="1:8" ht="24.95" customHeight="1" x14ac:dyDescent="0.25"/>
    <row r="510" spans="1:8" ht="24.95" customHeight="1" x14ac:dyDescent="0.25"/>
    <row r="511" spans="1:8" ht="24.95" customHeight="1" x14ac:dyDescent="0.25"/>
    <row r="512" spans="1:8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5">
    <mergeCell ref="K9:K10"/>
    <mergeCell ref="K11:K12"/>
    <mergeCell ref="M1:N2"/>
    <mergeCell ref="N5:N6"/>
    <mergeCell ref="N7:N8"/>
    <mergeCell ref="N9:N10"/>
    <mergeCell ref="N40:AA40"/>
    <mergeCell ref="A1:G1"/>
    <mergeCell ref="L17:L18"/>
    <mergeCell ref="K1:L1"/>
    <mergeCell ref="L5:L6"/>
    <mergeCell ref="L7:L8"/>
    <mergeCell ref="L9:L10"/>
    <mergeCell ref="L11:L12"/>
    <mergeCell ref="L15:L16"/>
    <mergeCell ref="K15:K16"/>
    <mergeCell ref="K17:K18"/>
    <mergeCell ref="K5:K6"/>
    <mergeCell ref="K7:K8"/>
    <mergeCell ref="J19:N19"/>
    <mergeCell ref="J20:N20"/>
    <mergeCell ref="M11:M12"/>
    <mergeCell ref="M15:M16"/>
    <mergeCell ref="M17:M18"/>
    <mergeCell ref="N17:N18"/>
    <mergeCell ref="N11:N12"/>
    <mergeCell ref="N15:N16"/>
    <mergeCell ref="J5:J18"/>
    <mergeCell ref="K13:K14"/>
    <mergeCell ref="L13:L14"/>
    <mergeCell ref="M13:M14"/>
    <mergeCell ref="N13:N14"/>
    <mergeCell ref="M5:M6"/>
    <mergeCell ref="M7:M8"/>
    <mergeCell ref="M9:M10"/>
  </mergeCells>
  <phoneticPr fontId="7" type="noConversion"/>
  <dataValidations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A3" sqref="A3"/>
    </sheetView>
  </sheetViews>
  <sheetFormatPr defaultRowHeight="15" x14ac:dyDescent="0.25"/>
  <cols>
    <col min="1" max="4" width="25.7109375" customWidth="1"/>
    <col min="6" max="6" width="9.85546875" bestFit="1" customWidth="1"/>
    <col min="7" max="19" width="4.7109375" customWidth="1"/>
  </cols>
  <sheetData>
    <row r="1" spans="1:19" ht="45" customHeight="1" x14ac:dyDescent="0.25">
      <c r="A1" s="101" t="s">
        <v>23</v>
      </c>
      <c r="B1" s="102"/>
      <c r="C1" s="102"/>
      <c r="D1" s="102"/>
      <c r="E1" s="103"/>
    </row>
    <row r="2" spans="1:19" ht="45" customHeight="1" x14ac:dyDescent="0.25">
      <c r="A2" s="1" t="s">
        <v>6</v>
      </c>
      <c r="B2" s="1" t="s">
        <v>10</v>
      </c>
      <c r="C2" s="1" t="s">
        <v>11</v>
      </c>
      <c r="D2" s="1" t="s">
        <v>12</v>
      </c>
      <c r="E2" s="1" t="s">
        <v>16</v>
      </c>
    </row>
    <row r="3" spans="1:19" ht="45" customHeight="1" x14ac:dyDescent="0.25">
      <c r="A3" s="3">
        <f>Envios!H4</f>
        <v>9</v>
      </c>
      <c r="B3" s="3">
        <v>14</v>
      </c>
      <c r="C3" s="3">
        <v>7</v>
      </c>
      <c r="D3" s="3">
        <v>15</v>
      </c>
      <c r="E3" s="104">
        <f>SUM(A3:D3)</f>
        <v>45</v>
      </c>
    </row>
    <row r="4" spans="1:19" ht="45" customHeight="1" x14ac:dyDescent="0.25">
      <c r="A4" s="15">
        <f>SUM(A3/E3)</f>
        <v>0.2</v>
      </c>
      <c r="B4" s="15">
        <f>SUM(B3/E3)</f>
        <v>0.31111111111111112</v>
      </c>
      <c r="C4" s="15">
        <f>SUM(C3/E3)</f>
        <v>0.15555555555555556</v>
      </c>
      <c r="D4" s="15">
        <f>SUM(D3/E3)</f>
        <v>0.33333333333333331</v>
      </c>
      <c r="E4" s="105"/>
    </row>
    <row r="6" spans="1:19" x14ac:dyDescent="0.25">
      <c r="F6" s="106" t="s">
        <v>39</v>
      </c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8"/>
    </row>
    <row r="7" spans="1:19" x14ac:dyDescent="0.25">
      <c r="F7" s="35" t="s">
        <v>24</v>
      </c>
      <c r="G7" s="35"/>
      <c r="H7" s="35" t="s">
        <v>25</v>
      </c>
      <c r="I7" s="35" t="s">
        <v>26</v>
      </c>
      <c r="J7" s="35" t="s">
        <v>27</v>
      </c>
      <c r="K7" s="35" t="s">
        <v>28</v>
      </c>
      <c r="L7" s="35" t="s">
        <v>29</v>
      </c>
      <c r="M7" s="35" t="s">
        <v>30</v>
      </c>
      <c r="N7" s="35" t="s">
        <v>31</v>
      </c>
      <c r="O7" s="35" t="s">
        <v>32</v>
      </c>
      <c r="P7" s="35" t="s">
        <v>33</v>
      </c>
      <c r="Q7" s="35" t="s">
        <v>34</v>
      </c>
      <c r="R7" s="35" t="s">
        <v>35</v>
      </c>
      <c r="S7" s="35" t="s">
        <v>36</v>
      </c>
    </row>
    <row r="8" spans="1:19" x14ac:dyDescent="0.25">
      <c r="F8" s="35" t="s">
        <v>37</v>
      </c>
      <c r="G8" s="35"/>
      <c r="H8" s="36">
        <v>5</v>
      </c>
      <c r="I8" s="36">
        <v>10</v>
      </c>
      <c r="J8" s="36">
        <v>2</v>
      </c>
      <c r="K8" s="36">
        <v>6</v>
      </c>
      <c r="L8" s="36">
        <v>11</v>
      </c>
      <c r="M8" s="36">
        <v>9</v>
      </c>
      <c r="N8" s="36"/>
      <c r="O8" s="36"/>
      <c r="P8" s="36"/>
      <c r="Q8" s="36"/>
      <c r="R8" s="36"/>
      <c r="S8" s="36"/>
    </row>
    <row r="9" spans="1:19" x14ac:dyDescent="0.25">
      <c r="F9" s="35" t="s">
        <v>38</v>
      </c>
      <c r="G9" s="35"/>
      <c r="H9" s="36">
        <v>10</v>
      </c>
      <c r="I9" s="36">
        <v>7</v>
      </c>
      <c r="J9" s="36">
        <v>16</v>
      </c>
      <c r="K9" s="36">
        <v>4</v>
      </c>
      <c r="L9" s="36">
        <v>12</v>
      </c>
      <c r="M9" s="36">
        <v>14</v>
      </c>
      <c r="N9" s="36"/>
      <c r="O9" s="36"/>
      <c r="P9" s="36"/>
      <c r="Q9" s="36"/>
      <c r="R9" s="36"/>
      <c r="S9" s="36"/>
    </row>
    <row r="10" spans="1:19" x14ac:dyDescent="0.25">
      <c r="F10" s="35" t="s">
        <v>40</v>
      </c>
      <c r="G10" s="35"/>
      <c r="H10" s="36">
        <v>22</v>
      </c>
      <c r="I10" s="36">
        <v>6</v>
      </c>
      <c r="J10" s="36">
        <v>2</v>
      </c>
      <c r="K10" s="36">
        <v>3</v>
      </c>
      <c r="L10" s="36">
        <v>2</v>
      </c>
      <c r="M10" s="36">
        <v>7</v>
      </c>
      <c r="N10" s="36"/>
      <c r="O10" s="36"/>
      <c r="P10" s="36"/>
      <c r="Q10" s="36"/>
      <c r="R10" s="36"/>
      <c r="S10" s="36"/>
    </row>
    <row r="11" spans="1:19" x14ac:dyDescent="0.25">
      <c r="F11" s="35" t="s">
        <v>41</v>
      </c>
      <c r="G11" s="35"/>
      <c r="H11" s="36">
        <v>14</v>
      </c>
      <c r="I11" s="36">
        <v>10</v>
      </c>
      <c r="J11" s="36">
        <v>13</v>
      </c>
      <c r="K11" s="36">
        <v>8</v>
      </c>
      <c r="L11" s="36">
        <v>9</v>
      </c>
      <c r="M11" s="36">
        <v>15</v>
      </c>
      <c r="N11" s="36"/>
      <c r="O11" s="36"/>
      <c r="P11" s="36"/>
      <c r="Q11" s="36"/>
      <c r="R11" s="36"/>
      <c r="S11" s="3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70"/>
  <sheetViews>
    <sheetView topLeftCell="G1" zoomScale="70" zoomScaleNormal="70" workbookViewId="0">
      <selection activeCell="R28" sqref="R28"/>
    </sheetView>
  </sheetViews>
  <sheetFormatPr defaultRowHeight="15" x14ac:dyDescent="0.25"/>
  <cols>
    <col min="1" max="8" width="20.7109375" customWidth="1"/>
    <col min="9" max="9" width="11.42578125" customWidth="1"/>
    <col min="10" max="10" width="9.140625" customWidth="1"/>
  </cols>
  <sheetData>
    <row r="1" spans="1:22" ht="45" customHeight="1" x14ac:dyDescent="0.25">
      <c r="A1" s="109" t="s">
        <v>9</v>
      </c>
      <c r="B1" s="109"/>
      <c r="C1" s="109"/>
      <c r="D1" s="109"/>
      <c r="E1" s="109"/>
      <c r="F1" s="109"/>
      <c r="G1" s="109"/>
      <c r="H1" s="109"/>
    </row>
    <row r="2" spans="1:22" ht="45" customHeight="1" x14ac:dyDescent="0.25">
      <c r="A2" s="5" t="s">
        <v>13</v>
      </c>
      <c r="B2" s="5" t="s">
        <v>43</v>
      </c>
      <c r="C2" s="5" t="s">
        <v>44</v>
      </c>
      <c r="D2" s="5" t="s">
        <v>45</v>
      </c>
      <c r="E2" s="5" t="s">
        <v>125</v>
      </c>
      <c r="F2" s="5"/>
      <c r="G2" s="5"/>
      <c r="H2" s="5" t="s">
        <v>16</v>
      </c>
    </row>
    <row r="3" spans="1:22" ht="45" customHeight="1" x14ac:dyDescent="0.25">
      <c r="A3" s="5" t="s">
        <v>14</v>
      </c>
      <c r="B3" s="17">
        <f ca="1">ContarValoresUnicos(B2)</f>
        <v>101</v>
      </c>
      <c r="C3" s="17">
        <f ca="1">ContarValoresUnicos(C2)</f>
        <v>60</v>
      </c>
      <c r="D3" s="17">
        <f ca="1">ContarValoresUnicos(D2)</f>
        <v>60</v>
      </c>
      <c r="E3" s="17">
        <f ca="1">ContarValoresUnicos(E2)</f>
        <v>0</v>
      </c>
      <c r="F3" s="17"/>
      <c r="G3" s="17"/>
      <c r="H3" s="4">
        <f ca="1">SUM(B3:E3)</f>
        <v>221</v>
      </c>
    </row>
    <row r="4" spans="1:22" ht="45" customHeight="1" x14ac:dyDescent="0.25">
      <c r="A4" s="5" t="s">
        <v>15</v>
      </c>
      <c r="B4" s="17">
        <v>3</v>
      </c>
      <c r="C4" s="17">
        <v>2</v>
      </c>
      <c r="D4" s="17">
        <v>2</v>
      </c>
      <c r="E4" s="17">
        <v>2</v>
      </c>
      <c r="F4" s="17"/>
      <c r="G4" s="17"/>
      <c r="H4" s="17">
        <f>SUM(B4:E4)</f>
        <v>9</v>
      </c>
    </row>
    <row r="6" spans="1:22" x14ac:dyDescent="0.25">
      <c r="I6" s="106" t="s">
        <v>42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35"/>
      <c r="J7" s="35"/>
      <c r="K7" s="35" t="s">
        <v>25</v>
      </c>
      <c r="L7" s="35" t="s">
        <v>26</v>
      </c>
      <c r="M7" s="35" t="s">
        <v>27</v>
      </c>
      <c r="N7" s="35" t="s">
        <v>28</v>
      </c>
      <c r="O7" s="35" t="s">
        <v>29</v>
      </c>
      <c r="P7" s="35" t="s">
        <v>30</v>
      </c>
      <c r="Q7" s="35" t="s">
        <v>31</v>
      </c>
      <c r="R7" s="35" t="s">
        <v>32</v>
      </c>
      <c r="S7" s="35" t="s">
        <v>33</v>
      </c>
      <c r="T7" s="35" t="s">
        <v>34</v>
      </c>
      <c r="U7" s="35" t="s">
        <v>35</v>
      </c>
      <c r="V7" s="35" t="s">
        <v>36</v>
      </c>
    </row>
    <row r="8" spans="1:22" x14ac:dyDescent="0.25">
      <c r="I8" s="35" t="str">
        <f t="array" ref="I8:I13">TRANSPOSE(IF(ISBLANK(B2:G2),"",B2:G2))</f>
        <v>Bruna</v>
      </c>
      <c r="J8" s="35"/>
      <c r="K8" s="36">
        <v>5</v>
      </c>
      <c r="L8" s="36">
        <v>13</v>
      </c>
      <c r="M8" s="36">
        <v>19</v>
      </c>
      <c r="N8" s="36">
        <v>13</v>
      </c>
      <c r="O8" s="36">
        <v>136</v>
      </c>
      <c r="P8" s="36">
        <v>100</v>
      </c>
      <c r="Q8" s="36"/>
      <c r="R8" s="36"/>
      <c r="S8" s="36"/>
      <c r="T8" s="36"/>
      <c r="U8" s="36"/>
      <c r="V8" s="36"/>
    </row>
    <row r="9" spans="1:22" x14ac:dyDescent="0.25">
      <c r="I9" s="35" t="str">
        <v>Elias</v>
      </c>
      <c r="J9" s="35"/>
      <c r="K9" s="36">
        <v>36</v>
      </c>
      <c r="L9" s="36">
        <v>37</v>
      </c>
      <c r="M9" s="36">
        <v>43</v>
      </c>
      <c r="N9" s="36">
        <v>50</v>
      </c>
      <c r="O9" s="36">
        <v>65</v>
      </c>
      <c r="P9" s="36">
        <v>59</v>
      </c>
      <c r="Q9" s="36"/>
      <c r="R9" s="36"/>
      <c r="S9" s="36"/>
      <c r="T9" s="36"/>
      <c r="U9" s="36"/>
      <c r="V9" s="36"/>
    </row>
    <row r="10" spans="1:22" x14ac:dyDescent="0.25">
      <c r="I10" s="35" t="str">
        <v>Marcel</v>
      </c>
      <c r="J10" s="35"/>
      <c r="K10" s="36">
        <v>11</v>
      </c>
      <c r="L10" s="36">
        <v>29</v>
      </c>
      <c r="M10" s="36">
        <v>46</v>
      </c>
      <c r="N10" s="36">
        <v>28</v>
      </c>
      <c r="O10" s="36">
        <v>127</v>
      </c>
      <c r="P10" s="36">
        <v>61</v>
      </c>
      <c r="Q10" s="36"/>
      <c r="R10" s="36"/>
      <c r="S10" s="36"/>
      <c r="T10" s="36"/>
      <c r="U10" s="36"/>
      <c r="V10" s="36"/>
    </row>
    <row r="11" spans="1:22" x14ac:dyDescent="0.25">
      <c r="I11" s="35" t="str">
        <v>Vitória</v>
      </c>
      <c r="J11" s="35"/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81</v>
      </c>
      <c r="Q11" s="36"/>
      <c r="R11" s="36"/>
      <c r="S11" s="36"/>
      <c r="T11" s="36"/>
      <c r="U11" s="36"/>
      <c r="V11" s="36"/>
    </row>
    <row r="12" spans="1:22" x14ac:dyDescent="0.25">
      <c r="I12" s="35" t="str">
        <v/>
      </c>
      <c r="J12" s="35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</row>
    <row r="13" spans="1:22" x14ac:dyDescent="0.25">
      <c r="I13" s="35" t="str">
        <v/>
      </c>
      <c r="J13" s="35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</row>
    <row r="38" spans="1:7" x14ac:dyDescent="0.25">
      <c r="A38" s="5" t="s">
        <v>0</v>
      </c>
      <c r="B38" s="5" t="str">
        <f>IF(ISBLANK(B2),"",B2)</f>
        <v>Bruna</v>
      </c>
      <c r="C38" s="5" t="str">
        <f t="shared" ref="C38:G38" si="0">IF(ISBLANK(C2),"",C2)</f>
        <v>Elias</v>
      </c>
      <c r="D38" s="5" t="str">
        <f t="shared" si="0"/>
        <v>Marcel</v>
      </c>
      <c r="E38" s="5" t="str">
        <f t="shared" si="0"/>
        <v>Vitória</v>
      </c>
      <c r="F38" s="5" t="str">
        <f t="shared" si="0"/>
        <v/>
      </c>
      <c r="G38" s="5" t="str">
        <f t="shared" si="0"/>
        <v/>
      </c>
    </row>
    <row r="39" spans="1:7" x14ac:dyDescent="0.25">
      <c r="A39" s="28">
        <v>1</v>
      </c>
      <c r="B39" s="29">
        <v>1</v>
      </c>
      <c r="C39" s="29">
        <v>6</v>
      </c>
      <c r="D39" s="29">
        <v>8</v>
      </c>
      <c r="E39" s="29">
        <v>0</v>
      </c>
      <c r="F39" s="29"/>
      <c r="G39" s="29"/>
    </row>
    <row r="40" spans="1:7" x14ac:dyDescent="0.25">
      <c r="A40" s="6">
        <v>2</v>
      </c>
      <c r="B40" s="7">
        <v>11</v>
      </c>
      <c r="C40" s="7">
        <v>0</v>
      </c>
      <c r="D40" s="7">
        <v>1</v>
      </c>
      <c r="E40" s="7">
        <v>0</v>
      </c>
      <c r="F40" s="7"/>
      <c r="G40" s="7"/>
    </row>
    <row r="41" spans="1:7" x14ac:dyDescent="0.25">
      <c r="A41" s="39">
        <v>3</v>
      </c>
      <c r="B41" s="38"/>
      <c r="C41" s="38"/>
      <c r="D41" s="38"/>
      <c r="E41" s="38"/>
      <c r="F41" s="38"/>
      <c r="G41" s="38"/>
    </row>
    <row r="42" spans="1:7" x14ac:dyDescent="0.25">
      <c r="A42" s="39">
        <v>4</v>
      </c>
      <c r="B42" s="38"/>
      <c r="C42" s="38"/>
      <c r="D42" s="38"/>
      <c r="E42" s="38"/>
      <c r="F42" s="38"/>
      <c r="G42" s="38"/>
    </row>
    <row r="43" spans="1:7" x14ac:dyDescent="0.25">
      <c r="A43" s="6">
        <v>5</v>
      </c>
      <c r="B43" s="7">
        <v>0</v>
      </c>
      <c r="C43" s="7">
        <v>2</v>
      </c>
      <c r="D43" s="7">
        <v>2</v>
      </c>
      <c r="E43" s="7">
        <v>7</v>
      </c>
      <c r="F43" s="7"/>
      <c r="G43" s="7"/>
    </row>
    <row r="44" spans="1:7" x14ac:dyDescent="0.25">
      <c r="A44" s="6">
        <v>6</v>
      </c>
      <c r="B44" s="7">
        <v>4</v>
      </c>
      <c r="C44" s="7">
        <v>0</v>
      </c>
      <c r="D44" s="7">
        <v>2</v>
      </c>
      <c r="E44" s="7">
        <v>4</v>
      </c>
      <c r="F44" s="7"/>
      <c r="G44" s="7"/>
    </row>
    <row r="45" spans="1:7" x14ac:dyDescent="0.25">
      <c r="A45" s="28">
        <v>7</v>
      </c>
      <c r="B45" s="29">
        <v>4</v>
      </c>
      <c r="C45" s="29">
        <v>2</v>
      </c>
      <c r="D45" s="29">
        <v>3</v>
      </c>
      <c r="E45" s="29">
        <v>0</v>
      </c>
      <c r="F45" s="29"/>
      <c r="G45" s="29"/>
    </row>
    <row r="46" spans="1:7" x14ac:dyDescent="0.25">
      <c r="A46" s="28">
        <v>8</v>
      </c>
      <c r="B46" s="29">
        <v>2</v>
      </c>
      <c r="C46" s="29">
        <v>11</v>
      </c>
      <c r="D46" s="29">
        <v>7</v>
      </c>
      <c r="E46" s="29">
        <v>0</v>
      </c>
      <c r="F46" s="29"/>
      <c r="G46" s="29"/>
    </row>
    <row r="47" spans="1:7" x14ac:dyDescent="0.25">
      <c r="A47" s="6">
        <v>9</v>
      </c>
      <c r="B47" s="7">
        <v>0</v>
      </c>
      <c r="C47" s="7">
        <v>0</v>
      </c>
      <c r="D47" s="7">
        <v>0</v>
      </c>
      <c r="E47" s="7">
        <v>0</v>
      </c>
      <c r="F47" s="7"/>
      <c r="G47" s="7"/>
    </row>
    <row r="48" spans="1:7" x14ac:dyDescent="0.25">
      <c r="A48" s="39">
        <v>10</v>
      </c>
      <c r="B48" s="38"/>
      <c r="C48" s="38"/>
      <c r="D48" s="38"/>
      <c r="E48" s="38"/>
      <c r="F48" s="38"/>
      <c r="G48" s="38"/>
    </row>
    <row r="49" spans="1:7" x14ac:dyDescent="0.25">
      <c r="A49" s="39">
        <v>11</v>
      </c>
      <c r="B49" s="38"/>
      <c r="C49" s="38"/>
      <c r="D49" s="38"/>
      <c r="E49" s="38"/>
      <c r="F49" s="38"/>
      <c r="G49" s="38"/>
    </row>
    <row r="50" spans="1:7" x14ac:dyDescent="0.25">
      <c r="A50" s="6">
        <v>12</v>
      </c>
      <c r="B50" s="7">
        <v>2</v>
      </c>
      <c r="C50" s="7">
        <v>0</v>
      </c>
      <c r="D50" s="7">
        <v>2</v>
      </c>
      <c r="E50" s="7">
        <v>6</v>
      </c>
      <c r="F50" s="7"/>
      <c r="G50" s="7"/>
    </row>
    <row r="51" spans="1:7" x14ac:dyDescent="0.25">
      <c r="A51" s="6">
        <v>13</v>
      </c>
      <c r="B51" s="7">
        <v>0</v>
      </c>
      <c r="C51" s="7">
        <v>1</v>
      </c>
      <c r="D51" s="7">
        <v>2</v>
      </c>
      <c r="E51" s="7">
        <v>0</v>
      </c>
      <c r="F51" s="7"/>
      <c r="G51" s="7"/>
    </row>
    <row r="52" spans="1:7" x14ac:dyDescent="0.25">
      <c r="A52" s="28">
        <v>14</v>
      </c>
      <c r="B52" s="29">
        <v>9</v>
      </c>
      <c r="C52" s="29">
        <v>1</v>
      </c>
      <c r="D52" s="29">
        <v>1</v>
      </c>
      <c r="E52" s="29">
        <v>0</v>
      </c>
      <c r="F52" s="29"/>
      <c r="G52" s="29"/>
    </row>
    <row r="53" spans="1:7" x14ac:dyDescent="0.25">
      <c r="A53" s="28">
        <v>15</v>
      </c>
      <c r="B53" s="29">
        <v>13</v>
      </c>
      <c r="C53" s="29">
        <v>0</v>
      </c>
      <c r="D53" s="29">
        <v>4</v>
      </c>
      <c r="E53" s="29">
        <v>1</v>
      </c>
      <c r="F53" s="29"/>
      <c r="G53" s="29"/>
    </row>
    <row r="54" spans="1:7" x14ac:dyDescent="0.25">
      <c r="A54" s="6">
        <v>16</v>
      </c>
      <c r="B54" s="7">
        <v>0</v>
      </c>
      <c r="C54" s="7">
        <v>4</v>
      </c>
      <c r="D54" s="7">
        <v>0</v>
      </c>
      <c r="E54" s="7">
        <v>9</v>
      </c>
      <c r="F54" s="7"/>
      <c r="G54" s="7"/>
    </row>
    <row r="55" spans="1:7" x14ac:dyDescent="0.25">
      <c r="A55" s="39">
        <v>17</v>
      </c>
      <c r="B55" s="38"/>
      <c r="C55" s="38"/>
      <c r="D55" s="38"/>
      <c r="E55" s="38"/>
      <c r="F55" s="38"/>
      <c r="G55" s="38"/>
    </row>
    <row r="56" spans="1:7" x14ac:dyDescent="0.25">
      <c r="A56" s="39">
        <v>18</v>
      </c>
      <c r="B56" s="38"/>
      <c r="C56" s="38"/>
      <c r="D56" s="38"/>
      <c r="E56" s="38"/>
      <c r="F56" s="38"/>
      <c r="G56" s="38"/>
    </row>
    <row r="57" spans="1:7" x14ac:dyDescent="0.25">
      <c r="A57" s="6">
        <v>19</v>
      </c>
      <c r="B57" s="7">
        <v>13</v>
      </c>
      <c r="C57" s="7">
        <v>5</v>
      </c>
      <c r="D57" s="7">
        <v>5</v>
      </c>
      <c r="E57" s="7">
        <v>6</v>
      </c>
      <c r="F57" s="7"/>
      <c r="G57" s="7"/>
    </row>
    <row r="58" spans="1:7" x14ac:dyDescent="0.25">
      <c r="A58" s="6">
        <v>20</v>
      </c>
      <c r="B58" s="7">
        <v>7</v>
      </c>
      <c r="C58" s="7">
        <v>7</v>
      </c>
      <c r="D58" s="7">
        <v>7</v>
      </c>
      <c r="E58" s="7">
        <v>4</v>
      </c>
      <c r="F58" s="7"/>
      <c r="G58" s="7"/>
    </row>
    <row r="59" spans="1:7" s="21" customFormat="1" x14ac:dyDescent="0.25">
      <c r="A59" s="30">
        <v>21</v>
      </c>
      <c r="B59" s="31">
        <v>7</v>
      </c>
      <c r="C59" s="31">
        <v>4</v>
      </c>
      <c r="D59" s="31">
        <v>1</v>
      </c>
      <c r="E59" s="31">
        <v>12</v>
      </c>
      <c r="F59" s="31"/>
      <c r="G59" s="31"/>
    </row>
    <row r="60" spans="1:7" x14ac:dyDescent="0.25">
      <c r="A60" s="28">
        <v>22</v>
      </c>
      <c r="B60" s="31">
        <v>9</v>
      </c>
      <c r="C60" s="31">
        <v>2</v>
      </c>
      <c r="D60" s="31">
        <v>2</v>
      </c>
      <c r="E60" s="31">
        <v>11</v>
      </c>
      <c r="F60" s="31"/>
      <c r="G60" s="31"/>
    </row>
    <row r="61" spans="1:7" x14ac:dyDescent="0.25">
      <c r="A61" s="6">
        <v>23</v>
      </c>
      <c r="B61" s="7">
        <v>8</v>
      </c>
      <c r="C61" s="7">
        <v>9</v>
      </c>
      <c r="D61" s="7">
        <v>6</v>
      </c>
      <c r="E61" s="7">
        <v>9</v>
      </c>
      <c r="F61" s="7"/>
      <c r="G61" s="7"/>
    </row>
    <row r="62" spans="1:7" x14ac:dyDescent="0.25">
      <c r="A62" s="39">
        <v>24</v>
      </c>
      <c r="B62" s="38"/>
      <c r="C62" s="38"/>
      <c r="D62" s="38"/>
      <c r="E62" s="38"/>
      <c r="F62" s="38"/>
      <c r="G62" s="38"/>
    </row>
    <row r="63" spans="1:7" x14ac:dyDescent="0.25">
      <c r="A63" s="39">
        <v>25</v>
      </c>
      <c r="B63" s="38"/>
      <c r="C63" s="38"/>
      <c r="D63" s="38"/>
      <c r="E63" s="38"/>
      <c r="F63" s="38"/>
      <c r="G63" s="38"/>
    </row>
    <row r="64" spans="1:7" x14ac:dyDescent="0.25">
      <c r="A64" s="6">
        <v>26</v>
      </c>
      <c r="B64" s="7">
        <v>1</v>
      </c>
      <c r="C64" s="7">
        <v>0</v>
      </c>
      <c r="D64" s="7">
        <v>3</v>
      </c>
      <c r="E64" s="7">
        <v>0</v>
      </c>
      <c r="F64" s="7"/>
      <c r="G64" s="7"/>
    </row>
    <row r="65" spans="1:7" x14ac:dyDescent="0.25">
      <c r="A65" s="6">
        <v>27</v>
      </c>
      <c r="B65" s="7">
        <v>3</v>
      </c>
      <c r="C65" s="7">
        <v>3</v>
      </c>
      <c r="D65" s="7">
        <v>1</v>
      </c>
      <c r="E65" s="7">
        <v>1</v>
      </c>
      <c r="F65" s="7"/>
      <c r="G65" s="7"/>
    </row>
    <row r="66" spans="1:7" x14ac:dyDescent="0.25">
      <c r="A66" s="28">
        <v>28</v>
      </c>
      <c r="B66" s="29">
        <v>0</v>
      </c>
      <c r="C66" s="29">
        <v>1</v>
      </c>
      <c r="D66" s="29">
        <v>4</v>
      </c>
      <c r="E66" s="29">
        <v>4</v>
      </c>
      <c r="F66" s="29"/>
      <c r="G66" s="29"/>
    </row>
    <row r="67" spans="1:7" x14ac:dyDescent="0.25">
      <c r="A67" s="28">
        <v>29</v>
      </c>
      <c r="B67" s="29">
        <v>4</v>
      </c>
      <c r="C67" s="29">
        <v>0</v>
      </c>
      <c r="D67" s="29">
        <v>0</v>
      </c>
      <c r="E67" s="29">
        <v>0</v>
      </c>
      <c r="F67" s="29"/>
      <c r="G67" s="29"/>
    </row>
    <row r="68" spans="1:7" x14ac:dyDescent="0.25">
      <c r="A68" s="6">
        <v>30</v>
      </c>
      <c r="B68" s="29">
        <v>2</v>
      </c>
      <c r="C68" s="29">
        <v>1</v>
      </c>
      <c r="D68" s="29">
        <v>0</v>
      </c>
      <c r="E68" s="29">
        <v>7</v>
      </c>
      <c r="F68" s="29"/>
      <c r="G68" s="29"/>
    </row>
    <row r="69" spans="1:7" x14ac:dyDescent="0.25">
      <c r="A69" s="6">
        <v>31</v>
      </c>
      <c r="B69" s="29">
        <v>0</v>
      </c>
      <c r="C69" s="29">
        <v>0</v>
      </c>
      <c r="D69" s="29">
        <v>0</v>
      </c>
      <c r="E69" s="29">
        <v>0</v>
      </c>
      <c r="F69" s="29"/>
      <c r="G69" s="29"/>
    </row>
    <row r="70" spans="1:7" x14ac:dyDescent="0.25">
      <c r="A70" s="6"/>
      <c r="B70" s="6">
        <f>SUM(B39:B69)</f>
        <v>100</v>
      </c>
      <c r="C70" s="6">
        <f>SUM(C39:C69)</f>
        <v>59</v>
      </c>
      <c r="D70" s="6">
        <f>SUM(D39:D69)</f>
        <v>61</v>
      </c>
      <c r="E70" s="6">
        <f>SUM(E39:E69)</f>
        <v>81</v>
      </c>
      <c r="F70" s="6"/>
      <c r="G70" s="6"/>
    </row>
  </sheetData>
  <mergeCells count="2">
    <mergeCell ref="A1:H1"/>
    <mergeCell ref="I6:V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activeCell="I14" sqref="I14"/>
    </sheetView>
  </sheetViews>
  <sheetFormatPr defaultRowHeight="15" x14ac:dyDescent="0.25"/>
  <cols>
    <col min="1" max="8" width="25.7109375" customWidth="1"/>
    <col min="9" max="9" width="27.28515625" bestFit="1" customWidth="1"/>
    <col min="10" max="10" width="9.140625" customWidth="1"/>
  </cols>
  <sheetData>
    <row r="1" spans="1:22" ht="45" customHeight="1" x14ac:dyDescent="0.25">
      <c r="A1" s="111" t="s">
        <v>133</v>
      </c>
      <c r="B1" s="112"/>
      <c r="C1" s="112"/>
      <c r="D1" s="112"/>
      <c r="E1" s="112"/>
      <c r="F1" s="112"/>
      <c r="G1" s="112"/>
      <c r="H1" s="112"/>
      <c r="I1" s="113"/>
    </row>
    <row r="2" spans="1:22" ht="45" customHeight="1" x14ac:dyDescent="0.25">
      <c r="A2" s="2" t="s">
        <v>126</v>
      </c>
      <c r="B2" s="2" t="s">
        <v>127</v>
      </c>
      <c r="C2" s="2" t="s">
        <v>128</v>
      </c>
      <c r="D2" s="2" t="s">
        <v>129</v>
      </c>
      <c r="E2" s="2" t="s">
        <v>915</v>
      </c>
      <c r="F2" s="2" t="s">
        <v>130</v>
      </c>
      <c r="G2" s="2" t="s">
        <v>132</v>
      </c>
      <c r="H2" s="2" t="s">
        <v>40</v>
      </c>
      <c r="I2" s="2" t="s">
        <v>131</v>
      </c>
    </row>
    <row r="3" spans="1:22" ht="45" customHeight="1" x14ac:dyDescent="0.25">
      <c r="A3" s="64">
        <v>4</v>
      </c>
      <c r="B3" s="64">
        <v>2</v>
      </c>
      <c r="C3" s="64">
        <v>4</v>
      </c>
      <c r="D3" s="64">
        <v>1</v>
      </c>
      <c r="E3" s="64">
        <v>2</v>
      </c>
      <c r="F3" s="64">
        <v>1</v>
      </c>
      <c r="G3" s="64">
        <v>25</v>
      </c>
      <c r="H3" s="64">
        <v>0</v>
      </c>
      <c r="I3" s="110">
        <f>SUM(A3:H3)</f>
        <v>39</v>
      </c>
    </row>
    <row r="4" spans="1:22" ht="45" customHeight="1" x14ac:dyDescent="0.25">
      <c r="A4" s="16">
        <f>SUM(A3/I3)</f>
        <v>0.10256410256410256</v>
      </c>
      <c r="B4" s="16">
        <f>SUM(B3/I3)</f>
        <v>5.128205128205128E-2</v>
      </c>
      <c r="C4" s="16">
        <f>SUM(C3/I3)</f>
        <v>0.10256410256410256</v>
      </c>
      <c r="D4" s="16">
        <f>SUM(D3/I3)</f>
        <v>2.564102564102564E-2</v>
      </c>
      <c r="E4" s="16">
        <f>SUM(E3/I3)</f>
        <v>5.128205128205128E-2</v>
      </c>
      <c r="F4" s="16">
        <f>SUM(F3/I3)</f>
        <v>2.564102564102564E-2</v>
      </c>
      <c r="G4" s="16">
        <f>SUM(G3/I3)</f>
        <v>0.64102564102564108</v>
      </c>
      <c r="H4" s="16">
        <f>SUM(H3/I3)</f>
        <v>0</v>
      </c>
      <c r="I4" s="110"/>
    </row>
    <row r="6" spans="1:22" x14ac:dyDescent="0.25">
      <c r="I6" s="106" t="s">
        <v>46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35" t="s">
        <v>24</v>
      </c>
      <c r="J7" s="35"/>
      <c r="K7" s="35" t="s">
        <v>25</v>
      </c>
      <c r="L7" s="35" t="s">
        <v>26</v>
      </c>
      <c r="M7" s="35" t="s">
        <v>27</v>
      </c>
      <c r="N7" s="35" t="s">
        <v>28</v>
      </c>
      <c r="O7" s="35" t="s">
        <v>29</v>
      </c>
      <c r="P7" s="35" t="s">
        <v>30</v>
      </c>
      <c r="Q7" s="35" t="s">
        <v>31</v>
      </c>
      <c r="R7" s="35" t="s">
        <v>32</v>
      </c>
      <c r="S7" s="35" t="s">
        <v>33</v>
      </c>
      <c r="T7" s="35" t="s">
        <v>34</v>
      </c>
      <c r="U7" s="35" t="s">
        <v>35</v>
      </c>
      <c r="V7" s="35" t="s">
        <v>36</v>
      </c>
    </row>
    <row r="8" spans="1:22" x14ac:dyDescent="0.25">
      <c r="I8" s="35" t="s">
        <v>47</v>
      </c>
      <c r="J8" s="35"/>
      <c r="K8" s="36">
        <v>18</v>
      </c>
      <c r="L8" s="36">
        <v>35</v>
      </c>
      <c r="M8" s="36">
        <v>36</v>
      </c>
      <c r="N8" s="36">
        <v>23</v>
      </c>
      <c r="O8" s="36">
        <v>34</v>
      </c>
      <c r="P8" s="36">
        <v>37</v>
      </c>
      <c r="Q8" s="36"/>
      <c r="R8" s="36"/>
      <c r="S8" s="36"/>
      <c r="T8" s="36"/>
      <c r="U8" s="36"/>
      <c r="V8" s="3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Sheet1</vt:lpstr>
      <vt:lpstr>config</vt:lpstr>
      <vt:lpstr>Atrasos</vt:lpstr>
      <vt:lpstr>Revisões</vt:lpstr>
      <vt:lpstr>Envios</vt:lpstr>
      <vt:lpstr>Erros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2023-11-13T20:00:54Z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