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5.xml" ContentType="application/vnd.openxmlformats-officedocument.drawing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2527" codeName="{564CA151-5A5B-428A-3C10-775976492406}"/>
  <workbookPr codeName="EstaPastaDeTrabalho" defaultThemeVersion="124226"/>
  <mc:AlternateContent xmlns:mc="http://schemas.openxmlformats.org/markup-compatibility/2006">
    <mc:Choice Requires="x15">
      <x15ac:absPath xmlns:x15ac="http://schemas.microsoft.com/office/spreadsheetml/2010/11/ac" url="Z:\estatisticas_iten\"/>
    </mc:Choice>
  </mc:AlternateContent>
  <xr:revisionPtr revIDLastSave="0" documentId="13_ncr:1_{39E5C2F0-43CF-4321-9FBE-8503F575C239}" xr6:coauthVersionLast="45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Sheet1" sheetId="8" r:id="rId1"/>
    <sheet name="config" sheetId="9" state="hidden" r:id="rId2"/>
    <sheet name="Atrasos" sheetId="5" r:id="rId3"/>
    <sheet name="Revisões" sheetId="2" r:id="rId4"/>
    <sheet name="Envios" sheetId="3" r:id="rId5"/>
    <sheet name="Erros" sheetId="4" r:id="rId6"/>
  </sheets>
  <functionGroups builtInGroupCount="19"/>
  <definedNames>
    <definedName name="_xlnm._FilterDatabase" localSheetId="2" hidden="1">Atrasos!$A$2:$G$501</definedName>
    <definedName name="_xlnm._FilterDatabase" localSheetId="0" hidden="1">Sheet1!$A$3:$P$2244</definedName>
    <definedName name="env_func_1">Envios!$B$2</definedName>
    <definedName name="env_func_2">Envios!$C$2</definedName>
    <definedName name="env_func_3">Envios!$D$2</definedName>
    <definedName name="env_func_4">Envios!$E$2</definedName>
    <definedName name="env_func_5">Envios!$F$2</definedName>
    <definedName name="env_func_6">Envios!$G$2</definedName>
    <definedName name="env_func_7">Envios!$H$2</definedName>
    <definedName name="env_mes_1">Envios!$K$7</definedName>
    <definedName name="env_mes_10">Envios!$T$7</definedName>
    <definedName name="env_mes_11">Envios!$U$7</definedName>
    <definedName name="env_mes_12">Envios!$V$7</definedName>
    <definedName name="env_mes_2">Envios!$L$7</definedName>
    <definedName name="env_mes_3">Envios!$M$7</definedName>
    <definedName name="env_mes_4">Envios!$N$7</definedName>
    <definedName name="env_mes_5">Envios!$O$7</definedName>
    <definedName name="env_mes_6">Envios!$P$7</definedName>
    <definedName name="env_mes_7">Envios!$Q$7</definedName>
    <definedName name="env_mes_8">Envios!$R$7</definedName>
    <definedName name="env_mes_9">Envios!$S$7</definedName>
    <definedName name="erro_1">Erros!$A$3</definedName>
    <definedName name="erro_2">Erros!$B$3</definedName>
    <definedName name="erro_3">Erros!$C$3</definedName>
    <definedName name="erro_4">Erros!$D$3</definedName>
    <definedName name="erro_5">Erros!$E$3</definedName>
    <definedName name="erro_6">Erros!$F$3</definedName>
    <definedName name="erro_7">Erros!$G$3</definedName>
    <definedName name="erro_8">Erros!$H$3</definedName>
    <definedName name="erro_mes_1">Erros!$K$7</definedName>
    <definedName name="erro_mes_10">Erros!$T$7</definedName>
    <definedName name="erro_mes_11">Erros!$U$7</definedName>
    <definedName name="erro_mes_12">Erros!$V$7</definedName>
    <definedName name="erro_mes_2">Erros!$L$7</definedName>
    <definedName name="erro_mes_3">Erros!$M$7</definedName>
    <definedName name="erro_mes_4">Erros!$N$7</definedName>
    <definedName name="erro_mes_5">Erros!$O$7</definedName>
    <definedName name="erro_mes_6">Erros!$P$7</definedName>
    <definedName name="erro_mes_7">Erros!$Q$7</definedName>
    <definedName name="erro_mes_8">Erros!$R$7</definedName>
    <definedName name="erro_mes_9">Erros!$S$7</definedName>
    <definedName name="erro_total">Erros!$I$3</definedName>
    <definedName name="mes_1">Atrasos!$P$41</definedName>
    <definedName name="mes_10">Atrasos!$Y$41</definedName>
    <definedName name="mes_11">Atrasos!$Z$41</definedName>
    <definedName name="mes_12">Atrasos!$AA$41</definedName>
    <definedName name="mes_2">Atrasos!$Q$41</definedName>
    <definedName name="mes_3">Atrasos!$R$41</definedName>
    <definedName name="mes_4">Atrasos!$S$41</definedName>
    <definedName name="mes_5">Atrasos!$T$41</definedName>
    <definedName name="mes_6">Atrasos!$U$41</definedName>
    <definedName name="mes_7">Atrasos!$V$41</definedName>
    <definedName name="mes_8">Atrasos!$W$41</definedName>
    <definedName name="mes_9">Atrasos!$X$41</definedName>
    <definedName name="rev_mes_1">Revisões!$H$7</definedName>
    <definedName name="rev_mes_10">Revisões!$Q$7</definedName>
    <definedName name="rev_mes_11">Revisões!$R$7</definedName>
    <definedName name="rev_mes_12">Revisões!$S$7</definedName>
    <definedName name="rev_mes_2">Revisões!$I$7</definedName>
    <definedName name="rev_mes_3">Revisões!$J$7</definedName>
    <definedName name="rev_mes_4">Revisões!$K$7</definedName>
    <definedName name="rev_mes_5">Revisões!$L$7</definedName>
    <definedName name="rev_mes_6">Revisões!$M$7</definedName>
    <definedName name="rev_mes_7">Revisões!$N$7</definedName>
    <definedName name="rev_mes_8">Revisões!$O$7</definedName>
    <definedName name="rev_mes_9">Revisões!$P$7</definedName>
    <definedName name="total_env_1">Envios!$B$3</definedName>
    <definedName name="total_env_2">Envios!$C$3</definedName>
    <definedName name="total_env_3">Envios!$D$3</definedName>
    <definedName name="total_env_4">Envios!$E$3</definedName>
    <definedName name="total_env_5">Envios!$F$3</definedName>
    <definedName name="total_env_6">Envios!$G$3</definedName>
    <definedName name="total_rep">Atrasos!$L$3</definedName>
    <definedName name="total_rev_clientes">Revisões!$D$3</definedName>
    <definedName name="total_rev_comercial">Revisões!$C$3</definedName>
    <definedName name="total_rev_rep">Revisões!$A$3</definedName>
    <definedName name="total_rev_tecnicos">Revisões!$B$3</definedName>
    <definedName name="total_tecnico">Atrasos!$L$4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I14" i="3" l="1" a="1"/>
  <c r="I14" i="3" s="1"/>
  <c r="I4" i="3"/>
  <c r="H3" i="3"/>
  <c r="G3" i="3"/>
  <c r="A2" i="2"/>
  <c r="D2" i="2"/>
  <c r="C2" i="2"/>
  <c r="B2" i="2"/>
  <c r="I5" i="5"/>
  <c r="AC5" i="5"/>
  <c r="AD5" i="5" s="1"/>
  <c r="AC6" i="5"/>
  <c r="AD6" i="5" s="1"/>
  <c r="AC7" i="5"/>
  <c r="AD7" i="5" s="1"/>
  <c r="AC8" i="5"/>
  <c r="AD8" i="5" s="1"/>
  <c r="AC9" i="5"/>
  <c r="AD9" i="5" s="1"/>
  <c r="AC10" i="5"/>
  <c r="AD10" i="5" s="1"/>
  <c r="AC11" i="5"/>
  <c r="AD11" i="5" s="1"/>
  <c r="AC12" i="5"/>
  <c r="AD12" i="5" s="1"/>
  <c r="AC13" i="5"/>
  <c r="AD13" i="5" s="1"/>
  <c r="AC14" i="5"/>
  <c r="AD14" i="5" s="1"/>
  <c r="AC15" i="5"/>
  <c r="AD15" i="5" s="1"/>
  <c r="AC16" i="5"/>
  <c r="AD16" i="5" s="1"/>
  <c r="AC17" i="5"/>
  <c r="AD17" i="5" s="1"/>
  <c r="AC18" i="5"/>
  <c r="AD18" i="5" s="1"/>
  <c r="AC19" i="5"/>
  <c r="AD19" i="5" s="1"/>
  <c r="AC20" i="5"/>
  <c r="AD20" i="5" s="1"/>
  <c r="AC21" i="5"/>
  <c r="AD21" i="5" s="1"/>
  <c r="AC22" i="5"/>
  <c r="AD22" i="5" s="1"/>
  <c r="AC23" i="5"/>
  <c r="AD23" i="5" s="1"/>
  <c r="AC24" i="5"/>
  <c r="AD24" i="5" s="1"/>
  <c r="AC25" i="5"/>
  <c r="AD25" i="5" s="1"/>
  <c r="AC26" i="5"/>
  <c r="AD26" i="5" s="1"/>
  <c r="AC27" i="5"/>
  <c r="AD27" i="5" s="1"/>
  <c r="AC28" i="5"/>
  <c r="AD28" i="5" s="1"/>
  <c r="AC29" i="5"/>
  <c r="AD29" i="5" s="1"/>
  <c r="AC30" i="5"/>
  <c r="AD30" i="5" s="1"/>
  <c r="AC31" i="5"/>
  <c r="AD31" i="5" s="1"/>
  <c r="AC32" i="5"/>
  <c r="AD32" i="5" s="1"/>
  <c r="AC33" i="5"/>
  <c r="AD33" i="5" s="1"/>
  <c r="AC34" i="5"/>
  <c r="AD34" i="5" s="1"/>
  <c r="AC35" i="5"/>
  <c r="AD35" i="5" s="1"/>
  <c r="AC36" i="5"/>
  <c r="AD36" i="5" s="1"/>
  <c r="AC37" i="5"/>
  <c r="AD37" i="5" s="1"/>
  <c r="AC38" i="5"/>
  <c r="AD38" i="5" s="1"/>
  <c r="AC39" i="5"/>
  <c r="AD39" i="5" s="1"/>
  <c r="AC40" i="5"/>
  <c r="AD40" i="5" s="1"/>
  <c r="AC41" i="5"/>
  <c r="AD41" i="5" s="1"/>
  <c r="AC42" i="5"/>
  <c r="AD42" i="5" s="1"/>
  <c r="AC43" i="5"/>
  <c r="AD43" i="5" s="1"/>
  <c r="AC44" i="5"/>
  <c r="AD44" i="5" s="1"/>
  <c r="AC45" i="5"/>
  <c r="AD45" i="5" s="1"/>
  <c r="AC46" i="5"/>
  <c r="AD46" i="5" s="1"/>
  <c r="AC47" i="5"/>
  <c r="AD47" i="5" s="1"/>
  <c r="AC48" i="5"/>
  <c r="AD48" i="5" s="1"/>
  <c r="AC49" i="5"/>
  <c r="AD49" i="5" s="1"/>
  <c r="AC50" i="5"/>
  <c r="AD50" i="5" s="1"/>
  <c r="AC51" i="5"/>
  <c r="AD51" i="5" s="1"/>
  <c r="AC52" i="5"/>
  <c r="AD52" i="5" s="1"/>
  <c r="AC53" i="5"/>
  <c r="AD53" i="5" s="1"/>
  <c r="AC54" i="5"/>
  <c r="AD54" i="5" s="1"/>
  <c r="AC55" i="5"/>
  <c r="AD55" i="5" s="1"/>
  <c r="AC56" i="5"/>
  <c r="AD56" i="5" s="1"/>
  <c r="AC57" i="5"/>
  <c r="AD57" i="5" s="1"/>
  <c r="AC58" i="5"/>
  <c r="AD58" i="5" s="1"/>
  <c r="AC59" i="5"/>
  <c r="AD59" i="5" s="1"/>
  <c r="AC60" i="5"/>
  <c r="AD60" i="5" s="1"/>
  <c r="AC61" i="5"/>
  <c r="AD61" i="5" s="1"/>
  <c r="AC62" i="5"/>
  <c r="AD62" i="5" s="1"/>
  <c r="AC63" i="5"/>
  <c r="AD63" i="5" s="1"/>
  <c r="AC64" i="5"/>
  <c r="AD64" i="5" s="1"/>
  <c r="AC65" i="5"/>
  <c r="AD65" i="5" s="1"/>
  <c r="AC66" i="5"/>
  <c r="AD66" i="5" s="1"/>
  <c r="AC67" i="5"/>
  <c r="AD67" i="5" s="1"/>
  <c r="AC68" i="5"/>
  <c r="AD68" i="5" s="1"/>
  <c r="AC69" i="5"/>
  <c r="AD69" i="5" s="1"/>
  <c r="AC70" i="5"/>
  <c r="AD70" i="5" s="1"/>
  <c r="AC71" i="5"/>
  <c r="AD71" i="5" s="1"/>
  <c r="AC72" i="5"/>
  <c r="AD72" i="5" s="1"/>
  <c r="AC73" i="5"/>
  <c r="AD73" i="5" s="1"/>
  <c r="AC74" i="5"/>
  <c r="AD74" i="5" s="1"/>
  <c r="AC75" i="5"/>
  <c r="AD75" i="5" s="1"/>
  <c r="AC76" i="5"/>
  <c r="AD76" i="5" s="1"/>
  <c r="AC77" i="5"/>
  <c r="AD77" i="5" s="1"/>
  <c r="AC78" i="5"/>
  <c r="AD78" i="5" s="1"/>
  <c r="AC79" i="5"/>
  <c r="AD79" i="5" s="1"/>
  <c r="AC80" i="5"/>
  <c r="AD80" i="5" s="1"/>
  <c r="AC81" i="5"/>
  <c r="AD81" i="5" s="1"/>
  <c r="AC82" i="5"/>
  <c r="AD82" i="5" s="1"/>
  <c r="AC83" i="5"/>
  <c r="AD83" i="5" s="1"/>
  <c r="AC84" i="5"/>
  <c r="AD84" i="5" s="1"/>
  <c r="AC85" i="5"/>
  <c r="AD85" i="5" s="1"/>
  <c r="AC86" i="5"/>
  <c r="AD86" i="5" s="1"/>
  <c r="AC87" i="5"/>
  <c r="AD87" i="5" s="1"/>
  <c r="AC88" i="5"/>
  <c r="AD88" i="5" s="1"/>
  <c r="AC89" i="5"/>
  <c r="AD89" i="5" s="1"/>
  <c r="AC90" i="5"/>
  <c r="AD90" i="5" s="1"/>
  <c r="AC91" i="5"/>
  <c r="AD91" i="5" s="1"/>
  <c r="AC92" i="5"/>
  <c r="AD92" i="5" s="1"/>
  <c r="AC93" i="5"/>
  <c r="AD93" i="5" s="1"/>
  <c r="AC94" i="5"/>
  <c r="AD94" i="5" s="1"/>
  <c r="AC95" i="5"/>
  <c r="AD95" i="5" s="1"/>
  <c r="AC96" i="5"/>
  <c r="AD96" i="5" s="1"/>
  <c r="AC97" i="5"/>
  <c r="AD97" i="5" s="1"/>
  <c r="AC98" i="5"/>
  <c r="AD98" i="5" s="1"/>
  <c r="AC99" i="5"/>
  <c r="AD99" i="5" s="1"/>
  <c r="AC100" i="5"/>
  <c r="AD100" i="5" s="1"/>
  <c r="AC101" i="5"/>
  <c r="AD101" i="5" s="1"/>
  <c r="AC102" i="5"/>
  <c r="AD102" i="5" s="1"/>
  <c r="AC103" i="5"/>
  <c r="AD103" i="5" s="1"/>
  <c r="AC104" i="5"/>
  <c r="AD104" i="5" s="1"/>
  <c r="AC105" i="5"/>
  <c r="AD105" i="5" s="1"/>
  <c r="AC106" i="5"/>
  <c r="AD106" i="5" s="1"/>
  <c r="AC107" i="5"/>
  <c r="AD107" i="5" s="1"/>
  <c r="AC108" i="5"/>
  <c r="AD108" i="5" s="1"/>
  <c r="AC109" i="5"/>
  <c r="AD109" i="5" s="1"/>
  <c r="AC110" i="5"/>
  <c r="AD110" i="5" s="1"/>
  <c r="AC111" i="5"/>
  <c r="AD111" i="5" s="1"/>
  <c r="AC112" i="5"/>
  <c r="AD112" i="5" s="1"/>
  <c r="AC113" i="5"/>
  <c r="AD113" i="5" s="1"/>
  <c r="AC114" i="5"/>
  <c r="AD114" i="5" s="1"/>
  <c r="AC115" i="5"/>
  <c r="AD115" i="5" s="1"/>
  <c r="AC116" i="5"/>
  <c r="AD116" i="5" s="1"/>
  <c r="AC117" i="5"/>
  <c r="AD117" i="5" s="1"/>
  <c r="AC118" i="5"/>
  <c r="AD118" i="5" s="1"/>
  <c r="AC119" i="5"/>
  <c r="AD119" i="5" s="1"/>
  <c r="AC120" i="5"/>
  <c r="AD120" i="5" s="1"/>
  <c r="AC121" i="5"/>
  <c r="AD121" i="5" s="1"/>
  <c r="AC122" i="5"/>
  <c r="AD122" i="5" s="1"/>
  <c r="AC123" i="5"/>
  <c r="AD123" i="5" s="1"/>
  <c r="AC124" i="5"/>
  <c r="AD124" i="5" s="1"/>
  <c r="AC125" i="5"/>
  <c r="AD125" i="5" s="1"/>
  <c r="AC126" i="5"/>
  <c r="AD126" i="5" s="1"/>
  <c r="AC127" i="5"/>
  <c r="AD127" i="5" s="1"/>
  <c r="AC128" i="5"/>
  <c r="AD128" i="5" s="1"/>
  <c r="AC129" i="5"/>
  <c r="AD129" i="5" s="1"/>
  <c r="AC130" i="5"/>
  <c r="AD130" i="5" s="1"/>
  <c r="AC131" i="5"/>
  <c r="AD131" i="5" s="1"/>
  <c r="AC132" i="5"/>
  <c r="AD132" i="5" s="1"/>
  <c r="AC133" i="5"/>
  <c r="AD133" i="5" s="1"/>
  <c r="AC134" i="5"/>
  <c r="AD134" i="5" s="1"/>
  <c r="AC135" i="5"/>
  <c r="AD135" i="5" s="1"/>
  <c r="AC136" i="5"/>
  <c r="AD136" i="5" s="1"/>
  <c r="AC137" i="5"/>
  <c r="AD137" i="5" s="1"/>
  <c r="AC138" i="5"/>
  <c r="AD138" i="5" s="1"/>
  <c r="AC139" i="5"/>
  <c r="AD139" i="5" s="1"/>
  <c r="AC140" i="5"/>
  <c r="AD140" i="5" s="1"/>
  <c r="AC141" i="5"/>
  <c r="AD141" i="5" s="1"/>
  <c r="AC142" i="5"/>
  <c r="AD142" i="5" s="1"/>
  <c r="AC143" i="5"/>
  <c r="AD143" i="5" s="1"/>
  <c r="AC144" i="5"/>
  <c r="AD144" i="5" s="1"/>
  <c r="AC145" i="5"/>
  <c r="AD145" i="5" s="1"/>
  <c r="AC146" i="5"/>
  <c r="AD146" i="5" s="1"/>
  <c r="AC147" i="5"/>
  <c r="AD147" i="5" s="1"/>
  <c r="AC148" i="5"/>
  <c r="AD148" i="5" s="1"/>
  <c r="AC149" i="5"/>
  <c r="AD149" i="5" s="1"/>
  <c r="AC150" i="5"/>
  <c r="AD150" i="5" s="1"/>
  <c r="AC151" i="5"/>
  <c r="AD151" i="5" s="1"/>
  <c r="AC152" i="5"/>
  <c r="AD152" i="5" s="1"/>
  <c r="AC153" i="5"/>
  <c r="AD153" i="5" s="1"/>
  <c r="AC154" i="5"/>
  <c r="AD154" i="5" s="1"/>
  <c r="AC155" i="5"/>
  <c r="AD155" i="5" s="1"/>
  <c r="AC156" i="5"/>
  <c r="AD156" i="5" s="1"/>
  <c r="AC157" i="5"/>
  <c r="AD157" i="5" s="1"/>
  <c r="AC158" i="5"/>
  <c r="AD158" i="5" s="1"/>
  <c r="AC159" i="5"/>
  <c r="AD159" i="5" s="1"/>
  <c r="AC160" i="5"/>
  <c r="AD160" i="5" s="1"/>
  <c r="AC161" i="5"/>
  <c r="AD161" i="5" s="1"/>
  <c r="AC162" i="5"/>
  <c r="AD162" i="5" s="1"/>
  <c r="AC163" i="5"/>
  <c r="AD163" i="5" s="1"/>
  <c r="AC164" i="5"/>
  <c r="AD164" i="5" s="1"/>
  <c r="AC165" i="5"/>
  <c r="AD165" i="5" s="1"/>
  <c r="AC166" i="5"/>
  <c r="AD166" i="5" s="1"/>
  <c r="AC167" i="5"/>
  <c r="AD167" i="5" s="1"/>
  <c r="AC168" i="5"/>
  <c r="AD168" i="5" s="1"/>
  <c r="AC169" i="5"/>
  <c r="AD169" i="5" s="1"/>
  <c r="AC170" i="5"/>
  <c r="AD170" i="5" s="1"/>
  <c r="AC171" i="5"/>
  <c r="AD171" i="5" s="1"/>
  <c r="AC172" i="5"/>
  <c r="AD172" i="5" s="1"/>
  <c r="AC173" i="5"/>
  <c r="AD173" i="5" s="1"/>
  <c r="AC174" i="5"/>
  <c r="AD174" i="5" s="1"/>
  <c r="AC175" i="5"/>
  <c r="AD175" i="5" s="1"/>
  <c r="AC176" i="5"/>
  <c r="AD176" i="5" s="1"/>
  <c r="AC177" i="5"/>
  <c r="AD177" i="5" s="1"/>
  <c r="AC178" i="5"/>
  <c r="AD178" i="5" s="1"/>
  <c r="AC179" i="5"/>
  <c r="AD179" i="5" s="1"/>
  <c r="AC180" i="5"/>
  <c r="AD180" i="5" s="1"/>
  <c r="AC181" i="5"/>
  <c r="AD181" i="5" s="1"/>
  <c r="AC182" i="5"/>
  <c r="AD182" i="5" s="1"/>
  <c r="AC183" i="5"/>
  <c r="AD183" i="5" s="1"/>
  <c r="AC184" i="5"/>
  <c r="AD184" i="5" s="1"/>
  <c r="AC185" i="5"/>
  <c r="AD185" i="5" s="1"/>
  <c r="AC186" i="5"/>
  <c r="AD186" i="5" s="1"/>
  <c r="AC187" i="5"/>
  <c r="AD187" i="5" s="1"/>
  <c r="AC188" i="5"/>
  <c r="AD188" i="5" s="1"/>
  <c r="AC189" i="5"/>
  <c r="AD189" i="5" s="1"/>
  <c r="AC190" i="5"/>
  <c r="AD190" i="5" s="1"/>
  <c r="AC191" i="5"/>
  <c r="AD191" i="5" s="1"/>
  <c r="AC192" i="5"/>
  <c r="AD192" i="5" s="1"/>
  <c r="AC193" i="5"/>
  <c r="AD193" i="5" s="1"/>
  <c r="AC194" i="5"/>
  <c r="AD194" i="5" s="1"/>
  <c r="AC195" i="5"/>
  <c r="AD195" i="5" s="1"/>
  <c r="AC196" i="5"/>
  <c r="AD196" i="5" s="1"/>
  <c r="AC197" i="5"/>
  <c r="AD197" i="5" s="1"/>
  <c r="AC198" i="5"/>
  <c r="AD198" i="5" s="1"/>
  <c r="AC199" i="5"/>
  <c r="AD199" i="5" s="1"/>
  <c r="AC200" i="5"/>
  <c r="AD200" i="5" s="1"/>
  <c r="AC201" i="5"/>
  <c r="AD201" i="5" s="1"/>
  <c r="AC202" i="5"/>
  <c r="AD202" i="5" s="1"/>
  <c r="AC203" i="5"/>
  <c r="AD203" i="5" s="1"/>
  <c r="AC204" i="5"/>
  <c r="AD204" i="5" s="1"/>
  <c r="AC205" i="5"/>
  <c r="AD205" i="5" s="1"/>
  <c r="AC206" i="5"/>
  <c r="AD206" i="5" s="1"/>
  <c r="AC207" i="5"/>
  <c r="AD207" i="5" s="1"/>
  <c r="AC208" i="5"/>
  <c r="AD208" i="5" s="1"/>
  <c r="AC209" i="5"/>
  <c r="AD209" i="5" s="1"/>
  <c r="AC210" i="5"/>
  <c r="AD210" i="5" s="1"/>
  <c r="AC211" i="5"/>
  <c r="AD211" i="5" s="1"/>
  <c r="AC212" i="5"/>
  <c r="AD212" i="5" s="1"/>
  <c r="AC213" i="5"/>
  <c r="AD213" i="5" s="1"/>
  <c r="AC214" i="5"/>
  <c r="AD214" i="5" s="1"/>
  <c r="AC215" i="5"/>
  <c r="AD215" i="5" s="1"/>
  <c r="AC216" i="5"/>
  <c r="AD216" i="5" s="1"/>
  <c r="AC217" i="5"/>
  <c r="AD217" i="5" s="1"/>
  <c r="AC218" i="5"/>
  <c r="AD218" i="5" s="1"/>
  <c r="AC219" i="5"/>
  <c r="AD219" i="5" s="1"/>
  <c r="AC220" i="5"/>
  <c r="AD220" i="5" s="1"/>
  <c r="AC221" i="5"/>
  <c r="AD221" i="5" s="1"/>
  <c r="AC222" i="5"/>
  <c r="AD222" i="5" s="1"/>
  <c r="AC223" i="5"/>
  <c r="AD223" i="5" s="1"/>
  <c r="AC224" i="5"/>
  <c r="AD224" i="5" s="1"/>
  <c r="AC225" i="5"/>
  <c r="AD225" i="5" s="1"/>
  <c r="AC226" i="5"/>
  <c r="AD226" i="5" s="1"/>
  <c r="AC227" i="5"/>
  <c r="AD227" i="5" s="1"/>
  <c r="AC228" i="5"/>
  <c r="AD228" i="5" s="1"/>
  <c r="AC229" i="5"/>
  <c r="AD229" i="5" s="1"/>
  <c r="AC230" i="5"/>
  <c r="AD230" i="5" s="1"/>
  <c r="AC231" i="5"/>
  <c r="AD231" i="5" s="1"/>
  <c r="AC232" i="5"/>
  <c r="AD232" i="5" s="1"/>
  <c r="AC233" i="5"/>
  <c r="AD233" i="5" s="1"/>
  <c r="AC234" i="5"/>
  <c r="AD234" i="5" s="1"/>
  <c r="AC235" i="5"/>
  <c r="AD235" i="5" s="1"/>
  <c r="AC236" i="5"/>
  <c r="AD236" i="5" s="1"/>
  <c r="AC237" i="5"/>
  <c r="AD237" i="5" s="1"/>
  <c r="AC238" i="5"/>
  <c r="AD238" i="5" s="1"/>
  <c r="AC239" i="5"/>
  <c r="AD239" i="5" s="1"/>
  <c r="AC240" i="5"/>
  <c r="AD240" i="5" s="1"/>
  <c r="AC241" i="5"/>
  <c r="AD241" i="5" s="1"/>
  <c r="AC242" i="5"/>
  <c r="AD242" i="5" s="1"/>
  <c r="AC243" i="5"/>
  <c r="AD243" i="5" s="1"/>
  <c r="AC244" i="5"/>
  <c r="AD244" i="5" s="1"/>
  <c r="AC245" i="5"/>
  <c r="AD245" i="5" s="1"/>
  <c r="AC246" i="5"/>
  <c r="AD246" i="5" s="1"/>
  <c r="AC247" i="5"/>
  <c r="AD247" i="5" s="1"/>
  <c r="AC248" i="5"/>
  <c r="AD248" i="5" s="1"/>
  <c r="AC249" i="5"/>
  <c r="AD249" i="5" s="1"/>
  <c r="AC250" i="5"/>
  <c r="AD250" i="5" s="1"/>
  <c r="AC251" i="5"/>
  <c r="AD251" i="5" s="1"/>
  <c r="AC252" i="5"/>
  <c r="AD252" i="5" s="1"/>
  <c r="AC253" i="5"/>
  <c r="AD253" i="5" s="1"/>
  <c r="AC254" i="5"/>
  <c r="AD254" i="5" s="1"/>
  <c r="AC255" i="5"/>
  <c r="AD255" i="5" s="1"/>
  <c r="AC256" i="5"/>
  <c r="AD256" i="5" s="1"/>
  <c r="AC257" i="5"/>
  <c r="AD257" i="5" s="1"/>
  <c r="AC258" i="5"/>
  <c r="AD258" i="5" s="1"/>
  <c r="AC259" i="5"/>
  <c r="AD259" i="5" s="1"/>
  <c r="AC260" i="5"/>
  <c r="AD260" i="5" s="1"/>
  <c r="AC261" i="5"/>
  <c r="AD261" i="5" s="1"/>
  <c r="AC262" i="5"/>
  <c r="AD262" i="5" s="1"/>
  <c r="AC263" i="5"/>
  <c r="AD263" i="5" s="1"/>
  <c r="AC264" i="5"/>
  <c r="AD264" i="5" s="1"/>
  <c r="AC265" i="5"/>
  <c r="AD265" i="5" s="1"/>
  <c r="AC266" i="5"/>
  <c r="AD266" i="5" s="1"/>
  <c r="AC267" i="5"/>
  <c r="AD267" i="5" s="1"/>
  <c r="AC268" i="5"/>
  <c r="AD268" i="5" s="1"/>
  <c r="AC269" i="5"/>
  <c r="AD269" i="5" s="1"/>
  <c r="AC270" i="5"/>
  <c r="AD270" i="5" s="1"/>
  <c r="AC271" i="5"/>
  <c r="AD271" i="5" s="1"/>
  <c r="AC272" i="5"/>
  <c r="AD272" i="5" s="1"/>
  <c r="AC273" i="5"/>
  <c r="AD273" i="5" s="1"/>
  <c r="AC274" i="5"/>
  <c r="AD274" i="5" s="1"/>
  <c r="AC275" i="5"/>
  <c r="AD275" i="5" s="1"/>
  <c r="AC276" i="5"/>
  <c r="AD276" i="5" s="1"/>
  <c r="AC277" i="5"/>
  <c r="AD277" i="5" s="1"/>
  <c r="AC278" i="5"/>
  <c r="AD278" i="5" s="1"/>
  <c r="AC279" i="5"/>
  <c r="AD279" i="5" s="1"/>
  <c r="AC280" i="5"/>
  <c r="AD280" i="5" s="1"/>
  <c r="AC281" i="5"/>
  <c r="AD281" i="5" s="1"/>
  <c r="AC282" i="5"/>
  <c r="AD282" i="5" s="1"/>
  <c r="AC283" i="5"/>
  <c r="AD283" i="5" s="1"/>
  <c r="AC284" i="5"/>
  <c r="AD284" i="5" s="1"/>
  <c r="AC285" i="5"/>
  <c r="AD285" i="5" s="1"/>
  <c r="AC286" i="5"/>
  <c r="AD286" i="5" s="1"/>
  <c r="AC287" i="5"/>
  <c r="AD287" i="5" s="1"/>
  <c r="AC288" i="5"/>
  <c r="AD288" i="5" s="1"/>
  <c r="AC289" i="5"/>
  <c r="AD289" i="5" s="1"/>
  <c r="AC290" i="5"/>
  <c r="AD290" i="5" s="1"/>
  <c r="AC291" i="5"/>
  <c r="AD291" i="5" s="1"/>
  <c r="AC292" i="5"/>
  <c r="AD292" i="5" s="1"/>
  <c r="AC293" i="5"/>
  <c r="AD293" i="5" s="1"/>
  <c r="AC294" i="5"/>
  <c r="AD294" i="5" s="1"/>
  <c r="AC295" i="5"/>
  <c r="AD295" i="5" s="1"/>
  <c r="AC296" i="5"/>
  <c r="AD296" i="5" s="1"/>
  <c r="AC297" i="5"/>
  <c r="AD297" i="5" s="1"/>
  <c r="AC298" i="5"/>
  <c r="AD298" i="5" s="1"/>
  <c r="AC299" i="5"/>
  <c r="AD299" i="5" s="1"/>
  <c r="AC300" i="5"/>
  <c r="AD300" i="5" s="1"/>
  <c r="AC301" i="5"/>
  <c r="AD301" i="5" s="1"/>
  <c r="AC302" i="5"/>
  <c r="AD302" i="5" s="1"/>
  <c r="AC303" i="5"/>
  <c r="AD303" i="5" s="1"/>
  <c r="AC304" i="5"/>
  <c r="AD304" i="5" s="1"/>
  <c r="AC305" i="5"/>
  <c r="AD305" i="5" s="1"/>
  <c r="AC306" i="5"/>
  <c r="AD306" i="5" s="1"/>
  <c r="AC307" i="5"/>
  <c r="AD307" i="5" s="1"/>
  <c r="AC308" i="5"/>
  <c r="AD308" i="5" s="1"/>
  <c r="AC309" i="5"/>
  <c r="AD309" i="5" s="1"/>
  <c r="AC310" i="5"/>
  <c r="AD310" i="5" s="1"/>
  <c r="AC311" i="5"/>
  <c r="AD311" i="5" s="1"/>
  <c r="AC312" i="5"/>
  <c r="AD312" i="5" s="1"/>
  <c r="AC313" i="5"/>
  <c r="AD313" i="5" s="1"/>
  <c r="AC314" i="5"/>
  <c r="AD314" i="5" s="1"/>
  <c r="AC315" i="5"/>
  <c r="AD315" i="5" s="1"/>
  <c r="AC316" i="5"/>
  <c r="AD316" i="5" s="1"/>
  <c r="AC317" i="5"/>
  <c r="AD317" i="5" s="1"/>
  <c r="AC318" i="5"/>
  <c r="AD318" i="5" s="1"/>
  <c r="AC319" i="5"/>
  <c r="AD319" i="5" s="1"/>
  <c r="AC320" i="5"/>
  <c r="AD320" i="5" s="1"/>
  <c r="AC321" i="5"/>
  <c r="AD321" i="5" s="1"/>
  <c r="AC322" i="5"/>
  <c r="AD322" i="5" s="1"/>
  <c r="AC323" i="5"/>
  <c r="AD323" i="5" s="1"/>
  <c r="AC324" i="5"/>
  <c r="AD324" i="5" s="1"/>
  <c r="AC325" i="5"/>
  <c r="AD325" i="5" s="1"/>
  <c r="AC326" i="5"/>
  <c r="AD326" i="5" s="1"/>
  <c r="AC327" i="5"/>
  <c r="AD327" i="5" s="1"/>
  <c r="AC328" i="5"/>
  <c r="AD328" i="5" s="1"/>
  <c r="AC329" i="5"/>
  <c r="AD329" i="5" s="1"/>
  <c r="AC330" i="5"/>
  <c r="AD330" i="5" s="1"/>
  <c r="AC331" i="5"/>
  <c r="AD331" i="5" s="1"/>
  <c r="AC332" i="5"/>
  <c r="AD332" i="5" s="1"/>
  <c r="AC333" i="5"/>
  <c r="AD333" i="5" s="1"/>
  <c r="AC334" i="5"/>
  <c r="AD334" i="5" s="1"/>
  <c r="AC335" i="5"/>
  <c r="AD335" i="5" s="1"/>
  <c r="AC336" i="5"/>
  <c r="AD336" i="5" s="1"/>
  <c r="AC337" i="5"/>
  <c r="AD337" i="5" s="1"/>
  <c r="AC338" i="5"/>
  <c r="AD338" i="5" s="1"/>
  <c r="AC339" i="5"/>
  <c r="AD339" i="5" s="1"/>
  <c r="AC340" i="5"/>
  <c r="AD340" i="5" s="1"/>
  <c r="AC341" i="5"/>
  <c r="AD341" i="5" s="1"/>
  <c r="AC342" i="5"/>
  <c r="AD342" i="5" s="1"/>
  <c r="AC343" i="5"/>
  <c r="AD343" i="5" s="1"/>
  <c r="AC344" i="5"/>
  <c r="AD344" i="5" s="1"/>
  <c r="AC345" i="5"/>
  <c r="AD345" i="5" s="1"/>
  <c r="AC346" i="5"/>
  <c r="AD346" i="5" s="1"/>
  <c r="AC347" i="5"/>
  <c r="AD347" i="5" s="1"/>
  <c r="AC348" i="5"/>
  <c r="AD348" i="5" s="1"/>
  <c r="AC349" i="5"/>
  <c r="AD349" i="5" s="1"/>
  <c r="AC350" i="5"/>
  <c r="AD350" i="5" s="1"/>
  <c r="AC351" i="5"/>
  <c r="AD351" i="5" s="1"/>
  <c r="AC352" i="5"/>
  <c r="AD352" i="5" s="1"/>
  <c r="AC353" i="5"/>
  <c r="AD353" i="5" s="1"/>
  <c r="AC354" i="5"/>
  <c r="AD354" i="5" s="1"/>
  <c r="AC355" i="5"/>
  <c r="AD355" i="5" s="1"/>
  <c r="AC356" i="5"/>
  <c r="AD356" i="5" s="1"/>
  <c r="AC357" i="5"/>
  <c r="AD357" i="5" s="1"/>
  <c r="AC358" i="5"/>
  <c r="AD358" i="5" s="1"/>
  <c r="AC359" i="5"/>
  <c r="AD359" i="5" s="1"/>
  <c r="AC360" i="5"/>
  <c r="AD360" i="5" s="1"/>
  <c r="AC361" i="5"/>
  <c r="AD361" i="5" s="1"/>
  <c r="AC362" i="5"/>
  <c r="AD362" i="5" s="1"/>
  <c r="AC363" i="5"/>
  <c r="AD363" i="5" s="1"/>
  <c r="AC364" i="5"/>
  <c r="AD364" i="5" s="1"/>
  <c r="AC365" i="5"/>
  <c r="AD365" i="5" s="1"/>
  <c r="AC366" i="5"/>
  <c r="AD366" i="5" s="1"/>
  <c r="AC367" i="5"/>
  <c r="AD367" i="5" s="1"/>
  <c r="AC368" i="5"/>
  <c r="AD368" i="5" s="1"/>
  <c r="AC369" i="5"/>
  <c r="AD369" i="5" s="1"/>
  <c r="AC370" i="5"/>
  <c r="AD370" i="5" s="1"/>
  <c r="AC371" i="5"/>
  <c r="AD371" i="5" s="1"/>
  <c r="AC372" i="5"/>
  <c r="AD372" i="5" s="1"/>
  <c r="AC373" i="5"/>
  <c r="AD373" i="5" s="1"/>
  <c r="AC374" i="5"/>
  <c r="AD374" i="5" s="1"/>
  <c r="AC375" i="5"/>
  <c r="AD375" i="5" s="1"/>
  <c r="AC376" i="5"/>
  <c r="AD376" i="5" s="1"/>
  <c r="AC377" i="5"/>
  <c r="AD377" i="5" s="1"/>
  <c r="AC378" i="5"/>
  <c r="AD378" i="5" s="1"/>
  <c r="AC379" i="5"/>
  <c r="AD379" i="5" s="1"/>
  <c r="AC380" i="5"/>
  <c r="AD380" i="5" s="1"/>
  <c r="AC381" i="5"/>
  <c r="AD381" i="5" s="1"/>
  <c r="AC382" i="5"/>
  <c r="AD382" i="5" s="1"/>
  <c r="AC383" i="5"/>
  <c r="AD383" i="5" s="1"/>
  <c r="AC384" i="5"/>
  <c r="AD384" i="5" s="1"/>
  <c r="AC385" i="5"/>
  <c r="AD385" i="5" s="1"/>
  <c r="AC386" i="5"/>
  <c r="AD386" i="5" s="1"/>
  <c r="AC387" i="5"/>
  <c r="AD387" i="5" s="1"/>
  <c r="AC388" i="5"/>
  <c r="AD388" i="5" s="1"/>
  <c r="AC389" i="5"/>
  <c r="AD389" i="5" s="1"/>
  <c r="AC390" i="5"/>
  <c r="AD390" i="5" s="1"/>
  <c r="AC391" i="5"/>
  <c r="AD391" i="5" s="1"/>
  <c r="AC392" i="5"/>
  <c r="AD392" i="5" s="1"/>
  <c r="AC393" i="5"/>
  <c r="AD393" i="5" s="1"/>
  <c r="AC394" i="5"/>
  <c r="AD394" i="5" s="1"/>
  <c r="AC395" i="5"/>
  <c r="AD395" i="5" s="1"/>
  <c r="AC396" i="5"/>
  <c r="AD396" i="5" s="1"/>
  <c r="AC397" i="5"/>
  <c r="AD397" i="5" s="1"/>
  <c r="AC398" i="5"/>
  <c r="AD398" i="5" s="1"/>
  <c r="AC399" i="5"/>
  <c r="AD399" i="5" s="1"/>
  <c r="AC400" i="5"/>
  <c r="AD400" i="5" s="1"/>
  <c r="AC401" i="5"/>
  <c r="AD401" i="5" s="1"/>
  <c r="AC402" i="5"/>
  <c r="AD402" i="5" s="1"/>
  <c r="AC403" i="5"/>
  <c r="AD403" i="5" s="1"/>
  <c r="AC404" i="5"/>
  <c r="AD404" i="5" s="1"/>
  <c r="AC405" i="5"/>
  <c r="AD405" i="5" s="1"/>
  <c r="AC406" i="5"/>
  <c r="AD406" i="5" s="1"/>
  <c r="AC407" i="5"/>
  <c r="AD407" i="5" s="1"/>
  <c r="AC408" i="5"/>
  <c r="AD408" i="5" s="1"/>
  <c r="AC409" i="5"/>
  <c r="AD409" i="5" s="1"/>
  <c r="AC410" i="5"/>
  <c r="AD410" i="5" s="1"/>
  <c r="AC411" i="5"/>
  <c r="AD411" i="5" s="1"/>
  <c r="AC412" i="5"/>
  <c r="AD412" i="5" s="1"/>
  <c r="AC413" i="5"/>
  <c r="AD413" i="5" s="1"/>
  <c r="AC414" i="5"/>
  <c r="AD414" i="5" s="1"/>
  <c r="AC415" i="5"/>
  <c r="AD415" i="5" s="1"/>
  <c r="AC416" i="5"/>
  <c r="AD416" i="5" s="1"/>
  <c r="AC417" i="5"/>
  <c r="AD417" i="5" s="1"/>
  <c r="AC418" i="5"/>
  <c r="AD418" i="5" s="1"/>
  <c r="AC419" i="5"/>
  <c r="AD419" i="5" s="1"/>
  <c r="AC420" i="5"/>
  <c r="AD420" i="5" s="1"/>
  <c r="AC421" i="5"/>
  <c r="AD421" i="5" s="1"/>
  <c r="AC422" i="5"/>
  <c r="AD422" i="5" s="1"/>
  <c r="AC423" i="5"/>
  <c r="AD423" i="5" s="1"/>
  <c r="AC424" i="5"/>
  <c r="AD424" i="5" s="1"/>
  <c r="AC425" i="5"/>
  <c r="AD425" i="5" s="1"/>
  <c r="AC426" i="5"/>
  <c r="AD426" i="5" s="1"/>
  <c r="AC427" i="5"/>
  <c r="AD427" i="5" s="1"/>
  <c r="AC428" i="5"/>
  <c r="AD428" i="5" s="1"/>
  <c r="AC429" i="5"/>
  <c r="AD429" i="5" s="1"/>
  <c r="AC430" i="5"/>
  <c r="AD430" i="5" s="1"/>
  <c r="AC431" i="5"/>
  <c r="AD431" i="5" s="1"/>
  <c r="AC432" i="5"/>
  <c r="AD432" i="5" s="1"/>
  <c r="AC433" i="5"/>
  <c r="AD433" i="5" s="1"/>
  <c r="AC434" i="5"/>
  <c r="AD434" i="5" s="1"/>
  <c r="AC435" i="5"/>
  <c r="AD435" i="5" s="1"/>
  <c r="AC436" i="5"/>
  <c r="AD436" i="5" s="1"/>
  <c r="AC437" i="5"/>
  <c r="AD437" i="5" s="1"/>
  <c r="AC438" i="5"/>
  <c r="AD438" i="5" s="1"/>
  <c r="AC439" i="5"/>
  <c r="AD439" i="5" s="1"/>
  <c r="AC440" i="5"/>
  <c r="AD440" i="5" s="1"/>
  <c r="AC441" i="5"/>
  <c r="AD441" i="5" s="1"/>
  <c r="AC442" i="5"/>
  <c r="AD442" i="5" s="1"/>
  <c r="AC443" i="5"/>
  <c r="AD443" i="5" s="1"/>
  <c r="AC444" i="5"/>
  <c r="AD444" i="5" s="1"/>
  <c r="AC445" i="5"/>
  <c r="AD445" i="5" s="1"/>
  <c r="AC446" i="5"/>
  <c r="AD446" i="5" s="1"/>
  <c r="AC447" i="5"/>
  <c r="AD447" i="5" s="1"/>
  <c r="AC448" i="5"/>
  <c r="AD448" i="5" s="1"/>
  <c r="AC449" i="5"/>
  <c r="AD449" i="5" s="1"/>
  <c r="AC450" i="5"/>
  <c r="AD450" i="5" s="1"/>
  <c r="AC451" i="5"/>
  <c r="AD451" i="5" s="1"/>
  <c r="AC452" i="5"/>
  <c r="AD452" i="5" s="1"/>
  <c r="AC453" i="5"/>
  <c r="AD453" i="5" s="1"/>
  <c r="AC454" i="5"/>
  <c r="AD454" i="5" s="1"/>
  <c r="AC455" i="5"/>
  <c r="AD455" i="5" s="1"/>
  <c r="AC456" i="5"/>
  <c r="AD456" i="5" s="1"/>
  <c r="AC457" i="5"/>
  <c r="AD457" i="5" s="1"/>
  <c r="AC458" i="5"/>
  <c r="AD458" i="5" s="1"/>
  <c r="AC459" i="5"/>
  <c r="AD459" i="5" s="1"/>
  <c r="AC460" i="5"/>
  <c r="AD460" i="5" s="1"/>
  <c r="AC461" i="5"/>
  <c r="AD461" i="5" s="1"/>
  <c r="AC462" i="5"/>
  <c r="AD462" i="5" s="1"/>
  <c r="AC463" i="5"/>
  <c r="AD463" i="5" s="1"/>
  <c r="AC464" i="5"/>
  <c r="AD464" i="5" s="1"/>
  <c r="AC465" i="5"/>
  <c r="AD465" i="5" s="1"/>
  <c r="AC466" i="5"/>
  <c r="AD466" i="5" s="1"/>
  <c r="AC467" i="5"/>
  <c r="AD467" i="5" s="1"/>
  <c r="AC468" i="5"/>
  <c r="AD468" i="5" s="1"/>
  <c r="AC469" i="5"/>
  <c r="AD469" i="5" s="1"/>
  <c r="AC470" i="5"/>
  <c r="AD470" i="5" s="1"/>
  <c r="AC471" i="5"/>
  <c r="AD471" i="5" s="1"/>
  <c r="AC472" i="5"/>
  <c r="AD472" i="5" s="1"/>
  <c r="AC473" i="5"/>
  <c r="AD473" i="5" s="1"/>
  <c r="AC474" i="5"/>
  <c r="AD474" i="5" s="1"/>
  <c r="AC475" i="5"/>
  <c r="AD475" i="5" s="1"/>
  <c r="AC476" i="5"/>
  <c r="AD476" i="5" s="1"/>
  <c r="AC477" i="5"/>
  <c r="AD477" i="5" s="1"/>
  <c r="AC478" i="5"/>
  <c r="AD478" i="5" s="1"/>
  <c r="AC479" i="5"/>
  <c r="AD479" i="5" s="1"/>
  <c r="AC480" i="5"/>
  <c r="AD480" i="5" s="1"/>
  <c r="AC481" i="5"/>
  <c r="AD481" i="5" s="1"/>
  <c r="AC482" i="5"/>
  <c r="AD482" i="5" s="1"/>
  <c r="AC483" i="5"/>
  <c r="AD483" i="5" s="1"/>
  <c r="AC484" i="5"/>
  <c r="AD484" i="5" s="1"/>
  <c r="AC485" i="5"/>
  <c r="AD485" i="5" s="1"/>
  <c r="AC486" i="5"/>
  <c r="AD486" i="5" s="1"/>
  <c r="AC487" i="5"/>
  <c r="AD487" i="5" s="1"/>
  <c r="AC488" i="5"/>
  <c r="AD488" i="5" s="1"/>
  <c r="AC489" i="5"/>
  <c r="AD489" i="5" s="1"/>
  <c r="AC490" i="5"/>
  <c r="AD490" i="5" s="1"/>
  <c r="AC491" i="5"/>
  <c r="AD491" i="5" s="1"/>
  <c r="AC492" i="5"/>
  <c r="AD492" i="5" s="1"/>
  <c r="AC493" i="5"/>
  <c r="AD493" i="5" s="1"/>
  <c r="AC494" i="5"/>
  <c r="AD494" i="5" s="1"/>
  <c r="AC495" i="5"/>
  <c r="AD495" i="5" s="1"/>
  <c r="AC496" i="5"/>
  <c r="AD496" i="5" s="1"/>
  <c r="AC497" i="5"/>
  <c r="AD497" i="5" s="1"/>
  <c r="AC498" i="5"/>
  <c r="AD498" i="5" s="1"/>
  <c r="AC499" i="5"/>
  <c r="AD499" i="5" s="1"/>
  <c r="AC500" i="5"/>
  <c r="AD500" i="5" s="1"/>
  <c r="AC501" i="5"/>
  <c r="AD501" i="5" s="1"/>
  <c r="AC502" i="5"/>
  <c r="AD502" i="5" s="1"/>
  <c r="AC503" i="5"/>
  <c r="AD503" i="5" s="1"/>
  <c r="AC504" i="5"/>
  <c r="AD504" i="5" s="1"/>
  <c r="AC505" i="5"/>
  <c r="AD505" i="5" s="1"/>
  <c r="AC506" i="5"/>
  <c r="AD506" i="5" s="1"/>
  <c r="AC507" i="5"/>
  <c r="AD507" i="5" s="1"/>
  <c r="AC508" i="5"/>
  <c r="AD508" i="5" s="1"/>
  <c r="AC509" i="5"/>
  <c r="AD509" i="5" s="1"/>
  <c r="AC510" i="5"/>
  <c r="AD510" i="5" s="1"/>
  <c r="AC511" i="5"/>
  <c r="AD511" i="5" s="1"/>
  <c r="AC512" i="5"/>
  <c r="AD512" i="5" s="1"/>
  <c r="AC513" i="5"/>
  <c r="AD513" i="5" s="1"/>
  <c r="AC514" i="5"/>
  <c r="AD514" i="5" s="1"/>
  <c r="AC515" i="5"/>
  <c r="AD515" i="5" s="1"/>
  <c r="AC516" i="5"/>
  <c r="AD516" i="5" s="1"/>
  <c r="AC517" i="5"/>
  <c r="AD517" i="5" s="1"/>
  <c r="AC518" i="5"/>
  <c r="AD518" i="5" s="1"/>
  <c r="AC519" i="5"/>
  <c r="AD519" i="5" s="1"/>
  <c r="AC520" i="5"/>
  <c r="AD520" i="5" s="1"/>
  <c r="AC521" i="5"/>
  <c r="AD521" i="5" s="1"/>
  <c r="AC522" i="5"/>
  <c r="AD522" i="5" s="1"/>
  <c r="AC523" i="5"/>
  <c r="AD523" i="5" s="1"/>
  <c r="AC524" i="5"/>
  <c r="AD524" i="5" s="1"/>
  <c r="AC525" i="5"/>
  <c r="AD525" i="5" s="1"/>
  <c r="AC526" i="5"/>
  <c r="AD526" i="5" s="1"/>
  <c r="AC527" i="5"/>
  <c r="AD527" i="5" s="1"/>
  <c r="AC528" i="5"/>
  <c r="AD528" i="5" s="1"/>
  <c r="AC529" i="5"/>
  <c r="AD529" i="5" s="1"/>
  <c r="AC530" i="5"/>
  <c r="AD530" i="5" s="1"/>
  <c r="AC531" i="5"/>
  <c r="AD531" i="5" s="1"/>
  <c r="AC532" i="5"/>
  <c r="AD532" i="5" s="1"/>
  <c r="AC533" i="5"/>
  <c r="AD533" i="5" s="1"/>
  <c r="AC534" i="5"/>
  <c r="AD534" i="5" s="1"/>
  <c r="AC535" i="5"/>
  <c r="AD535" i="5" s="1"/>
  <c r="AC536" i="5"/>
  <c r="AD536" i="5" s="1"/>
  <c r="AC537" i="5"/>
  <c r="AD537" i="5" s="1"/>
  <c r="AC538" i="5"/>
  <c r="AD538" i="5" s="1"/>
  <c r="AC539" i="5"/>
  <c r="AD539" i="5" s="1"/>
  <c r="AC540" i="5"/>
  <c r="AD540" i="5" s="1"/>
  <c r="AC541" i="5"/>
  <c r="AD541" i="5" s="1"/>
  <c r="AC542" i="5"/>
  <c r="AD542" i="5" s="1"/>
  <c r="AC543" i="5"/>
  <c r="AD543" i="5" s="1"/>
  <c r="AC544" i="5"/>
  <c r="AD544" i="5" s="1"/>
  <c r="AC545" i="5"/>
  <c r="AD545" i="5" s="1"/>
  <c r="AC546" i="5"/>
  <c r="AD546" i="5" s="1"/>
  <c r="AC547" i="5"/>
  <c r="AD547" i="5" s="1"/>
  <c r="AC548" i="5"/>
  <c r="AD548" i="5" s="1"/>
  <c r="AC549" i="5"/>
  <c r="AD549" i="5" s="1"/>
  <c r="AC550" i="5"/>
  <c r="AD550" i="5" s="1"/>
  <c r="AC551" i="5"/>
  <c r="AD551" i="5" s="1"/>
  <c r="AC552" i="5"/>
  <c r="AD552" i="5" s="1"/>
  <c r="AC553" i="5"/>
  <c r="AD553" i="5" s="1"/>
  <c r="AC554" i="5"/>
  <c r="AD554" i="5" s="1"/>
  <c r="AC555" i="5"/>
  <c r="AD555" i="5" s="1"/>
  <c r="AC556" i="5"/>
  <c r="AD556" i="5" s="1"/>
  <c r="AC557" i="5"/>
  <c r="AD557" i="5" s="1"/>
  <c r="AC558" i="5"/>
  <c r="AD558" i="5" s="1"/>
  <c r="AC559" i="5"/>
  <c r="AD559" i="5" s="1"/>
  <c r="AC560" i="5"/>
  <c r="AD560" i="5" s="1"/>
  <c r="AC561" i="5"/>
  <c r="AD561" i="5" s="1"/>
  <c r="AC562" i="5"/>
  <c r="AD562" i="5" s="1"/>
  <c r="AC563" i="5"/>
  <c r="AD563" i="5" s="1"/>
  <c r="AC564" i="5"/>
  <c r="AD564" i="5" s="1"/>
  <c r="AC565" i="5"/>
  <c r="AD565" i="5" s="1"/>
  <c r="AC566" i="5"/>
  <c r="AD566" i="5" s="1"/>
  <c r="AC567" i="5"/>
  <c r="AD567" i="5" s="1"/>
  <c r="AC568" i="5"/>
  <c r="AD568" i="5" s="1"/>
  <c r="AC569" i="5"/>
  <c r="AD569" i="5" s="1"/>
  <c r="AC570" i="5"/>
  <c r="AD570" i="5" s="1"/>
  <c r="AC571" i="5"/>
  <c r="AD571" i="5" s="1"/>
  <c r="AC572" i="5"/>
  <c r="AD572" i="5" s="1"/>
  <c r="AC573" i="5"/>
  <c r="AD573" i="5" s="1"/>
  <c r="AC574" i="5"/>
  <c r="AD574" i="5" s="1"/>
  <c r="AC575" i="5"/>
  <c r="AD575" i="5" s="1"/>
  <c r="AC576" i="5"/>
  <c r="AD576" i="5" s="1"/>
  <c r="AC577" i="5"/>
  <c r="AD577" i="5" s="1"/>
  <c r="AC578" i="5"/>
  <c r="AD578" i="5" s="1"/>
  <c r="AC579" i="5"/>
  <c r="AD579" i="5" s="1"/>
  <c r="AC580" i="5"/>
  <c r="AD580" i="5" s="1"/>
  <c r="AC581" i="5"/>
  <c r="AD581" i="5" s="1"/>
  <c r="AC582" i="5"/>
  <c r="AD582" i="5" s="1"/>
  <c r="AC583" i="5"/>
  <c r="AD583" i="5" s="1"/>
  <c r="AC584" i="5"/>
  <c r="AD584" i="5" s="1"/>
  <c r="AC585" i="5"/>
  <c r="AD585" i="5" s="1"/>
  <c r="AC586" i="5"/>
  <c r="AD586" i="5" s="1"/>
  <c r="AC587" i="5"/>
  <c r="AD587" i="5" s="1"/>
  <c r="AC588" i="5"/>
  <c r="AD588" i="5" s="1"/>
  <c r="AC589" i="5"/>
  <c r="AD589" i="5" s="1"/>
  <c r="AC590" i="5"/>
  <c r="AD590" i="5" s="1"/>
  <c r="AC591" i="5"/>
  <c r="AD591" i="5" s="1"/>
  <c r="AC592" i="5"/>
  <c r="AD592" i="5" s="1"/>
  <c r="AC593" i="5"/>
  <c r="AD593" i="5" s="1"/>
  <c r="AC594" i="5"/>
  <c r="AD594" i="5" s="1"/>
  <c r="AC595" i="5"/>
  <c r="AD595" i="5" s="1"/>
  <c r="AC596" i="5"/>
  <c r="AD596" i="5" s="1"/>
  <c r="AC597" i="5"/>
  <c r="AD597" i="5" s="1"/>
  <c r="AC598" i="5"/>
  <c r="AD598" i="5" s="1"/>
  <c r="AC599" i="5"/>
  <c r="AD599" i="5" s="1"/>
  <c r="AC600" i="5"/>
  <c r="AD600" i="5" s="1"/>
  <c r="AC601" i="5"/>
  <c r="AD601" i="5" s="1"/>
  <c r="AC602" i="5"/>
  <c r="AD602" i="5" s="1"/>
  <c r="AC603" i="5"/>
  <c r="AD603" i="5" s="1"/>
  <c r="AC604" i="5"/>
  <c r="AD604" i="5" s="1"/>
  <c r="AC605" i="5"/>
  <c r="AD605" i="5" s="1"/>
  <c r="AC606" i="5"/>
  <c r="AD606" i="5" s="1"/>
  <c r="AC607" i="5"/>
  <c r="AD607" i="5" s="1"/>
  <c r="AC608" i="5"/>
  <c r="AD608" i="5" s="1"/>
  <c r="AC609" i="5"/>
  <c r="AD609" i="5" s="1"/>
  <c r="AC610" i="5"/>
  <c r="AD610" i="5" s="1"/>
  <c r="AC611" i="5"/>
  <c r="AD611" i="5" s="1"/>
  <c r="AC612" i="5"/>
  <c r="AD612" i="5" s="1"/>
  <c r="AC613" i="5"/>
  <c r="AD613" i="5" s="1"/>
  <c r="AC614" i="5"/>
  <c r="AD614" i="5" s="1"/>
  <c r="AC615" i="5"/>
  <c r="AD615" i="5" s="1"/>
  <c r="AC616" i="5"/>
  <c r="AD616" i="5" s="1"/>
  <c r="AC617" i="5"/>
  <c r="AD617" i="5" s="1"/>
  <c r="AC618" i="5"/>
  <c r="AD618" i="5" s="1"/>
  <c r="AC619" i="5"/>
  <c r="AD619" i="5" s="1"/>
  <c r="AC620" i="5"/>
  <c r="AD620" i="5" s="1"/>
  <c r="AC621" i="5"/>
  <c r="AD621" i="5" s="1"/>
  <c r="AC622" i="5"/>
  <c r="AD622" i="5" s="1"/>
  <c r="AC623" i="5"/>
  <c r="AD623" i="5" s="1"/>
  <c r="AC624" i="5"/>
  <c r="AD624" i="5" s="1"/>
  <c r="AC625" i="5"/>
  <c r="AD625" i="5" s="1"/>
  <c r="AC626" i="5"/>
  <c r="AD626" i="5" s="1"/>
  <c r="AC627" i="5"/>
  <c r="AD627" i="5" s="1"/>
  <c r="AC628" i="5"/>
  <c r="AD628" i="5" s="1"/>
  <c r="AC629" i="5"/>
  <c r="AD629" i="5" s="1"/>
  <c r="AC630" i="5"/>
  <c r="AD630" i="5" s="1"/>
  <c r="AC631" i="5"/>
  <c r="AD631" i="5" s="1"/>
  <c r="AC632" i="5"/>
  <c r="AD632" i="5" s="1"/>
  <c r="AC633" i="5"/>
  <c r="AD633" i="5" s="1"/>
  <c r="AC634" i="5"/>
  <c r="AD634" i="5" s="1"/>
  <c r="AC635" i="5"/>
  <c r="AD635" i="5" s="1"/>
  <c r="AC636" i="5"/>
  <c r="AD636" i="5" s="1"/>
  <c r="AC637" i="5"/>
  <c r="AD637" i="5" s="1"/>
  <c r="AC638" i="5"/>
  <c r="AD638" i="5" s="1"/>
  <c r="AC639" i="5"/>
  <c r="AD639" i="5" s="1"/>
  <c r="AC640" i="5"/>
  <c r="AD640" i="5" s="1"/>
  <c r="AC641" i="5"/>
  <c r="AD641" i="5" s="1"/>
  <c r="AC642" i="5"/>
  <c r="AD642" i="5" s="1"/>
  <c r="AC643" i="5"/>
  <c r="AD643" i="5" s="1"/>
  <c r="AC644" i="5"/>
  <c r="AD644" i="5" s="1"/>
  <c r="AC645" i="5"/>
  <c r="AD645" i="5" s="1"/>
  <c r="AC646" i="5"/>
  <c r="AD646" i="5" s="1"/>
  <c r="AC647" i="5"/>
  <c r="AD647" i="5" s="1"/>
  <c r="AC648" i="5"/>
  <c r="AD648" i="5" s="1"/>
  <c r="AC649" i="5"/>
  <c r="AD649" i="5" s="1"/>
  <c r="AC650" i="5"/>
  <c r="AD650" i="5" s="1"/>
  <c r="AC651" i="5"/>
  <c r="AD651" i="5" s="1"/>
  <c r="AC652" i="5"/>
  <c r="AD652" i="5" s="1"/>
  <c r="AC653" i="5"/>
  <c r="AD653" i="5" s="1"/>
  <c r="AC654" i="5"/>
  <c r="AD654" i="5" s="1"/>
  <c r="AC655" i="5"/>
  <c r="AD655" i="5" s="1"/>
  <c r="AC656" i="5"/>
  <c r="AD656" i="5" s="1"/>
  <c r="AC657" i="5"/>
  <c r="AD657" i="5" s="1"/>
  <c r="AC658" i="5"/>
  <c r="AD658" i="5" s="1"/>
  <c r="AC659" i="5"/>
  <c r="AD659" i="5" s="1"/>
  <c r="AC660" i="5"/>
  <c r="AD660" i="5" s="1"/>
  <c r="AC661" i="5"/>
  <c r="AD661" i="5" s="1"/>
  <c r="AC662" i="5"/>
  <c r="AD662" i="5" s="1"/>
  <c r="AC663" i="5"/>
  <c r="AD663" i="5" s="1"/>
  <c r="AC664" i="5"/>
  <c r="AD664" i="5" s="1"/>
  <c r="AC665" i="5"/>
  <c r="AD665" i="5" s="1"/>
  <c r="AC666" i="5"/>
  <c r="AD666" i="5" s="1"/>
  <c r="AC667" i="5"/>
  <c r="AD667" i="5" s="1"/>
  <c r="AC668" i="5"/>
  <c r="AD668" i="5" s="1"/>
  <c r="AC669" i="5"/>
  <c r="AD669" i="5" s="1"/>
  <c r="AC670" i="5"/>
  <c r="AD670" i="5" s="1"/>
  <c r="AC671" i="5"/>
  <c r="AD671" i="5" s="1"/>
  <c r="AC672" i="5"/>
  <c r="AD672" i="5" s="1"/>
  <c r="AC673" i="5"/>
  <c r="AD673" i="5" s="1"/>
  <c r="AC674" i="5"/>
  <c r="AD674" i="5" s="1"/>
  <c r="AC675" i="5"/>
  <c r="AD675" i="5" s="1"/>
  <c r="AC676" i="5"/>
  <c r="AD676" i="5" s="1"/>
  <c r="AC677" i="5"/>
  <c r="AD677" i="5" s="1"/>
  <c r="AC678" i="5"/>
  <c r="AD678" i="5" s="1"/>
  <c r="AC679" i="5"/>
  <c r="AD679" i="5" s="1"/>
  <c r="AC680" i="5"/>
  <c r="AD680" i="5" s="1"/>
  <c r="AC681" i="5"/>
  <c r="AD681" i="5" s="1"/>
  <c r="AC682" i="5"/>
  <c r="AD682" i="5" s="1"/>
  <c r="AC683" i="5"/>
  <c r="AD683" i="5" s="1"/>
  <c r="AC684" i="5"/>
  <c r="AD684" i="5" s="1"/>
  <c r="AC685" i="5"/>
  <c r="AD685" i="5" s="1"/>
  <c r="AC686" i="5"/>
  <c r="AD686" i="5" s="1"/>
  <c r="AC687" i="5"/>
  <c r="AD687" i="5" s="1"/>
  <c r="AC688" i="5"/>
  <c r="AD688" i="5" s="1"/>
  <c r="AC689" i="5"/>
  <c r="AD689" i="5" s="1"/>
  <c r="AC690" i="5"/>
  <c r="AD690" i="5" s="1"/>
  <c r="AC691" i="5"/>
  <c r="AD691" i="5" s="1"/>
  <c r="AC692" i="5"/>
  <c r="AD692" i="5" s="1"/>
  <c r="AC693" i="5"/>
  <c r="AD693" i="5" s="1"/>
  <c r="AC694" i="5"/>
  <c r="AD694" i="5" s="1"/>
  <c r="AC695" i="5"/>
  <c r="AD695" i="5" s="1"/>
  <c r="AC696" i="5"/>
  <c r="AD696" i="5" s="1"/>
  <c r="AC697" i="5"/>
  <c r="AD697" i="5" s="1"/>
  <c r="AC698" i="5"/>
  <c r="AD698" i="5" s="1"/>
  <c r="AC699" i="5"/>
  <c r="AD699" i="5" s="1"/>
  <c r="AC700" i="5"/>
  <c r="AD700" i="5" s="1"/>
  <c r="AC701" i="5"/>
  <c r="AD701" i="5" s="1"/>
  <c r="AC702" i="5"/>
  <c r="AD702" i="5" s="1"/>
  <c r="AC703" i="5"/>
  <c r="AD703" i="5" s="1"/>
  <c r="AC704" i="5"/>
  <c r="AD704" i="5" s="1"/>
  <c r="AC705" i="5"/>
  <c r="AD705" i="5" s="1"/>
  <c r="AC706" i="5"/>
  <c r="AD706" i="5" s="1"/>
  <c r="AC707" i="5"/>
  <c r="AD707" i="5" s="1"/>
  <c r="AC708" i="5"/>
  <c r="AD708" i="5" s="1"/>
  <c r="AC709" i="5"/>
  <c r="AD709" i="5" s="1"/>
  <c r="AC710" i="5"/>
  <c r="AD710" i="5" s="1"/>
  <c r="AC711" i="5"/>
  <c r="AD711" i="5" s="1"/>
  <c r="AC712" i="5"/>
  <c r="AD712" i="5" s="1"/>
  <c r="AC713" i="5"/>
  <c r="AD713" i="5" s="1"/>
  <c r="AC714" i="5"/>
  <c r="AD714" i="5" s="1"/>
  <c r="AC715" i="5"/>
  <c r="AD715" i="5" s="1"/>
  <c r="AC716" i="5"/>
  <c r="AD716" i="5" s="1"/>
  <c r="AC717" i="5"/>
  <c r="AD717" i="5" s="1"/>
  <c r="AC718" i="5"/>
  <c r="AD718" i="5" s="1"/>
  <c r="AC719" i="5"/>
  <c r="AD719" i="5" s="1"/>
  <c r="AC720" i="5"/>
  <c r="AD720" i="5" s="1"/>
  <c r="AC721" i="5"/>
  <c r="AD721" i="5" s="1"/>
  <c r="AC722" i="5"/>
  <c r="AD722" i="5" s="1"/>
  <c r="AC723" i="5"/>
  <c r="AD723" i="5" s="1"/>
  <c r="AC724" i="5"/>
  <c r="AD724" i="5" s="1"/>
  <c r="AC725" i="5"/>
  <c r="AD725" i="5" s="1"/>
  <c r="AC726" i="5"/>
  <c r="AD726" i="5" s="1"/>
  <c r="AC727" i="5"/>
  <c r="AD727" i="5" s="1"/>
  <c r="AC728" i="5"/>
  <c r="AD728" i="5" s="1"/>
  <c r="AC729" i="5"/>
  <c r="AD729" i="5" s="1"/>
  <c r="AC730" i="5"/>
  <c r="AD730" i="5" s="1"/>
  <c r="AC731" i="5"/>
  <c r="AD731" i="5" s="1"/>
  <c r="AC732" i="5"/>
  <c r="AD732" i="5" s="1"/>
  <c r="AC733" i="5"/>
  <c r="AD733" i="5" s="1"/>
  <c r="AC734" i="5"/>
  <c r="AD734" i="5" s="1"/>
  <c r="AC735" i="5"/>
  <c r="AD735" i="5" s="1"/>
  <c r="AC736" i="5"/>
  <c r="AD736" i="5" s="1"/>
  <c r="AC737" i="5"/>
  <c r="AD737" i="5" s="1"/>
  <c r="AC738" i="5"/>
  <c r="AD738" i="5" s="1"/>
  <c r="AC739" i="5"/>
  <c r="AD739" i="5" s="1"/>
  <c r="AC740" i="5"/>
  <c r="AD740" i="5" s="1"/>
  <c r="AC741" i="5"/>
  <c r="AD741" i="5" s="1"/>
  <c r="AC742" i="5"/>
  <c r="AD742" i="5" s="1"/>
  <c r="AC743" i="5"/>
  <c r="AD743" i="5" s="1"/>
  <c r="AC744" i="5"/>
  <c r="AD744" i="5" s="1"/>
  <c r="AC745" i="5"/>
  <c r="AD745" i="5" s="1"/>
  <c r="AC746" i="5"/>
  <c r="AD746" i="5" s="1"/>
  <c r="AC747" i="5"/>
  <c r="AD747" i="5" s="1"/>
  <c r="AC748" i="5"/>
  <c r="AD748" i="5" s="1"/>
  <c r="AC749" i="5"/>
  <c r="AD749" i="5" s="1"/>
  <c r="AC750" i="5"/>
  <c r="AD750" i="5" s="1"/>
  <c r="AC751" i="5"/>
  <c r="AD751" i="5" s="1"/>
  <c r="AC752" i="5"/>
  <c r="AD752" i="5" s="1"/>
  <c r="AC753" i="5"/>
  <c r="AD753" i="5" s="1"/>
  <c r="AC754" i="5"/>
  <c r="AD754" i="5" s="1"/>
  <c r="AC755" i="5"/>
  <c r="AD755" i="5" s="1"/>
  <c r="AC756" i="5"/>
  <c r="AD756" i="5" s="1"/>
  <c r="AC757" i="5"/>
  <c r="AD757" i="5" s="1"/>
  <c r="AC758" i="5"/>
  <c r="AD758" i="5" s="1"/>
  <c r="AC759" i="5"/>
  <c r="AD759" i="5" s="1"/>
  <c r="AC760" i="5"/>
  <c r="AD760" i="5" s="1"/>
  <c r="AC761" i="5"/>
  <c r="AD761" i="5" s="1"/>
  <c r="AC762" i="5"/>
  <c r="AD762" i="5" s="1"/>
  <c r="AC763" i="5"/>
  <c r="AD763" i="5" s="1"/>
  <c r="AC764" i="5"/>
  <c r="AD764" i="5" s="1"/>
  <c r="AC765" i="5"/>
  <c r="AD765" i="5" s="1"/>
  <c r="AC766" i="5"/>
  <c r="AD766" i="5" s="1"/>
  <c r="AC767" i="5"/>
  <c r="AD767" i="5" s="1"/>
  <c r="AC768" i="5"/>
  <c r="AD768" i="5" s="1"/>
  <c r="AC769" i="5"/>
  <c r="AD769" i="5" s="1"/>
  <c r="AC770" i="5"/>
  <c r="AD770" i="5" s="1"/>
  <c r="AC771" i="5"/>
  <c r="AD771" i="5" s="1"/>
  <c r="AC772" i="5"/>
  <c r="AD772" i="5" s="1"/>
  <c r="AC773" i="5"/>
  <c r="AD773" i="5" s="1"/>
  <c r="AC774" i="5"/>
  <c r="AD774" i="5" s="1"/>
  <c r="AC775" i="5"/>
  <c r="AD775" i="5" s="1"/>
  <c r="AC776" i="5"/>
  <c r="AD776" i="5" s="1"/>
  <c r="AC777" i="5"/>
  <c r="AD777" i="5" s="1"/>
  <c r="AC778" i="5"/>
  <c r="AD778" i="5" s="1"/>
  <c r="AC779" i="5"/>
  <c r="AD779" i="5" s="1"/>
  <c r="AC780" i="5"/>
  <c r="AD780" i="5" s="1"/>
  <c r="AC781" i="5"/>
  <c r="AD781" i="5" s="1"/>
  <c r="AC782" i="5"/>
  <c r="AD782" i="5" s="1"/>
  <c r="AC783" i="5"/>
  <c r="AD783" i="5" s="1"/>
  <c r="AC784" i="5"/>
  <c r="AD784" i="5" s="1"/>
  <c r="AC785" i="5"/>
  <c r="AD785" i="5" s="1"/>
  <c r="AC786" i="5"/>
  <c r="AD786" i="5" s="1"/>
  <c r="AC787" i="5"/>
  <c r="AD787" i="5" s="1"/>
  <c r="AC788" i="5"/>
  <c r="AD788" i="5" s="1"/>
  <c r="AC789" i="5"/>
  <c r="AD789" i="5" s="1"/>
  <c r="AC790" i="5"/>
  <c r="AD790" i="5" s="1"/>
  <c r="AC791" i="5"/>
  <c r="AD791" i="5" s="1"/>
  <c r="AC792" i="5"/>
  <c r="AD792" i="5" s="1"/>
  <c r="AC793" i="5"/>
  <c r="AD793" i="5" s="1"/>
  <c r="AC794" i="5"/>
  <c r="AD794" i="5" s="1"/>
  <c r="AC795" i="5"/>
  <c r="AD795" i="5" s="1"/>
  <c r="AC796" i="5"/>
  <c r="AD796" i="5" s="1"/>
  <c r="AC797" i="5"/>
  <c r="AD797" i="5" s="1"/>
  <c r="AC798" i="5"/>
  <c r="AD798" i="5" s="1"/>
  <c r="AC799" i="5"/>
  <c r="AD799" i="5" s="1"/>
  <c r="AC800" i="5"/>
  <c r="AD800" i="5" s="1"/>
  <c r="AC801" i="5"/>
  <c r="AD801" i="5" s="1"/>
  <c r="AC802" i="5"/>
  <c r="AD802" i="5" s="1"/>
  <c r="AC803" i="5"/>
  <c r="AD803" i="5" s="1"/>
  <c r="AC804" i="5"/>
  <c r="AD804" i="5" s="1"/>
  <c r="AC805" i="5"/>
  <c r="AD805" i="5" s="1"/>
  <c r="AC806" i="5"/>
  <c r="AD806" i="5" s="1"/>
  <c r="AC807" i="5"/>
  <c r="AD807" i="5" s="1"/>
  <c r="AC808" i="5"/>
  <c r="AD808" i="5" s="1"/>
  <c r="AC809" i="5"/>
  <c r="AD809" i="5" s="1"/>
  <c r="AC810" i="5"/>
  <c r="AD810" i="5" s="1"/>
  <c r="AC811" i="5"/>
  <c r="AD811" i="5" s="1"/>
  <c r="AC812" i="5"/>
  <c r="AD812" i="5" s="1"/>
  <c r="AC813" i="5"/>
  <c r="AD813" i="5" s="1"/>
  <c r="AC814" i="5"/>
  <c r="AD814" i="5" s="1"/>
  <c r="AC815" i="5"/>
  <c r="AD815" i="5" s="1"/>
  <c r="AC816" i="5"/>
  <c r="AD816" i="5" s="1"/>
  <c r="AC817" i="5"/>
  <c r="AD817" i="5" s="1"/>
  <c r="AC818" i="5"/>
  <c r="AD818" i="5" s="1"/>
  <c r="AC819" i="5"/>
  <c r="AD819" i="5" s="1"/>
  <c r="AC820" i="5"/>
  <c r="AD820" i="5" s="1"/>
  <c r="AC821" i="5"/>
  <c r="AD821" i="5" s="1"/>
  <c r="AC822" i="5"/>
  <c r="AD822" i="5" s="1"/>
  <c r="AC823" i="5"/>
  <c r="AD823" i="5" s="1"/>
  <c r="AC824" i="5"/>
  <c r="AD824" i="5" s="1"/>
  <c r="AC825" i="5"/>
  <c r="AD825" i="5" s="1"/>
  <c r="AC826" i="5"/>
  <c r="AD826" i="5" s="1"/>
  <c r="AC827" i="5"/>
  <c r="AD827" i="5" s="1"/>
  <c r="AC828" i="5"/>
  <c r="AD828" i="5" s="1"/>
  <c r="AC829" i="5"/>
  <c r="AD829" i="5" s="1"/>
  <c r="AC830" i="5"/>
  <c r="AD830" i="5" s="1"/>
  <c r="AC831" i="5"/>
  <c r="AD831" i="5" s="1"/>
  <c r="AC832" i="5"/>
  <c r="AD832" i="5" s="1"/>
  <c r="AC833" i="5"/>
  <c r="AD833" i="5" s="1"/>
  <c r="AC834" i="5"/>
  <c r="AD834" i="5" s="1"/>
  <c r="AC835" i="5"/>
  <c r="AD835" i="5" s="1"/>
  <c r="AC836" i="5"/>
  <c r="AD836" i="5" s="1"/>
  <c r="AC837" i="5"/>
  <c r="AD837" i="5" s="1"/>
  <c r="AC838" i="5"/>
  <c r="AD838" i="5" s="1"/>
  <c r="AC839" i="5"/>
  <c r="AD839" i="5" s="1"/>
  <c r="AC840" i="5"/>
  <c r="AD840" i="5" s="1"/>
  <c r="AC841" i="5"/>
  <c r="AD841" i="5" s="1"/>
  <c r="AC842" i="5"/>
  <c r="AD842" i="5" s="1"/>
  <c r="AC843" i="5"/>
  <c r="AD843" i="5" s="1"/>
  <c r="AC844" i="5"/>
  <c r="AD844" i="5" s="1"/>
  <c r="AC845" i="5"/>
  <c r="AD845" i="5" s="1"/>
  <c r="AC846" i="5"/>
  <c r="AD846" i="5" s="1"/>
  <c r="AC847" i="5"/>
  <c r="AD847" i="5" s="1"/>
  <c r="AC848" i="5"/>
  <c r="AD848" i="5" s="1"/>
  <c r="AC849" i="5"/>
  <c r="AD849" i="5" s="1"/>
  <c r="AC850" i="5"/>
  <c r="AD850" i="5" s="1"/>
  <c r="AC851" i="5"/>
  <c r="AD851" i="5" s="1"/>
  <c r="AC852" i="5"/>
  <c r="AD852" i="5" s="1"/>
  <c r="AC853" i="5"/>
  <c r="AD853" i="5" s="1"/>
  <c r="AC854" i="5"/>
  <c r="AD854" i="5" s="1"/>
  <c r="AC855" i="5"/>
  <c r="AD855" i="5" s="1"/>
  <c r="AC856" i="5"/>
  <c r="AD856" i="5" s="1"/>
  <c r="AC857" i="5"/>
  <c r="AD857" i="5" s="1"/>
  <c r="AC858" i="5"/>
  <c r="AD858" i="5" s="1"/>
  <c r="AC859" i="5"/>
  <c r="AD859" i="5" s="1"/>
  <c r="AC860" i="5"/>
  <c r="AD860" i="5" s="1"/>
  <c r="AC861" i="5"/>
  <c r="AD861" i="5" s="1"/>
  <c r="AC862" i="5"/>
  <c r="AD862" i="5" s="1"/>
  <c r="AC863" i="5"/>
  <c r="AD863" i="5" s="1"/>
  <c r="AC864" i="5"/>
  <c r="AD864" i="5" s="1"/>
  <c r="AC865" i="5"/>
  <c r="AD865" i="5" s="1"/>
  <c r="AC866" i="5"/>
  <c r="AD866" i="5" s="1"/>
  <c r="AC867" i="5"/>
  <c r="AD867" i="5" s="1"/>
  <c r="AC868" i="5"/>
  <c r="AD868" i="5" s="1"/>
  <c r="AC869" i="5"/>
  <c r="AD869" i="5" s="1"/>
  <c r="AC870" i="5"/>
  <c r="AD870" i="5" s="1"/>
  <c r="AC871" i="5"/>
  <c r="AD871" i="5" s="1"/>
  <c r="AC872" i="5"/>
  <c r="AD872" i="5" s="1"/>
  <c r="AC873" i="5"/>
  <c r="AD873" i="5" s="1"/>
  <c r="AC874" i="5"/>
  <c r="AD874" i="5" s="1"/>
  <c r="AC875" i="5"/>
  <c r="AD875" i="5" s="1"/>
  <c r="AC876" i="5"/>
  <c r="AD876" i="5" s="1"/>
  <c r="AC877" i="5"/>
  <c r="AD877" i="5" s="1"/>
  <c r="AC878" i="5"/>
  <c r="AD878" i="5" s="1"/>
  <c r="AC879" i="5"/>
  <c r="AD879" i="5" s="1"/>
  <c r="AC880" i="5"/>
  <c r="AD880" i="5" s="1"/>
  <c r="AC881" i="5"/>
  <c r="AD881" i="5" s="1"/>
  <c r="AC882" i="5"/>
  <c r="AD882" i="5" s="1"/>
  <c r="AC883" i="5"/>
  <c r="AD883" i="5" s="1"/>
  <c r="AC884" i="5"/>
  <c r="AD884" i="5" s="1"/>
  <c r="AC885" i="5"/>
  <c r="AD885" i="5" s="1"/>
  <c r="AC886" i="5"/>
  <c r="AD886" i="5" s="1"/>
  <c r="AC887" i="5"/>
  <c r="AD887" i="5" s="1"/>
  <c r="AC888" i="5"/>
  <c r="AD888" i="5" s="1"/>
  <c r="AC889" i="5"/>
  <c r="AD889" i="5" s="1"/>
  <c r="AC890" i="5"/>
  <c r="AD890" i="5" s="1"/>
  <c r="AC891" i="5"/>
  <c r="AD891" i="5" s="1"/>
  <c r="AC892" i="5"/>
  <c r="AD892" i="5" s="1"/>
  <c r="AC893" i="5"/>
  <c r="AD893" i="5" s="1"/>
  <c r="AC894" i="5"/>
  <c r="AD894" i="5" s="1"/>
  <c r="AC895" i="5"/>
  <c r="AD895" i="5" s="1"/>
  <c r="AC896" i="5"/>
  <c r="AD896" i="5" s="1"/>
  <c r="AC897" i="5"/>
  <c r="AD897" i="5" s="1"/>
  <c r="AC898" i="5"/>
  <c r="AD898" i="5" s="1"/>
  <c r="AC899" i="5"/>
  <c r="AD899" i="5" s="1"/>
  <c r="AC900" i="5"/>
  <c r="AD900" i="5" s="1"/>
  <c r="AC901" i="5"/>
  <c r="AD901" i="5" s="1"/>
  <c r="AC902" i="5"/>
  <c r="AD902" i="5" s="1"/>
  <c r="AC903" i="5"/>
  <c r="AD903" i="5" s="1"/>
  <c r="AC904" i="5"/>
  <c r="AD904" i="5" s="1"/>
  <c r="AC905" i="5"/>
  <c r="AD905" i="5" s="1"/>
  <c r="AC906" i="5"/>
  <c r="AD906" i="5" s="1"/>
  <c r="AC907" i="5"/>
  <c r="AD907" i="5" s="1"/>
  <c r="AC908" i="5"/>
  <c r="AD908" i="5" s="1"/>
  <c r="AC909" i="5"/>
  <c r="AD909" i="5" s="1"/>
  <c r="AC910" i="5"/>
  <c r="AD910" i="5" s="1"/>
  <c r="AC911" i="5"/>
  <c r="AD911" i="5" s="1"/>
  <c r="AC912" i="5"/>
  <c r="AD912" i="5" s="1"/>
  <c r="AC913" i="5"/>
  <c r="AD913" i="5" s="1"/>
  <c r="AC914" i="5"/>
  <c r="AD914" i="5" s="1"/>
  <c r="AC915" i="5"/>
  <c r="AD915" i="5" s="1"/>
  <c r="AC916" i="5"/>
  <c r="AD916" i="5" s="1"/>
  <c r="AC917" i="5"/>
  <c r="AD917" i="5" s="1"/>
  <c r="AC918" i="5"/>
  <c r="AD918" i="5" s="1"/>
  <c r="AC919" i="5"/>
  <c r="AD919" i="5" s="1"/>
  <c r="AC920" i="5"/>
  <c r="AD920" i="5" s="1"/>
  <c r="AC921" i="5"/>
  <c r="AD921" i="5" s="1"/>
  <c r="AC922" i="5"/>
  <c r="AD922" i="5" s="1"/>
  <c r="AC923" i="5"/>
  <c r="AD923" i="5" s="1"/>
  <c r="AC924" i="5"/>
  <c r="AD924" i="5" s="1"/>
  <c r="AC925" i="5"/>
  <c r="AD925" i="5" s="1"/>
  <c r="AC926" i="5"/>
  <c r="AD926" i="5" s="1"/>
  <c r="AC927" i="5"/>
  <c r="AD927" i="5" s="1"/>
  <c r="AC928" i="5"/>
  <c r="AD928" i="5" s="1"/>
  <c r="AC929" i="5"/>
  <c r="AD929" i="5" s="1"/>
  <c r="AC930" i="5"/>
  <c r="AD930" i="5" s="1"/>
  <c r="AC931" i="5"/>
  <c r="AD931" i="5" s="1"/>
  <c r="AC932" i="5"/>
  <c r="AD932" i="5" s="1"/>
  <c r="AC933" i="5"/>
  <c r="AD933" i="5" s="1"/>
  <c r="AC934" i="5"/>
  <c r="AD934" i="5" s="1"/>
  <c r="AC935" i="5"/>
  <c r="AD935" i="5" s="1"/>
  <c r="AC936" i="5"/>
  <c r="AD936" i="5" s="1"/>
  <c r="AC937" i="5"/>
  <c r="AD937" i="5" s="1"/>
  <c r="AC938" i="5"/>
  <c r="AD938" i="5" s="1"/>
  <c r="AC939" i="5"/>
  <c r="AD939" i="5" s="1"/>
  <c r="AC940" i="5"/>
  <c r="AD940" i="5" s="1"/>
  <c r="AC941" i="5"/>
  <c r="AD941" i="5" s="1"/>
  <c r="AC942" i="5"/>
  <c r="AD942" i="5" s="1"/>
  <c r="AC943" i="5"/>
  <c r="AD943" i="5" s="1"/>
  <c r="AC944" i="5"/>
  <c r="AD944" i="5" s="1"/>
  <c r="AC945" i="5"/>
  <c r="AD945" i="5" s="1"/>
  <c r="AC946" i="5"/>
  <c r="AD946" i="5" s="1"/>
  <c r="AC947" i="5"/>
  <c r="AD947" i="5" s="1"/>
  <c r="AC948" i="5"/>
  <c r="AD948" i="5" s="1"/>
  <c r="AC949" i="5"/>
  <c r="AD949" i="5" s="1"/>
  <c r="AC950" i="5"/>
  <c r="AD950" i="5" s="1"/>
  <c r="AC951" i="5"/>
  <c r="AD951" i="5" s="1"/>
  <c r="AC952" i="5"/>
  <c r="AD952" i="5" s="1"/>
  <c r="AC953" i="5"/>
  <c r="AD953" i="5" s="1"/>
  <c r="AC954" i="5"/>
  <c r="AD954" i="5" s="1"/>
  <c r="AC955" i="5"/>
  <c r="AD955" i="5" s="1"/>
  <c r="AC956" i="5"/>
  <c r="AD956" i="5" s="1"/>
  <c r="AC957" i="5"/>
  <c r="AD957" i="5" s="1"/>
  <c r="AC958" i="5"/>
  <c r="AD958" i="5" s="1"/>
  <c r="AC959" i="5"/>
  <c r="AD959" i="5" s="1"/>
  <c r="AC960" i="5"/>
  <c r="AD960" i="5" s="1"/>
  <c r="AC961" i="5"/>
  <c r="AD961" i="5" s="1"/>
  <c r="AC962" i="5"/>
  <c r="AD962" i="5" s="1"/>
  <c r="AC963" i="5"/>
  <c r="AD963" i="5" s="1"/>
  <c r="AC964" i="5"/>
  <c r="AD964" i="5" s="1"/>
  <c r="AC965" i="5"/>
  <c r="AD965" i="5" s="1"/>
  <c r="AC966" i="5"/>
  <c r="AD966" i="5" s="1"/>
  <c r="AC967" i="5"/>
  <c r="AD967" i="5" s="1"/>
  <c r="AC968" i="5"/>
  <c r="AD968" i="5" s="1"/>
  <c r="AC969" i="5"/>
  <c r="AD969" i="5" s="1"/>
  <c r="AC970" i="5"/>
  <c r="AD970" i="5" s="1"/>
  <c r="AC971" i="5"/>
  <c r="AD971" i="5" s="1"/>
  <c r="AC972" i="5"/>
  <c r="AD972" i="5" s="1"/>
  <c r="AC973" i="5"/>
  <c r="AD973" i="5" s="1"/>
  <c r="AC974" i="5"/>
  <c r="AD974" i="5" s="1"/>
  <c r="AC975" i="5"/>
  <c r="AD975" i="5" s="1"/>
  <c r="AC976" i="5"/>
  <c r="AD976" i="5" s="1"/>
  <c r="AC977" i="5"/>
  <c r="AD977" i="5" s="1"/>
  <c r="AC978" i="5"/>
  <c r="AD978" i="5" s="1"/>
  <c r="AC979" i="5"/>
  <c r="AD979" i="5" s="1"/>
  <c r="AC980" i="5"/>
  <c r="AD980" i="5" s="1"/>
  <c r="AC981" i="5"/>
  <c r="AD981" i="5" s="1"/>
  <c r="AC982" i="5"/>
  <c r="AD982" i="5" s="1"/>
  <c r="AC983" i="5"/>
  <c r="AD983" i="5" s="1"/>
  <c r="AC984" i="5"/>
  <c r="AD984" i="5" s="1"/>
  <c r="AC985" i="5"/>
  <c r="AD985" i="5" s="1"/>
  <c r="AC986" i="5"/>
  <c r="AD986" i="5" s="1"/>
  <c r="AC987" i="5"/>
  <c r="AD987" i="5" s="1"/>
  <c r="AC988" i="5"/>
  <c r="AD988" i="5" s="1"/>
  <c r="AC989" i="5"/>
  <c r="AD989" i="5" s="1"/>
  <c r="AC990" i="5"/>
  <c r="AD990" i="5" s="1"/>
  <c r="AC991" i="5"/>
  <c r="AD991" i="5" s="1"/>
  <c r="AC992" i="5"/>
  <c r="AD992" i="5" s="1"/>
  <c r="AC993" i="5"/>
  <c r="AD993" i="5" s="1"/>
  <c r="AC994" i="5"/>
  <c r="AD994" i="5" s="1"/>
  <c r="AC995" i="5"/>
  <c r="AD995" i="5" s="1"/>
  <c r="AC996" i="5"/>
  <c r="AD996" i="5" s="1"/>
  <c r="AC997" i="5"/>
  <c r="AD997" i="5" s="1"/>
  <c r="AC998" i="5"/>
  <c r="AD998" i="5" s="1"/>
  <c r="AC999" i="5"/>
  <c r="AD999" i="5" s="1"/>
  <c r="AC1000" i="5"/>
  <c r="AD1000" i="5" s="1"/>
  <c r="AC1001" i="5"/>
  <c r="AD1001" i="5" s="1"/>
  <c r="AC1002" i="5"/>
  <c r="AD1002" i="5" s="1"/>
  <c r="AC1003" i="5"/>
  <c r="AD1003" i="5" s="1"/>
  <c r="AC1004" i="5"/>
  <c r="AD1004" i="5" s="1"/>
  <c r="AC1005" i="5"/>
  <c r="AD1005" i="5" s="1"/>
  <c r="AC1006" i="5"/>
  <c r="AD1006" i="5" s="1"/>
  <c r="AC1007" i="5"/>
  <c r="AD1007" i="5" s="1"/>
  <c r="AC1008" i="5"/>
  <c r="AD1008" i="5" s="1"/>
  <c r="AC1009" i="5"/>
  <c r="AD1009" i="5" s="1"/>
  <c r="AC1010" i="5"/>
  <c r="AD1010" i="5" s="1"/>
  <c r="AC1011" i="5"/>
  <c r="AD1011" i="5" s="1"/>
  <c r="AC1012" i="5"/>
  <c r="AD1012" i="5" s="1"/>
  <c r="AC1013" i="5"/>
  <c r="AD1013" i="5" s="1"/>
  <c r="AC1014" i="5"/>
  <c r="AD1014" i="5" s="1"/>
  <c r="AC1015" i="5"/>
  <c r="AD1015" i="5" s="1"/>
  <c r="AC1016" i="5"/>
  <c r="AD1016" i="5" s="1"/>
  <c r="AC1017" i="5"/>
  <c r="AD1017" i="5" s="1"/>
  <c r="AC1018" i="5"/>
  <c r="AD1018" i="5" s="1"/>
  <c r="AC1019" i="5"/>
  <c r="AD1019" i="5" s="1"/>
  <c r="AC1020" i="5"/>
  <c r="AD1020" i="5" s="1"/>
  <c r="AC1021" i="5"/>
  <c r="AD1021" i="5" s="1"/>
  <c r="AC1022" i="5"/>
  <c r="AD1022" i="5" s="1"/>
  <c r="AC1023" i="5"/>
  <c r="AD1023" i="5" s="1"/>
  <c r="AC1024" i="5"/>
  <c r="AD1024" i="5" s="1"/>
  <c r="AC1025" i="5"/>
  <c r="AD1025" i="5" s="1"/>
  <c r="AC1026" i="5"/>
  <c r="AD1026" i="5" s="1"/>
  <c r="AC1027" i="5"/>
  <c r="AD1027" i="5" s="1"/>
  <c r="AC1028" i="5"/>
  <c r="AD1028" i="5" s="1"/>
  <c r="AC1029" i="5"/>
  <c r="AD1029" i="5" s="1"/>
  <c r="AC1030" i="5"/>
  <c r="AD1030" i="5" s="1"/>
  <c r="AC1031" i="5"/>
  <c r="AD1031" i="5" s="1"/>
  <c r="AC1032" i="5"/>
  <c r="AD1032" i="5" s="1"/>
  <c r="AC1033" i="5"/>
  <c r="AD1033" i="5" s="1"/>
  <c r="AC1034" i="5"/>
  <c r="AD1034" i="5" s="1"/>
  <c r="AC1035" i="5"/>
  <c r="AD1035" i="5" s="1"/>
  <c r="AC1036" i="5"/>
  <c r="AD1036" i="5" s="1"/>
  <c r="AC1037" i="5"/>
  <c r="AD1037" i="5" s="1"/>
  <c r="AC1038" i="5"/>
  <c r="AD1038" i="5" s="1"/>
  <c r="AC1039" i="5"/>
  <c r="AD1039" i="5" s="1"/>
  <c r="AC1040" i="5"/>
  <c r="AD1040" i="5" s="1"/>
  <c r="AC1041" i="5"/>
  <c r="AD1041" i="5" s="1"/>
  <c r="AC1042" i="5"/>
  <c r="AD1042" i="5" s="1"/>
  <c r="AC1043" i="5"/>
  <c r="AD1043" i="5" s="1"/>
  <c r="AC1044" i="5"/>
  <c r="AD1044" i="5" s="1"/>
  <c r="AC1045" i="5"/>
  <c r="AD1045" i="5" s="1"/>
  <c r="AC1046" i="5"/>
  <c r="AD1046" i="5" s="1"/>
  <c r="AC1047" i="5"/>
  <c r="AD1047" i="5" s="1"/>
  <c r="AC1048" i="5"/>
  <c r="AD1048" i="5" s="1"/>
  <c r="AC1049" i="5"/>
  <c r="AD1049" i="5" s="1"/>
  <c r="AC1050" i="5"/>
  <c r="AD1050" i="5" s="1"/>
  <c r="AC1051" i="5"/>
  <c r="AD1051" i="5" s="1"/>
  <c r="AC1052" i="5"/>
  <c r="AD1052" i="5" s="1"/>
  <c r="AC1053" i="5"/>
  <c r="AD1053" i="5" s="1"/>
  <c r="AC1054" i="5"/>
  <c r="AD1054" i="5" s="1"/>
  <c r="AC1055" i="5"/>
  <c r="AD1055" i="5" s="1"/>
  <c r="AC1056" i="5"/>
  <c r="AD1056" i="5" s="1"/>
  <c r="AC1057" i="5"/>
  <c r="AD1057" i="5" s="1"/>
  <c r="AC1058" i="5"/>
  <c r="AD1058" i="5" s="1"/>
  <c r="AC1059" i="5"/>
  <c r="AD1059" i="5" s="1"/>
  <c r="AC1060" i="5"/>
  <c r="AD1060" i="5" s="1"/>
  <c r="AC1061" i="5"/>
  <c r="AD1061" i="5" s="1"/>
  <c r="AC1062" i="5"/>
  <c r="AD1062" i="5" s="1"/>
  <c r="AC1063" i="5"/>
  <c r="AD1063" i="5" s="1"/>
  <c r="AC1064" i="5"/>
  <c r="AD1064" i="5" s="1"/>
  <c r="AC1065" i="5"/>
  <c r="AD1065" i="5" s="1"/>
  <c r="AC1066" i="5"/>
  <c r="AD1066" i="5" s="1"/>
  <c r="AC1067" i="5"/>
  <c r="AD1067" i="5" s="1"/>
  <c r="AC1068" i="5"/>
  <c r="AD1068" i="5" s="1"/>
  <c r="AC1069" i="5"/>
  <c r="AD1069" i="5" s="1"/>
  <c r="AC1070" i="5"/>
  <c r="AD1070" i="5" s="1"/>
  <c r="AC1071" i="5"/>
  <c r="AD1071" i="5" s="1"/>
  <c r="AC1072" i="5"/>
  <c r="AD1072" i="5" s="1"/>
  <c r="AC1073" i="5"/>
  <c r="AD1073" i="5" s="1"/>
  <c r="AC1074" i="5"/>
  <c r="AD1074" i="5" s="1"/>
  <c r="AC1075" i="5"/>
  <c r="AD1075" i="5" s="1"/>
  <c r="AC1076" i="5"/>
  <c r="AD1076" i="5" s="1"/>
  <c r="AC1077" i="5"/>
  <c r="AD1077" i="5" s="1"/>
  <c r="AC1078" i="5"/>
  <c r="AD1078" i="5" s="1"/>
  <c r="AC1079" i="5"/>
  <c r="AD1079" i="5" s="1"/>
  <c r="AC1080" i="5"/>
  <c r="AD1080" i="5" s="1"/>
  <c r="AC1081" i="5"/>
  <c r="AD1081" i="5" s="1"/>
  <c r="AC1082" i="5"/>
  <c r="AD1082" i="5" s="1"/>
  <c r="AC1083" i="5"/>
  <c r="AD1083" i="5" s="1"/>
  <c r="AC1084" i="5"/>
  <c r="AD1084" i="5" s="1"/>
  <c r="AC1085" i="5"/>
  <c r="AD1085" i="5" s="1"/>
  <c r="AC1086" i="5"/>
  <c r="AD1086" i="5" s="1"/>
  <c r="AC1087" i="5"/>
  <c r="AD1087" i="5" s="1"/>
  <c r="AC1088" i="5"/>
  <c r="AD1088" i="5" s="1"/>
  <c r="AC1089" i="5"/>
  <c r="AD1089" i="5" s="1"/>
  <c r="AC1090" i="5"/>
  <c r="AD1090" i="5" s="1"/>
  <c r="AC1091" i="5"/>
  <c r="AD1091" i="5" s="1"/>
  <c r="AC1092" i="5"/>
  <c r="AD1092" i="5" s="1"/>
  <c r="AC1093" i="5"/>
  <c r="AD1093" i="5" s="1"/>
  <c r="AC1094" i="5"/>
  <c r="AD1094" i="5" s="1"/>
  <c r="AC1095" i="5"/>
  <c r="AD1095" i="5" s="1"/>
  <c r="AC1096" i="5"/>
  <c r="AD1096" i="5" s="1"/>
  <c r="AC1097" i="5"/>
  <c r="AD1097" i="5" s="1"/>
  <c r="AC1098" i="5"/>
  <c r="AD1098" i="5" s="1"/>
  <c r="AC1099" i="5"/>
  <c r="AD1099" i="5" s="1"/>
  <c r="AC1100" i="5"/>
  <c r="AD1100" i="5" s="1"/>
  <c r="AC1101" i="5"/>
  <c r="AD1101" i="5" s="1"/>
  <c r="AC1102" i="5"/>
  <c r="AD1102" i="5" s="1"/>
  <c r="AC1103" i="5"/>
  <c r="AD1103" i="5" s="1"/>
  <c r="AC1104" i="5"/>
  <c r="AD1104" i="5" s="1"/>
  <c r="AC1105" i="5"/>
  <c r="AD1105" i="5" s="1"/>
  <c r="AC1106" i="5"/>
  <c r="AD1106" i="5" s="1"/>
  <c r="AC1107" i="5"/>
  <c r="AD1107" i="5" s="1"/>
  <c r="AC1108" i="5"/>
  <c r="AD1108" i="5" s="1"/>
  <c r="AC1109" i="5"/>
  <c r="AD1109" i="5" s="1"/>
  <c r="AC1110" i="5"/>
  <c r="AD1110" i="5" s="1"/>
  <c r="AC1111" i="5"/>
  <c r="AD1111" i="5" s="1"/>
  <c r="AC1112" i="5"/>
  <c r="AD1112" i="5" s="1"/>
  <c r="AC1113" i="5"/>
  <c r="AD1113" i="5" s="1"/>
  <c r="AC1114" i="5"/>
  <c r="AD1114" i="5" s="1"/>
  <c r="AC1115" i="5"/>
  <c r="AD1115" i="5" s="1"/>
  <c r="AC1116" i="5"/>
  <c r="AD1116" i="5" s="1"/>
  <c r="AC1117" i="5"/>
  <c r="AD1117" i="5" s="1"/>
  <c r="AC1118" i="5"/>
  <c r="AD1118" i="5" s="1"/>
  <c r="AC1119" i="5"/>
  <c r="AD1119" i="5" s="1"/>
  <c r="AC1120" i="5"/>
  <c r="AD1120" i="5" s="1"/>
  <c r="AC1121" i="5"/>
  <c r="AD1121" i="5" s="1"/>
  <c r="AC1122" i="5"/>
  <c r="AD1122" i="5" s="1"/>
  <c r="AC1123" i="5"/>
  <c r="AD1123" i="5" s="1"/>
  <c r="AC1124" i="5"/>
  <c r="AD1124" i="5" s="1"/>
  <c r="AC1125" i="5"/>
  <c r="AD1125" i="5" s="1"/>
  <c r="AC1126" i="5"/>
  <c r="AD1126" i="5" s="1"/>
  <c r="AC1127" i="5"/>
  <c r="AD1127" i="5" s="1"/>
  <c r="AC1128" i="5"/>
  <c r="AD1128" i="5" s="1"/>
  <c r="AC1129" i="5"/>
  <c r="AD1129" i="5" s="1"/>
  <c r="AC1130" i="5"/>
  <c r="AD1130" i="5" s="1"/>
  <c r="AC1131" i="5"/>
  <c r="AD1131" i="5" s="1"/>
  <c r="AC1132" i="5"/>
  <c r="AD1132" i="5" s="1"/>
  <c r="AC1133" i="5"/>
  <c r="AD1133" i="5" s="1"/>
  <c r="AC1134" i="5"/>
  <c r="AD1134" i="5" s="1"/>
  <c r="AC1135" i="5"/>
  <c r="AD1135" i="5" s="1"/>
  <c r="AC1136" i="5"/>
  <c r="AD1136" i="5" s="1"/>
  <c r="AC1137" i="5"/>
  <c r="AD1137" i="5" s="1"/>
  <c r="AC1138" i="5"/>
  <c r="AD1138" i="5" s="1"/>
  <c r="AC1139" i="5"/>
  <c r="AD1139" i="5" s="1"/>
  <c r="AC1140" i="5"/>
  <c r="AD1140" i="5" s="1"/>
  <c r="AC1141" i="5"/>
  <c r="AD1141" i="5" s="1"/>
  <c r="AC1142" i="5"/>
  <c r="AD1142" i="5" s="1"/>
  <c r="AC1143" i="5"/>
  <c r="AD1143" i="5" s="1"/>
  <c r="AC1144" i="5"/>
  <c r="AD1144" i="5" s="1"/>
  <c r="AC1145" i="5"/>
  <c r="AD1145" i="5" s="1"/>
  <c r="AC1146" i="5"/>
  <c r="AD1146" i="5" s="1"/>
  <c r="AC1147" i="5"/>
  <c r="AD1147" i="5" s="1"/>
  <c r="AC1148" i="5"/>
  <c r="AD1148" i="5" s="1"/>
  <c r="AC1149" i="5"/>
  <c r="AD1149" i="5" s="1"/>
  <c r="AC1150" i="5"/>
  <c r="AD1150" i="5" s="1"/>
  <c r="AC1151" i="5"/>
  <c r="AD1151" i="5" s="1"/>
  <c r="AC1152" i="5"/>
  <c r="AD1152" i="5" s="1"/>
  <c r="AC1153" i="5"/>
  <c r="AD1153" i="5" s="1"/>
  <c r="AC1154" i="5"/>
  <c r="AD1154" i="5" s="1"/>
  <c r="AC1155" i="5"/>
  <c r="AD1155" i="5" s="1"/>
  <c r="AC1156" i="5"/>
  <c r="AD1156" i="5" s="1"/>
  <c r="AC1157" i="5"/>
  <c r="AD1157" i="5" s="1"/>
  <c r="AC1158" i="5"/>
  <c r="AD1158" i="5" s="1"/>
  <c r="AC1159" i="5"/>
  <c r="AD1159" i="5" s="1"/>
  <c r="AC1160" i="5"/>
  <c r="AD1160" i="5" s="1"/>
  <c r="AC1161" i="5"/>
  <c r="AD1161" i="5" s="1"/>
  <c r="AC1162" i="5"/>
  <c r="AD1162" i="5" s="1"/>
  <c r="AC1163" i="5"/>
  <c r="AD1163" i="5" s="1"/>
  <c r="AC1164" i="5"/>
  <c r="AD1164" i="5" s="1"/>
  <c r="AC1165" i="5"/>
  <c r="AD1165" i="5" s="1"/>
  <c r="AC1166" i="5"/>
  <c r="AD1166" i="5" s="1"/>
  <c r="AC1167" i="5"/>
  <c r="AD1167" i="5" s="1"/>
  <c r="AC1168" i="5"/>
  <c r="AD1168" i="5" s="1"/>
  <c r="AC1169" i="5"/>
  <c r="AD1169" i="5" s="1"/>
  <c r="AC1170" i="5"/>
  <c r="AD1170" i="5" s="1"/>
  <c r="AC1171" i="5"/>
  <c r="AD1171" i="5" s="1"/>
  <c r="AC1172" i="5"/>
  <c r="AD1172" i="5" s="1"/>
  <c r="AC1173" i="5"/>
  <c r="AD1173" i="5" s="1"/>
  <c r="AC1174" i="5"/>
  <c r="AD1174" i="5" s="1"/>
  <c r="AC1175" i="5"/>
  <c r="AD1175" i="5" s="1"/>
  <c r="AC1176" i="5"/>
  <c r="AD1176" i="5" s="1"/>
  <c r="AC1177" i="5"/>
  <c r="AD1177" i="5" s="1"/>
  <c r="AC1178" i="5"/>
  <c r="AD1178" i="5" s="1"/>
  <c r="AC1179" i="5"/>
  <c r="AD1179" i="5" s="1"/>
  <c r="AC1180" i="5"/>
  <c r="AD1180" i="5" s="1"/>
  <c r="AC1181" i="5"/>
  <c r="AD1181" i="5" s="1"/>
  <c r="AC1182" i="5"/>
  <c r="AD1182" i="5" s="1"/>
  <c r="AC1183" i="5"/>
  <c r="AD1183" i="5" s="1"/>
  <c r="AC1184" i="5"/>
  <c r="AD1184" i="5" s="1"/>
  <c r="AC1185" i="5"/>
  <c r="AD1185" i="5" s="1"/>
  <c r="AC1186" i="5"/>
  <c r="AD1186" i="5" s="1"/>
  <c r="AC1187" i="5"/>
  <c r="AD1187" i="5" s="1"/>
  <c r="AC1188" i="5"/>
  <c r="AD1188" i="5" s="1"/>
  <c r="AC1189" i="5"/>
  <c r="AD1189" i="5" s="1"/>
  <c r="AC1190" i="5"/>
  <c r="AD1190" i="5" s="1"/>
  <c r="AC1191" i="5"/>
  <c r="AD1191" i="5" s="1"/>
  <c r="AC1192" i="5"/>
  <c r="AD1192" i="5" s="1"/>
  <c r="AC1193" i="5"/>
  <c r="AD1193" i="5" s="1"/>
  <c r="AC1194" i="5"/>
  <c r="AD1194" i="5" s="1"/>
  <c r="AC1195" i="5"/>
  <c r="AD1195" i="5" s="1"/>
  <c r="AC1196" i="5"/>
  <c r="AD1196" i="5" s="1"/>
  <c r="AC1197" i="5"/>
  <c r="AD1197" i="5" s="1"/>
  <c r="AC1198" i="5"/>
  <c r="AD1198" i="5" s="1"/>
  <c r="AC1199" i="5"/>
  <c r="AD1199" i="5" s="1"/>
  <c r="AC1200" i="5"/>
  <c r="AD1200" i="5" s="1"/>
  <c r="AC1201" i="5"/>
  <c r="AD1201" i="5" s="1"/>
  <c r="AC1202" i="5"/>
  <c r="AD1202" i="5" s="1"/>
  <c r="AC1203" i="5"/>
  <c r="AD1203" i="5" s="1"/>
  <c r="AC1204" i="5"/>
  <c r="AD1204" i="5" s="1"/>
  <c r="AC1205" i="5"/>
  <c r="AD1205" i="5" s="1"/>
  <c r="AC1206" i="5"/>
  <c r="AD1206" i="5" s="1"/>
  <c r="AC1207" i="5"/>
  <c r="AD1207" i="5" s="1"/>
  <c r="AC1208" i="5"/>
  <c r="AD1208" i="5" s="1"/>
  <c r="AC1209" i="5"/>
  <c r="AD1209" i="5" s="1"/>
  <c r="AC1210" i="5"/>
  <c r="AD1210" i="5" s="1"/>
  <c r="AC1211" i="5"/>
  <c r="AD1211" i="5" s="1"/>
  <c r="AC1212" i="5"/>
  <c r="AD1212" i="5" s="1"/>
  <c r="AC1213" i="5"/>
  <c r="AD1213" i="5" s="1"/>
  <c r="AC1214" i="5"/>
  <c r="AD1214" i="5" s="1"/>
  <c r="AC1215" i="5"/>
  <c r="AD1215" i="5" s="1"/>
  <c r="AC1216" i="5"/>
  <c r="AD1216" i="5" s="1"/>
  <c r="AC1217" i="5"/>
  <c r="AD1217" i="5" s="1"/>
  <c r="AC1218" i="5"/>
  <c r="AD1218" i="5" s="1"/>
  <c r="AC1219" i="5"/>
  <c r="AD1219" i="5" s="1"/>
  <c r="AC1220" i="5"/>
  <c r="AD1220" i="5" s="1"/>
  <c r="AC1221" i="5"/>
  <c r="AD1221" i="5" s="1"/>
  <c r="AC1222" i="5"/>
  <c r="AD1222" i="5" s="1"/>
  <c r="AC1223" i="5"/>
  <c r="AD1223" i="5" s="1"/>
  <c r="AC1224" i="5"/>
  <c r="AD1224" i="5" s="1"/>
  <c r="AC1225" i="5"/>
  <c r="AD1225" i="5" s="1"/>
  <c r="AC1226" i="5"/>
  <c r="AD1226" i="5" s="1"/>
  <c r="AC1227" i="5"/>
  <c r="AD1227" i="5" s="1"/>
  <c r="AC1228" i="5"/>
  <c r="AD1228" i="5" s="1"/>
  <c r="AC1229" i="5"/>
  <c r="AD1229" i="5" s="1"/>
  <c r="AC1230" i="5"/>
  <c r="AD1230" i="5" s="1"/>
  <c r="AC1231" i="5"/>
  <c r="AD1231" i="5" s="1"/>
  <c r="AC1232" i="5"/>
  <c r="AD1232" i="5" s="1"/>
  <c r="AC1233" i="5"/>
  <c r="AD1233" i="5" s="1"/>
  <c r="AC1234" i="5"/>
  <c r="AD1234" i="5" s="1"/>
  <c r="AC1235" i="5"/>
  <c r="AD1235" i="5" s="1"/>
  <c r="AC1236" i="5"/>
  <c r="AD1236" i="5" s="1"/>
  <c r="AC1237" i="5"/>
  <c r="AD1237" i="5" s="1"/>
  <c r="AC1238" i="5"/>
  <c r="AD1238" i="5" s="1"/>
  <c r="AC1239" i="5"/>
  <c r="AD1239" i="5" s="1"/>
  <c r="AC1240" i="5"/>
  <c r="AD1240" i="5" s="1"/>
  <c r="AC1241" i="5"/>
  <c r="AD1241" i="5" s="1"/>
  <c r="AC1242" i="5"/>
  <c r="AD1242" i="5" s="1"/>
  <c r="AC1243" i="5"/>
  <c r="AD1243" i="5" s="1"/>
  <c r="AC1244" i="5"/>
  <c r="AD1244" i="5" s="1"/>
  <c r="AC1245" i="5"/>
  <c r="AD1245" i="5" s="1"/>
  <c r="AC1246" i="5"/>
  <c r="AD1246" i="5" s="1"/>
  <c r="AC1247" i="5"/>
  <c r="AD1247" i="5" s="1"/>
  <c r="AC1248" i="5"/>
  <c r="AD1248" i="5" s="1"/>
  <c r="AC1249" i="5"/>
  <c r="AD1249" i="5" s="1"/>
  <c r="AC1250" i="5"/>
  <c r="AD1250" i="5" s="1"/>
  <c r="AC1251" i="5"/>
  <c r="AD1251" i="5" s="1"/>
  <c r="AC1252" i="5"/>
  <c r="AD1252" i="5" s="1"/>
  <c r="AC1253" i="5"/>
  <c r="AD1253" i="5" s="1"/>
  <c r="AC1254" i="5"/>
  <c r="AD1254" i="5" s="1"/>
  <c r="AC1255" i="5"/>
  <c r="AD1255" i="5" s="1"/>
  <c r="AC1256" i="5"/>
  <c r="AD1256" i="5" s="1"/>
  <c r="AC1257" i="5"/>
  <c r="AD1257" i="5" s="1"/>
  <c r="AC1258" i="5"/>
  <c r="AD1258" i="5" s="1"/>
  <c r="AC1259" i="5"/>
  <c r="AD1259" i="5" s="1"/>
  <c r="AC1260" i="5"/>
  <c r="AD1260" i="5" s="1"/>
  <c r="AC1261" i="5"/>
  <c r="AD1261" i="5" s="1"/>
  <c r="AC1262" i="5"/>
  <c r="AD1262" i="5" s="1"/>
  <c r="AC1263" i="5"/>
  <c r="AD1263" i="5" s="1"/>
  <c r="AC1264" i="5"/>
  <c r="AD1264" i="5" s="1"/>
  <c r="AC1265" i="5"/>
  <c r="AD1265" i="5" s="1"/>
  <c r="AC1266" i="5"/>
  <c r="AD1266" i="5" s="1"/>
  <c r="AC1267" i="5"/>
  <c r="AD1267" i="5" s="1"/>
  <c r="AC1268" i="5"/>
  <c r="AD1268" i="5" s="1"/>
  <c r="AC1269" i="5"/>
  <c r="AD1269" i="5" s="1"/>
  <c r="AC1270" i="5"/>
  <c r="AD1270" i="5" s="1"/>
  <c r="AC1271" i="5"/>
  <c r="AD1271" i="5" s="1"/>
  <c r="AC1272" i="5"/>
  <c r="AD1272" i="5" s="1"/>
  <c r="AC1273" i="5"/>
  <c r="AD1273" i="5" s="1"/>
  <c r="AC1274" i="5"/>
  <c r="AD1274" i="5" s="1"/>
  <c r="AC1275" i="5"/>
  <c r="AD1275" i="5" s="1"/>
  <c r="AC1276" i="5"/>
  <c r="AD1276" i="5" s="1"/>
  <c r="AC1277" i="5"/>
  <c r="AD1277" i="5" s="1"/>
  <c r="AC1278" i="5"/>
  <c r="AD1278" i="5" s="1"/>
  <c r="AC1279" i="5"/>
  <c r="AD1279" i="5" s="1"/>
  <c r="AC1280" i="5"/>
  <c r="AD1280" i="5" s="1"/>
  <c r="AC1281" i="5"/>
  <c r="AD1281" i="5" s="1"/>
  <c r="AC1282" i="5"/>
  <c r="AD1282" i="5" s="1"/>
  <c r="AC1283" i="5"/>
  <c r="AD1283" i="5" s="1"/>
  <c r="AC1284" i="5"/>
  <c r="AD1284" i="5" s="1"/>
  <c r="AC1285" i="5"/>
  <c r="AD1285" i="5" s="1"/>
  <c r="AC1286" i="5"/>
  <c r="AD1286" i="5" s="1"/>
  <c r="AC1287" i="5"/>
  <c r="AD1287" i="5" s="1"/>
  <c r="AC1288" i="5"/>
  <c r="AD1288" i="5" s="1"/>
  <c r="AC1289" i="5"/>
  <c r="AD1289" i="5" s="1"/>
  <c r="AC1290" i="5"/>
  <c r="AD1290" i="5" s="1"/>
  <c r="AC1291" i="5"/>
  <c r="AD1291" i="5" s="1"/>
  <c r="AC1292" i="5"/>
  <c r="AD1292" i="5" s="1"/>
  <c r="AC1293" i="5"/>
  <c r="AD1293" i="5" s="1"/>
  <c r="AC1294" i="5"/>
  <c r="AD1294" i="5" s="1"/>
  <c r="AC1295" i="5"/>
  <c r="AD1295" i="5" s="1"/>
  <c r="AC1296" i="5"/>
  <c r="AD1296" i="5" s="1"/>
  <c r="AC1297" i="5"/>
  <c r="AD1297" i="5" s="1"/>
  <c r="AC1298" i="5"/>
  <c r="AD1298" i="5" s="1"/>
  <c r="AC1299" i="5"/>
  <c r="AD1299" i="5" s="1"/>
  <c r="AC1300" i="5"/>
  <c r="AD1300" i="5" s="1"/>
  <c r="AC1301" i="5"/>
  <c r="AD1301" i="5" s="1"/>
  <c r="AC1302" i="5"/>
  <c r="AD1302" i="5" s="1"/>
  <c r="AC1303" i="5"/>
  <c r="AD1303" i="5" s="1"/>
  <c r="AC1304" i="5"/>
  <c r="AD1304" i="5" s="1"/>
  <c r="AC1305" i="5"/>
  <c r="AD1305" i="5" s="1"/>
  <c r="AC1306" i="5"/>
  <c r="AD1306" i="5" s="1"/>
  <c r="AC1307" i="5"/>
  <c r="AD1307" i="5" s="1"/>
  <c r="AC1308" i="5"/>
  <c r="AD1308" i="5" s="1"/>
  <c r="AC1309" i="5"/>
  <c r="AD1309" i="5" s="1"/>
  <c r="AC1310" i="5"/>
  <c r="AD1310" i="5" s="1"/>
  <c r="AC1311" i="5"/>
  <c r="AD1311" i="5" s="1"/>
  <c r="AC1312" i="5"/>
  <c r="AD1312" i="5" s="1"/>
  <c r="AC1313" i="5"/>
  <c r="AD1313" i="5" s="1"/>
  <c r="AC1314" i="5"/>
  <c r="AD1314" i="5" s="1"/>
  <c r="AC1315" i="5"/>
  <c r="AD1315" i="5" s="1"/>
  <c r="AC1316" i="5"/>
  <c r="AD1316" i="5" s="1"/>
  <c r="AC1317" i="5"/>
  <c r="AD1317" i="5" s="1"/>
  <c r="AC1318" i="5"/>
  <c r="AD1318" i="5" s="1"/>
  <c r="AC1319" i="5"/>
  <c r="AD1319" i="5" s="1"/>
  <c r="AC1320" i="5"/>
  <c r="AD1320" i="5" s="1"/>
  <c r="AC1321" i="5"/>
  <c r="AD1321" i="5" s="1"/>
  <c r="AC1322" i="5"/>
  <c r="AD1322" i="5" s="1"/>
  <c r="AC1323" i="5"/>
  <c r="AD1323" i="5" s="1"/>
  <c r="AC1324" i="5"/>
  <c r="AD1324" i="5" s="1"/>
  <c r="AC1325" i="5"/>
  <c r="AD1325" i="5" s="1"/>
  <c r="AC1326" i="5"/>
  <c r="AD1326" i="5" s="1"/>
  <c r="AC1327" i="5"/>
  <c r="AD1327" i="5" s="1"/>
  <c r="AC1328" i="5"/>
  <c r="AD1328" i="5" s="1"/>
  <c r="AC1329" i="5"/>
  <c r="AD1329" i="5" s="1"/>
  <c r="AC1330" i="5"/>
  <c r="AD1330" i="5" s="1"/>
  <c r="AC1331" i="5"/>
  <c r="AD1331" i="5" s="1"/>
  <c r="AC1332" i="5"/>
  <c r="AD1332" i="5" s="1"/>
  <c r="AC1333" i="5"/>
  <c r="AD1333" i="5" s="1"/>
  <c r="AC1334" i="5"/>
  <c r="AD1334" i="5" s="1"/>
  <c r="AC1335" i="5"/>
  <c r="AD1335" i="5" s="1"/>
  <c r="AC1336" i="5"/>
  <c r="AD1336" i="5" s="1"/>
  <c r="AC1337" i="5"/>
  <c r="AD1337" i="5" s="1"/>
  <c r="AC1338" i="5"/>
  <c r="AD1338" i="5" s="1"/>
  <c r="AC1339" i="5"/>
  <c r="AD1339" i="5" s="1"/>
  <c r="AC1340" i="5"/>
  <c r="AD1340" i="5" s="1"/>
  <c r="AC1341" i="5"/>
  <c r="AD1341" i="5" s="1"/>
  <c r="AC1342" i="5"/>
  <c r="AD1342" i="5" s="1"/>
  <c r="AC1343" i="5"/>
  <c r="AD1343" i="5" s="1"/>
  <c r="AC1344" i="5"/>
  <c r="AD1344" i="5" s="1"/>
  <c r="AC1345" i="5"/>
  <c r="AD1345" i="5" s="1"/>
  <c r="AC1346" i="5"/>
  <c r="AD1346" i="5" s="1"/>
  <c r="AC1347" i="5"/>
  <c r="AD1347" i="5" s="1"/>
  <c r="AC1348" i="5"/>
  <c r="AD1348" i="5" s="1"/>
  <c r="AC1349" i="5"/>
  <c r="AD1349" i="5" s="1"/>
  <c r="AC1350" i="5"/>
  <c r="AD1350" i="5" s="1"/>
  <c r="AC1351" i="5"/>
  <c r="AD1351" i="5" s="1"/>
  <c r="AC1352" i="5"/>
  <c r="AD1352" i="5" s="1"/>
  <c r="AC1353" i="5"/>
  <c r="AD1353" i="5" s="1"/>
  <c r="AC1354" i="5"/>
  <c r="AD1354" i="5" s="1"/>
  <c r="AC1355" i="5"/>
  <c r="AD1355" i="5" s="1"/>
  <c r="AC1356" i="5"/>
  <c r="AD1356" i="5" s="1"/>
  <c r="AC1357" i="5"/>
  <c r="AD1357" i="5" s="1"/>
  <c r="AC1358" i="5"/>
  <c r="AD1358" i="5" s="1"/>
  <c r="AC1359" i="5"/>
  <c r="AD1359" i="5" s="1"/>
  <c r="AC1360" i="5"/>
  <c r="AD1360" i="5" s="1"/>
  <c r="AC1361" i="5"/>
  <c r="AD1361" i="5" s="1"/>
  <c r="AC1362" i="5"/>
  <c r="AD1362" i="5" s="1"/>
  <c r="AC1363" i="5"/>
  <c r="AD1363" i="5" s="1"/>
  <c r="AC1364" i="5"/>
  <c r="AD1364" i="5" s="1"/>
  <c r="AC1365" i="5"/>
  <c r="AD1365" i="5" s="1"/>
  <c r="AC1366" i="5"/>
  <c r="AD1366" i="5" s="1"/>
  <c r="AC1367" i="5"/>
  <c r="AD1367" i="5" s="1"/>
  <c r="AC1368" i="5"/>
  <c r="AD1368" i="5" s="1"/>
  <c r="AC1369" i="5"/>
  <c r="AD1369" i="5" s="1"/>
  <c r="AC1370" i="5"/>
  <c r="AD1370" i="5" s="1"/>
  <c r="AC1371" i="5"/>
  <c r="AD1371" i="5" s="1"/>
  <c r="AC1372" i="5"/>
  <c r="AD1372" i="5" s="1"/>
  <c r="AC1373" i="5"/>
  <c r="AD1373" i="5" s="1"/>
  <c r="AC1374" i="5"/>
  <c r="AD1374" i="5" s="1"/>
  <c r="AC1375" i="5"/>
  <c r="AD1375" i="5" s="1"/>
  <c r="AC1376" i="5"/>
  <c r="AD1376" i="5" s="1"/>
  <c r="AC1377" i="5"/>
  <c r="AD1377" i="5" s="1"/>
  <c r="AC1378" i="5"/>
  <c r="AD1378" i="5" s="1"/>
  <c r="AC1379" i="5"/>
  <c r="AD1379" i="5" s="1"/>
  <c r="AC1380" i="5"/>
  <c r="AD1380" i="5" s="1"/>
  <c r="AC1381" i="5"/>
  <c r="AD1381" i="5" s="1"/>
  <c r="AC1382" i="5"/>
  <c r="AD1382" i="5" s="1"/>
  <c r="AC1383" i="5"/>
  <c r="AD1383" i="5" s="1"/>
  <c r="AC1384" i="5"/>
  <c r="AD1384" i="5" s="1"/>
  <c r="AC1385" i="5"/>
  <c r="AD1385" i="5" s="1"/>
  <c r="AC1386" i="5"/>
  <c r="AD1386" i="5" s="1"/>
  <c r="AC1387" i="5"/>
  <c r="AD1387" i="5" s="1"/>
  <c r="AC1388" i="5"/>
  <c r="AD1388" i="5" s="1"/>
  <c r="AC1389" i="5"/>
  <c r="AD1389" i="5" s="1"/>
  <c r="AC1390" i="5"/>
  <c r="AD1390" i="5" s="1"/>
  <c r="AC1391" i="5"/>
  <c r="AD1391" i="5" s="1"/>
  <c r="AC1392" i="5"/>
  <c r="AD1392" i="5" s="1"/>
  <c r="AC1393" i="5"/>
  <c r="AD1393" i="5" s="1"/>
  <c r="AC1394" i="5"/>
  <c r="AD1394" i="5" s="1"/>
  <c r="AC1395" i="5"/>
  <c r="AD1395" i="5" s="1"/>
  <c r="AC1396" i="5"/>
  <c r="AD1396" i="5" s="1"/>
  <c r="AC1397" i="5"/>
  <c r="AD1397" i="5" s="1"/>
  <c r="AC1398" i="5"/>
  <c r="AD1398" i="5" s="1"/>
  <c r="AC1399" i="5"/>
  <c r="AD1399" i="5" s="1"/>
  <c r="AC1400" i="5"/>
  <c r="AD1400" i="5" s="1"/>
  <c r="AC1401" i="5"/>
  <c r="AD1401" i="5" s="1"/>
  <c r="AC1402" i="5"/>
  <c r="AD1402" i="5" s="1"/>
  <c r="AC1403" i="5"/>
  <c r="AD1403" i="5" s="1"/>
  <c r="AC1404" i="5"/>
  <c r="AD1404" i="5" s="1"/>
  <c r="AC1405" i="5"/>
  <c r="AD1405" i="5" s="1"/>
  <c r="AC1406" i="5"/>
  <c r="AD1406" i="5" s="1"/>
  <c r="AC1407" i="5"/>
  <c r="AD1407" i="5" s="1"/>
  <c r="AC1408" i="5"/>
  <c r="AD1408" i="5" s="1"/>
  <c r="AC1409" i="5"/>
  <c r="AD1409" i="5" s="1"/>
  <c r="AC1410" i="5"/>
  <c r="AD1410" i="5" s="1"/>
  <c r="AC1411" i="5"/>
  <c r="AD1411" i="5" s="1"/>
  <c r="AC1412" i="5"/>
  <c r="AD1412" i="5" s="1"/>
  <c r="AC1413" i="5"/>
  <c r="AD1413" i="5" s="1"/>
  <c r="AC1414" i="5"/>
  <c r="AD1414" i="5" s="1"/>
  <c r="AC1415" i="5"/>
  <c r="AD1415" i="5" s="1"/>
  <c r="AC1416" i="5"/>
  <c r="AD1416" i="5" s="1"/>
  <c r="AC1417" i="5"/>
  <c r="AD1417" i="5" s="1"/>
  <c r="AC1418" i="5"/>
  <c r="AD1418" i="5" s="1"/>
  <c r="AC1419" i="5"/>
  <c r="AD1419" i="5" s="1"/>
  <c r="AC1420" i="5"/>
  <c r="AD1420" i="5" s="1"/>
  <c r="AC1421" i="5"/>
  <c r="AD1421" i="5" s="1"/>
  <c r="AC1422" i="5"/>
  <c r="AD1422" i="5" s="1"/>
  <c r="AC1423" i="5"/>
  <c r="AD1423" i="5" s="1"/>
  <c r="AC1424" i="5"/>
  <c r="AD1424" i="5" s="1"/>
  <c r="AC1425" i="5"/>
  <c r="AD1425" i="5" s="1"/>
  <c r="AC1426" i="5"/>
  <c r="AD1426" i="5" s="1"/>
  <c r="AC1427" i="5"/>
  <c r="AD1427" i="5" s="1"/>
  <c r="AC1428" i="5"/>
  <c r="AD1428" i="5" s="1"/>
  <c r="AC1429" i="5"/>
  <c r="AD1429" i="5" s="1"/>
  <c r="AC1430" i="5"/>
  <c r="AD1430" i="5" s="1"/>
  <c r="AC1431" i="5"/>
  <c r="AD1431" i="5" s="1"/>
  <c r="AC1432" i="5"/>
  <c r="AD1432" i="5" s="1"/>
  <c r="AC1433" i="5"/>
  <c r="AD1433" i="5" s="1"/>
  <c r="AC1434" i="5"/>
  <c r="AD1434" i="5" s="1"/>
  <c r="AC1435" i="5"/>
  <c r="AD1435" i="5" s="1"/>
  <c r="AC1436" i="5"/>
  <c r="AD1436" i="5" s="1"/>
  <c r="AC1437" i="5"/>
  <c r="AD1437" i="5" s="1"/>
  <c r="AC1438" i="5"/>
  <c r="AD1438" i="5" s="1"/>
  <c r="AC1439" i="5"/>
  <c r="AD1439" i="5" s="1"/>
  <c r="AC1440" i="5"/>
  <c r="AD1440" i="5" s="1"/>
  <c r="AC1441" i="5"/>
  <c r="AD1441" i="5" s="1"/>
  <c r="AC1442" i="5"/>
  <c r="AD1442" i="5" s="1"/>
  <c r="AC1443" i="5"/>
  <c r="AD1443" i="5" s="1"/>
  <c r="AC1444" i="5"/>
  <c r="AD1444" i="5" s="1"/>
  <c r="AC1445" i="5"/>
  <c r="AD1445" i="5" s="1"/>
  <c r="AC1446" i="5"/>
  <c r="AD1446" i="5" s="1"/>
  <c r="AC1447" i="5"/>
  <c r="AD1447" i="5" s="1"/>
  <c r="AC1448" i="5"/>
  <c r="AD1448" i="5" s="1"/>
  <c r="AC1449" i="5"/>
  <c r="AD1449" i="5" s="1"/>
  <c r="AC1450" i="5"/>
  <c r="AD1450" i="5" s="1"/>
  <c r="AC1451" i="5"/>
  <c r="AD1451" i="5" s="1"/>
  <c r="AC1452" i="5"/>
  <c r="AD1452" i="5" s="1"/>
  <c r="AC1453" i="5"/>
  <c r="AD1453" i="5" s="1"/>
  <c r="AC1454" i="5"/>
  <c r="AD1454" i="5" s="1"/>
  <c r="AC1455" i="5"/>
  <c r="AD1455" i="5" s="1"/>
  <c r="AC1456" i="5"/>
  <c r="AD1456" i="5" s="1"/>
  <c r="AC1457" i="5"/>
  <c r="AD1457" i="5" s="1"/>
  <c r="AC1458" i="5"/>
  <c r="AD1458" i="5" s="1"/>
  <c r="AC1459" i="5"/>
  <c r="AD1459" i="5" s="1"/>
  <c r="AC1460" i="5"/>
  <c r="AD1460" i="5" s="1"/>
  <c r="AC1461" i="5"/>
  <c r="AD1461" i="5" s="1"/>
  <c r="AC1462" i="5"/>
  <c r="AD1462" i="5" s="1"/>
  <c r="AC1463" i="5"/>
  <c r="AD1463" i="5" s="1"/>
  <c r="AC1464" i="5"/>
  <c r="AD1464" i="5" s="1"/>
  <c r="AC1465" i="5"/>
  <c r="AD1465" i="5" s="1"/>
  <c r="AC1466" i="5"/>
  <c r="AD1466" i="5" s="1"/>
  <c r="AC1467" i="5"/>
  <c r="AD1467" i="5" s="1"/>
  <c r="AC1468" i="5"/>
  <c r="AD1468" i="5" s="1"/>
  <c r="AC1469" i="5"/>
  <c r="AD1469" i="5" s="1"/>
  <c r="AC1470" i="5"/>
  <c r="AD1470" i="5" s="1"/>
  <c r="AC1471" i="5"/>
  <c r="AD1471" i="5" s="1"/>
  <c r="AC1472" i="5"/>
  <c r="AD1472" i="5" s="1"/>
  <c r="AC1473" i="5"/>
  <c r="AD1473" i="5" s="1"/>
  <c r="AC1474" i="5"/>
  <c r="AD1474" i="5" s="1"/>
  <c r="AC1475" i="5"/>
  <c r="AD1475" i="5" s="1"/>
  <c r="AC1476" i="5"/>
  <c r="AD1476" i="5" s="1"/>
  <c r="AC1477" i="5"/>
  <c r="AD1477" i="5" s="1"/>
  <c r="AC1478" i="5"/>
  <c r="AD1478" i="5" s="1"/>
  <c r="AC1479" i="5"/>
  <c r="AD1479" i="5" s="1"/>
  <c r="AC1480" i="5"/>
  <c r="AD1480" i="5" s="1"/>
  <c r="AC1481" i="5"/>
  <c r="AD1481" i="5" s="1"/>
  <c r="AC1482" i="5"/>
  <c r="AD1482" i="5" s="1"/>
  <c r="AC1483" i="5"/>
  <c r="AD1483" i="5" s="1"/>
  <c r="AC1484" i="5"/>
  <c r="AD1484" i="5" s="1"/>
  <c r="AC1485" i="5"/>
  <c r="AD1485" i="5" s="1"/>
  <c r="AC1486" i="5"/>
  <c r="AD1486" i="5" s="1"/>
  <c r="AC1487" i="5"/>
  <c r="AD1487" i="5" s="1"/>
  <c r="AC1488" i="5"/>
  <c r="AD1488" i="5" s="1"/>
  <c r="AC1489" i="5"/>
  <c r="AD1489" i="5" s="1"/>
  <c r="AC1490" i="5"/>
  <c r="AD1490" i="5" s="1"/>
  <c r="AC1491" i="5"/>
  <c r="AD1491" i="5" s="1"/>
  <c r="AC1492" i="5"/>
  <c r="AD1492" i="5" s="1"/>
  <c r="AC1493" i="5"/>
  <c r="AD1493" i="5" s="1"/>
  <c r="AC1494" i="5"/>
  <c r="AD1494" i="5" s="1"/>
  <c r="AC1495" i="5"/>
  <c r="AD1495" i="5" s="1"/>
  <c r="AC1496" i="5"/>
  <c r="AD1496" i="5" s="1"/>
  <c r="AC1497" i="5"/>
  <c r="AD1497" i="5" s="1"/>
  <c r="AC1498" i="5"/>
  <c r="AD1498" i="5" s="1"/>
  <c r="AC1499" i="5"/>
  <c r="AD1499" i="5" s="1"/>
  <c r="AC1500" i="5"/>
  <c r="AD1500" i="5" s="1"/>
  <c r="AC1501" i="5"/>
  <c r="AD1501" i="5" s="1"/>
  <c r="AC1502" i="5"/>
  <c r="AD1502" i="5" s="1"/>
  <c r="AC1503" i="5"/>
  <c r="AD1503" i="5" s="1"/>
  <c r="AC1504" i="5"/>
  <c r="AD1504" i="5" s="1"/>
  <c r="AC1505" i="5"/>
  <c r="AD1505" i="5" s="1"/>
  <c r="AC1506" i="5"/>
  <c r="AD1506" i="5" s="1"/>
  <c r="AC1507" i="5"/>
  <c r="AD1507" i="5" s="1"/>
  <c r="AC1508" i="5"/>
  <c r="AD1508" i="5" s="1"/>
  <c r="AC1509" i="5"/>
  <c r="AD1509" i="5" s="1"/>
  <c r="AC1510" i="5"/>
  <c r="AD1510" i="5" s="1"/>
  <c r="AC1511" i="5"/>
  <c r="AD1511" i="5" s="1"/>
  <c r="AC1512" i="5"/>
  <c r="AD1512" i="5" s="1"/>
  <c r="AC1513" i="5"/>
  <c r="AD1513" i="5" s="1"/>
  <c r="AC1514" i="5"/>
  <c r="AD1514" i="5" s="1"/>
  <c r="AC1515" i="5"/>
  <c r="AD1515" i="5" s="1"/>
  <c r="AC1516" i="5"/>
  <c r="AD1516" i="5" s="1"/>
  <c r="AC1517" i="5"/>
  <c r="AD1517" i="5" s="1"/>
  <c r="AC1518" i="5"/>
  <c r="AD1518" i="5" s="1"/>
  <c r="AC1519" i="5"/>
  <c r="AD1519" i="5" s="1"/>
  <c r="AC1520" i="5"/>
  <c r="AD1520" i="5" s="1"/>
  <c r="AC1521" i="5"/>
  <c r="AD1521" i="5" s="1"/>
  <c r="AC1522" i="5"/>
  <c r="AD1522" i="5" s="1"/>
  <c r="AC1523" i="5"/>
  <c r="AD1523" i="5" s="1"/>
  <c r="AC1524" i="5"/>
  <c r="AD1524" i="5" s="1"/>
  <c r="AC1525" i="5"/>
  <c r="AD1525" i="5" s="1"/>
  <c r="AC1526" i="5"/>
  <c r="AD1526" i="5" s="1"/>
  <c r="AC1527" i="5"/>
  <c r="AD1527" i="5" s="1"/>
  <c r="AC1528" i="5"/>
  <c r="AD1528" i="5" s="1"/>
  <c r="AC1529" i="5"/>
  <c r="AD1529" i="5" s="1"/>
  <c r="AC1530" i="5"/>
  <c r="AD1530" i="5" s="1"/>
  <c r="AC1531" i="5"/>
  <c r="AD1531" i="5" s="1"/>
  <c r="AC1532" i="5"/>
  <c r="AD1532" i="5" s="1"/>
  <c r="AC1533" i="5"/>
  <c r="AD1533" i="5" s="1"/>
  <c r="AC1534" i="5"/>
  <c r="AD1534" i="5" s="1"/>
  <c r="AC1535" i="5"/>
  <c r="AD1535" i="5" s="1"/>
  <c r="AC1536" i="5"/>
  <c r="AD1536" i="5" s="1"/>
  <c r="AC1537" i="5"/>
  <c r="AD1537" i="5" s="1"/>
  <c r="AC1538" i="5"/>
  <c r="AD1538" i="5" s="1"/>
  <c r="AC1539" i="5"/>
  <c r="AD1539" i="5" s="1"/>
  <c r="AC1540" i="5"/>
  <c r="AD1540" i="5" s="1"/>
  <c r="AC1541" i="5"/>
  <c r="AD1541" i="5" s="1"/>
  <c r="AC1542" i="5"/>
  <c r="AD1542" i="5" s="1"/>
  <c r="AC1543" i="5"/>
  <c r="AD1543" i="5" s="1"/>
  <c r="AC1544" i="5"/>
  <c r="AD1544" i="5" s="1"/>
  <c r="AC1545" i="5"/>
  <c r="AD1545" i="5" s="1"/>
  <c r="AC1546" i="5"/>
  <c r="AD1546" i="5" s="1"/>
  <c r="AC1547" i="5"/>
  <c r="AD1547" i="5" s="1"/>
  <c r="AC1548" i="5"/>
  <c r="AD1548" i="5" s="1"/>
  <c r="AC1549" i="5"/>
  <c r="AD1549" i="5" s="1"/>
  <c r="AC1550" i="5"/>
  <c r="AD1550" i="5" s="1"/>
  <c r="AC1551" i="5"/>
  <c r="AD1551" i="5" s="1"/>
  <c r="AC1552" i="5"/>
  <c r="AD1552" i="5" s="1"/>
  <c r="AC1553" i="5"/>
  <c r="AD1553" i="5" s="1"/>
  <c r="AC1554" i="5"/>
  <c r="AD1554" i="5" s="1"/>
  <c r="AC1555" i="5"/>
  <c r="AD1555" i="5" s="1"/>
  <c r="AC1556" i="5"/>
  <c r="AD1556" i="5" s="1"/>
  <c r="AC1557" i="5"/>
  <c r="AD1557" i="5" s="1"/>
  <c r="AC1558" i="5"/>
  <c r="AD1558" i="5" s="1"/>
  <c r="AC1559" i="5"/>
  <c r="AD1559" i="5" s="1"/>
  <c r="AC1560" i="5"/>
  <c r="AD1560" i="5" s="1"/>
  <c r="AC1561" i="5"/>
  <c r="AD1561" i="5" s="1"/>
  <c r="AC1562" i="5"/>
  <c r="AD1562" i="5" s="1"/>
  <c r="AC1563" i="5"/>
  <c r="AD1563" i="5" s="1"/>
  <c r="AC1564" i="5"/>
  <c r="AD1564" i="5" s="1"/>
  <c r="AC1565" i="5"/>
  <c r="AD1565" i="5" s="1"/>
  <c r="AC1566" i="5"/>
  <c r="AD1566" i="5" s="1"/>
  <c r="AC1567" i="5"/>
  <c r="AD1567" i="5" s="1"/>
  <c r="AC1568" i="5"/>
  <c r="AD1568" i="5" s="1"/>
  <c r="AC1569" i="5"/>
  <c r="AD1569" i="5" s="1"/>
  <c r="AC1570" i="5"/>
  <c r="AD1570" i="5" s="1"/>
  <c r="AC1571" i="5"/>
  <c r="AD1571" i="5" s="1"/>
  <c r="AC1572" i="5"/>
  <c r="AD1572" i="5" s="1"/>
  <c r="AC1573" i="5"/>
  <c r="AD1573" i="5" s="1"/>
  <c r="AC1574" i="5"/>
  <c r="AD1574" i="5" s="1"/>
  <c r="AC1575" i="5"/>
  <c r="AD1575" i="5" s="1"/>
  <c r="AC1576" i="5"/>
  <c r="AD1576" i="5" s="1"/>
  <c r="AC1577" i="5"/>
  <c r="AD1577" i="5" s="1"/>
  <c r="AC1578" i="5"/>
  <c r="AD1578" i="5" s="1"/>
  <c r="AC1579" i="5"/>
  <c r="AD1579" i="5" s="1"/>
  <c r="AC1580" i="5"/>
  <c r="AD1580" i="5" s="1"/>
  <c r="AC1581" i="5"/>
  <c r="AD1581" i="5" s="1"/>
  <c r="AC1582" i="5"/>
  <c r="AD1582" i="5" s="1"/>
  <c r="AC1583" i="5"/>
  <c r="AD1583" i="5" s="1"/>
  <c r="AC1584" i="5"/>
  <c r="AD1584" i="5" s="1"/>
  <c r="AC1585" i="5"/>
  <c r="AD1585" i="5" s="1"/>
  <c r="AC1586" i="5"/>
  <c r="AD1586" i="5" s="1"/>
  <c r="AC1587" i="5"/>
  <c r="AD1587" i="5" s="1"/>
  <c r="AC1588" i="5"/>
  <c r="AD1588" i="5" s="1"/>
  <c r="AC1589" i="5"/>
  <c r="AD1589" i="5" s="1"/>
  <c r="AC1590" i="5"/>
  <c r="AD1590" i="5" s="1"/>
  <c r="AC1591" i="5"/>
  <c r="AD1591" i="5" s="1"/>
  <c r="AC1592" i="5"/>
  <c r="AD1592" i="5" s="1"/>
  <c r="AC1593" i="5"/>
  <c r="AD1593" i="5" s="1"/>
  <c r="AC1594" i="5"/>
  <c r="AD1594" i="5" s="1"/>
  <c r="AC1595" i="5"/>
  <c r="AD1595" i="5" s="1"/>
  <c r="AC1596" i="5"/>
  <c r="AD1596" i="5" s="1"/>
  <c r="AC1597" i="5"/>
  <c r="AD1597" i="5" s="1"/>
  <c r="AC1598" i="5"/>
  <c r="AD1598" i="5" s="1"/>
  <c r="AC1599" i="5"/>
  <c r="AD1599" i="5" s="1"/>
  <c r="AC1600" i="5"/>
  <c r="AD1600" i="5" s="1"/>
  <c r="AC1601" i="5"/>
  <c r="AD1601" i="5" s="1"/>
  <c r="AC1602" i="5"/>
  <c r="AD1602" i="5" s="1"/>
  <c r="AC1603" i="5"/>
  <c r="AD1603" i="5" s="1"/>
  <c r="AC1604" i="5"/>
  <c r="AD1604" i="5" s="1"/>
  <c r="AC1605" i="5"/>
  <c r="AD1605" i="5" s="1"/>
  <c r="AC1606" i="5"/>
  <c r="AD1606" i="5" s="1"/>
  <c r="AC1607" i="5"/>
  <c r="AD1607" i="5" s="1"/>
  <c r="AC1608" i="5"/>
  <c r="AD1608" i="5" s="1"/>
  <c r="AC1609" i="5"/>
  <c r="AD1609" i="5" s="1"/>
  <c r="AC1610" i="5"/>
  <c r="AD1610" i="5" s="1"/>
  <c r="AC1611" i="5"/>
  <c r="AD1611" i="5" s="1"/>
  <c r="AC1612" i="5"/>
  <c r="AD1612" i="5" s="1"/>
  <c r="AC1613" i="5"/>
  <c r="AD1613" i="5" s="1"/>
  <c r="AC1614" i="5"/>
  <c r="AD1614" i="5" s="1"/>
  <c r="AC1615" i="5"/>
  <c r="AD1615" i="5" s="1"/>
  <c r="AC1616" i="5"/>
  <c r="AD1616" i="5" s="1"/>
  <c r="AC1617" i="5"/>
  <c r="AD1617" i="5" s="1"/>
  <c r="AC1618" i="5"/>
  <c r="AD1618" i="5" s="1"/>
  <c r="AC1619" i="5"/>
  <c r="AD1619" i="5" s="1"/>
  <c r="AC1620" i="5"/>
  <c r="AD1620" i="5" s="1"/>
  <c r="AC1621" i="5"/>
  <c r="AD1621" i="5" s="1"/>
  <c r="AC1622" i="5"/>
  <c r="AD1622" i="5" s="1"/>
  <c r="AC1623" i="5"/>
  <c r="AD1623" i="5" s="1"/>
  <c r="AC1624" i="5"/>
  <c r="AD1624" i="5" s="1"/>
  <c r="AC1625" i="5"/>
  <c r="AD1625" i="5" s="1"/>
  <c r="AC1626" i="5"/>
  <c r="AD1626" i="5" s="1"/>
  <c r="AC1627" i="5"/>
  <c r="AD1627" i="5" s="1"/>
  <c r="AC1628" i="5"/>
  <c r="AD1628" i="5" s="1"/>
  <c r="AC1629" i="5"/>
  <c r="AD1629" i="5" s="1"/>
  <c r="AC1630" i="5"/>
  <c r="AD1630" i="5" s="1"/>
  <c r="AC1631" i="5"/>
  <c r="AD1631" i="5" s="1"/>
  <c r="AC1632" i="5"/>
  <c r="AD1632" i="5" s="1"/>
  <c r="AC1633" i="5"/>
  <c r="AD1633" i="5" s="1"/>
  <c r="AC1634" i="5"/>
  <c r="AD1634" i="5" s="1"/>
  <c r="AC1635" i="5"/>
  <c r="AD1635" i="5" s="1"/>
  <c r="AC1636" i="5"/>
  <c r="AD1636" i="5" s="1"/>
  <c r="AC1637" i="5"/>
  <c r="AD1637" i="5" s="1"/>
  <c r="AC1638" i="5"/>
  <c r="AD1638" i="5" s="1"/>
  <c r="AC1639" i="5"/>
  <c r="AD1639" i="5" s="1"/>
  <c r="AC1640" i="5"/>
  <c r="AD1640" i="5" s="1"/>
  <c r="AC1641" i="5"/>
  <c r="AD1641" i="5" s="1"/>
  <c r="AC1642" i="5"/>
  <c r="AD1642" i="5" s="1"/>
  <c r="AC1643" i="5"/>
  <c r="AD1643" i="5" s="1"/>
  <c r="AC1644" i="5"/>
  <c r="AD1644" i="5" s="1"/>
  <c r="AC1645" i="5"/>
  <c r="AD1645" i="5" s="1"/>
  <c r="AC1646" i="5"/>
  <c r="AD1646" i="5" s="1"/>
  <c r="AC1647" i="5"/>
  <c r="AD1647" i="5" s="1"/>
  <c r="AC1648" i="5"/>
  <c r="AD1648" i="5" s="1"/>
  <c r="AC1649" i="5"/>
  <c r="AD1649" i="5" s="1"/>
  <c r="AC1650" i="5"/>
  <c r="AD1650" i="5" s="1"/>
  <c r="AC1651" i="5"/>
  <c r="AD1651" i="5" s="1"/>
  <c r="AC1652" i="5"/>
  <c r="AD1652" i="5" s="1"/>
  <c r="AC1653" i="5"/>
  <c r="AD1653" i="5" s="1"/>
  <c r="AC1654" i="5"/>
  <c r="AD1654" i="5" s="1"/>
  <c r="AC1655" i="5"/>
  <c r="AD1655" i="5" s="1"/>
  <c r="AC1656" i="5"/>
  <c r="AD1656" i="5" s="1"/>
  <c r="AC1657" i="5"/>
  <c r="AD1657" i="5" s="1"/>
  <c r="AC1658" i="5"/>
  <c r="AD1658" i="5" s="1"/>
  <c r="AC1659" i="5"/>
  <c r="AD1659" i="5" s="1"/>
  <c r="AC1660" i="5"/>
  <c r="AD1660" i="5" s="1"/>
  <c r="AC1661" i="5"/>
  <c r="AD1661" i="5" s="1"/>
  <c r="AC1662" i="5"/>
  <c r="AD1662" i="5" s="1"/>
  <c r="AC1663" i="5"/>
  <c r="AD1663" i="5" s="1"/>
  <c r="AC1664" i="5"/>
  <c r="AD1664" i="5" s="1"/>
  <c r="AC1665" i="5"/>
  <c r="AD1665" i="5" s="1"/>
  <c r="AC1666" i="5"/>
  <c r="AD1666" i="5" s="1"/>
  <c r="AC1667" i="5"/>
  <c r="AD1667" i="5" s="1"/>
  <c r="AC1668" i="5"/>
  <c r="AD1668" i="5" s="1"/>
  <c r="AC1669" i="5"/>
  <c r="AD1669" i="5" s="1"/>
  <c r="AC1670" i="5"/>
  <c r="AD1670" i="5" s="1"/>
  <c r="AC1671" i="5"/>
  <c r="AD1671" i="5" s="1"/>
  <c r="AC1672" i="5"/>
  <c r="AD1672" i="5" s="1"/>
  <c r="AC1673" i="5"/>
  <c r="AD1673" i="5" s="1"/>
  <c r="AC1674" i="5"/>
  <c r="AD1674" i="5" s="1"/>
  <c r="AC1675" i="5"/>
  <c r="AD1675" i="5" s="1"/>
  <c r="AC1676" i="5"/>
  <c r="AD1676" i="5" s="1"/>
  <c r="AC1677" i="5"/>
  <c r="AD1677" i="5" s="1"/>
  <c r="AC1678" i="5"/>
  <c r="AD1678" i="5" s="1"/>
  <c r="AC1679" i="5"/>
  <c r="AD1679" i="5" s="1"/>
  <c r="AC1680" i="5"/>
  <c r="AD1680" i="5" s="1"/>
  <c r="AC1681" i="5"/>
  <c r="AD1681" i="5" s="1"/>
  <c r="AC1682" i="5"/>
  <c r="AD1682" i="5" s="1"/>
  <c r="AC1683" i="5"/>
  <c r="AD1683" i="5" s="1"/>
  <c r="AC1684" i="5"/>
  <c r="AD1684" i="5" s="1"/>
  <c r="AC1685" i="5"/>
  <c r="AD1685" i="5" s="1"/>
  <c r="AC1686" i="5"/>
  <c r="AD1686" i="5" s="1"/>
  <c r="AC1687" i="5"/>
  <c r="AD1687" i="5" s="1"/>
  <c r="AC1688" i="5"/>
  <c r="AD1688" i="5" s="1"/>
  <c r="AC1689" i="5"/>
  <c r="AD1689" i="5" s="1"/>
  <c r="AC1690" i="5"/>
  <c r="AD1690" i="5" s="1"/>
  <c r="AC1691" i="5"/>
  <c r="AD1691" i="5" s="1"/>
  <c r="AC1692" i="5"/>
  <c r="AD1692" i="5" s="1"/>
  <c r="AC1693" i="5"/>
  <c r="AD1693" i="5" s="1"/>
  <c r="AC1694" i="5"/>
  <c r="AD1694" i="5" s="1"/>
  <c r="AC1695" i="5"/>
  <c r="AD1695" i="5" s="1"/>
  <c r="AC1696" i="5"/>
  <c r="AD1696" i="5" s="1"/>
  <c r="AC1697" i="5"/>
  <c r="AD1697" i="5" s="1"/>
  <c r="AC1698" i="5"/>
  <c r="AD1698" i="5" s="1"/>
  <c r="AC1699" i="5"/>
  <c r="AD1699" i="5" s="1"/>
  <c r="AC1700" i="5"/>
  <c r="AD1700" i="5" s="1"/>
  <c r="AC1701" i="5"/>
  <c r="AD1701" i="5" s="1"/>
  <c r="AC1702" i="5"/>
  <c r="AD1702" i="5" s="1"/>
  <c r="AC1703" i="5"/>
  <c r="AD1703" i="5" s="1"/>
  <c r="AC1704" i="5"/>
  <c r="AD1704" i="5" s="1"/>
  <c r="AC1705" i="5"/>
  <c r="AD1705" i="5" s="1"/>
  <c r="AC1706" i="5"/>
  <c r="AD1706" i="5" s="1"/>
  <c r="AC1707" i="5"/>
  <c r="AD1707" i="5" s="1"/>
  <c r="AC1708" i="5"/>
  <c r="AD1708" i="5" s="1"/>
  <c r="AC1709" i="5"/>
  <c r="AD1709" i="5" s="1"/>
  <c r="AC1710" i="5"/>
  <c r="AD1710" i="5" s="1"/>
  <c r="AC1711" i="5"/>
  <c r="AD1711" i="5" s="1"/>
  <c r="AC1712" i="5"/>
  <c r="AD1712" i="5" s="1"/>
  <c r="AC1713" i="5"/>
  <c r="AD1713" i="5" s="1"/>
  <c r="AC1714" i="5"/>
  <c r="AD1714" i="5" s="1"/>
  <c r="AC1715" i="5"/>
  <c r="AD1715" i="5" s="1"/>
  <c r="AC1716" i="5"/>
  <c r="AD1716" i="5" s="1"/>
  <c r="AC1717" i="5"/>
  <c r="AD1717" i="5" s="1"/>
  <c r="AC1718" i="5"/>
  <c r="AD1718" i="5" s="1"/>
  <c r="AC1719" i="5"/>
  <c r="AD1719" i="5" s="1"/>
  <c r="AC1720" i="5"/>
  <c r="AD1720" i="5" s="1"/>
  <c r="AC1721" i="5"/>
  <c r="AD1721" i="5" s="1"/>
  <c r="AC1722" i="5"/>
  <c r="AD1722" i="5" s="1"/>
  <c r="AC1723" i="5"/>
  <c r="AD1723" i="5" s="1"/>
  <c r="AC1724" i="5"/>
  <c r="AD1724" i="5" s="1"/>
  <c r="AC1725" i="5"/>
  <c r="AD1725" i="5" s="1"/>
  <c r="AC1726" i="5"/>
  <c r="AD1726" i="5" s="1"/>
  <c r="AC1727" i="5"/>
  <c r="AD1727" i="5" s="1"/>
  <c r="AC1728" i="5"/>
  <c r="AD1728" i="5" s="1"/>
  <c r="AC1729" i="5"/>
  <c r="AD1729" i="5" s="1"/>
  <c r="AC1730" i="5"/>
  <c r="AD1730" i="5" s="1"/>
  <c r="AC1731" i="5"/>
  <c r="AD1731" i="5" s="1"/>
  <c r="AC1732" i="5"/>
  <c r="AD1732" i="5" s="1"/>
  <c r="AC1733" i="5"/>
  <c r="AD1733" i="5" s="1"/>
  <c r="AC1734" i="5"/>
  <c r="AD1734" i="5" s="1"/>
  <c r="AC1735" i="5"/>
  <c r="AD1735" i="5" s="1"/>
  <c r="AC1736" i="5"/>
  <c r="AD1736" i="5" s="1"/>
  <c r="AC1737" i="5"/>
  <c r="AD1737" i="5" s="1"/>
  <c r="AC1738" i="5"/>
  <c r="AD1738" i="5" s="1"/>
  <c r="AC1739" i="5"/>
  <c r="AD1739" i="5" s="1"/>
  <c r="AC1740" i="5"/>
  <c r="AD1740" i="5" s="1"/>
  <c r="AC1741" i="5"/>
  <c r="AD1741" i="5" s="1"/>
  <c r="AC1742" i="5"/>
  <c r="AD1742" i="5" s="1"/>
  <c r="AC1743" i="5"/>
  <c r="AD1743" i="5" s="1"/>
  <c r="AC1744" i="5"/>
  <c r="AD1744" i="5" s="1"/>
  <c r="AC1745" i="5"/>
  <c r="AD1745" i="5" s="1"/>
  <c r="AC1746" i="5"/>
  <c r="AD1746" i="5" s="1"/>
  <c r="AC1747" i="5"/>
  <c r="AD1747" i="5" s="1"/>
  <c r="AC1748" i="5"/>
  <c r="AD1748" i="5" s="1"/>
  <c r="AC1749" i="5"/>
  <c r="AD1749" i="5" s="1"/>
  <c r="AC1750" i="5"/>
  <c r="AD1750" i="5" s="1"/>
  <c r="AC1751" i="5"/>
  <c r="AD1751" i="5" s="1"/>
  <c r="AC1752" i="5"/>
  <c r="AD1752" i="5" s="1"/>
  <c r="AC1753" i="5"/>
  <c r="AD1753" i="5" s="1"/>
  <c r="AC1754" i="5"/>
  <c r="AD1754" i="5" s="1"/>
  <c r="AC1755" i="5"/>
  <c r="AD1755" i="5" s="1"/>
  <c r="AC1756" i="5"/>
  <c r="AD1756" i="5" s="1"/>
  <c r="AC1757" i="5"/>
  <c r="AD1757" i="5" s="1"/>
  <c r="AC1758" i="5"/>
  <c r="AD1758" i="5" s="1"/>
  <c r="AC1759" i="5"/>
  <c r="AD1759" i="5" s="1"/>
  <c r="AC1760" i="5"/>
  <c r="AD1760" i="5" s="1"/>
  <c r="AC1761" i="5"/>
  <c r="AD1761" i="5" s="1"/>
  <c r="AC1762" i="5"/>
  <c r="AD1762" i="5" s="1"/>
  <c r="AC1763" i="5"/>
  <c r="AD1763" i="5" s="1"/>
  <c r="AC1764" i="5"/>
  <c r="AD1764" i="5" s="1"/>
  <c r="AC1765" i="5"/>
  <c r="AD1765" i="5" s="1"/>
  <c r="AC1766" i="5"/>
  <c r="AD1766" i="5" s="1"/>
  <c r="AC1767" i="5"/>
  <c r="AD1767" i="5" s="1"/>
  <c r="AC1768" i="5"/>
  <c r="AD1768" i="5" s="1"/>
  <c r="AC1769" i="5"/>
  <c r="AD1769" i="5" s="1"/>
  <c r="AC1770" i="5"/>
  <c r="AD1770" i="5" s="1"/>
  <c r="AC1771" i="5"/>
  <c r="AD1771" i="5" s="1"/>
  <c r="AC1772" i="5"/>
  <c r="AD1772" i="5" s="1"/>
  <c r="AC1773" i="5"/>
  <c r="AD1773" i="5" s="1"/>
  <c r="AC1774" i="5"/>
  <c r="AD1774" i="5" s="1"/>
  <c r="AC1775" i="5"/>
  <c r="AD1775" i="5" s="1"/>
  <c r="AC1776" i="5"/>
  <c r="AD1776" i="5" s="1"/>
  <c r="AC1777" i="5"/>
  <c r="AD1777" i="5" s="1"/>
  <c r="AC1778" i="5"/>
  <c r="AD1778" i="5" s="1"/>
  <c r="AC1779" i="5"/>
  <c r="AD1779" i="5" s="1"/>
  <c r="AC1780" i="5"/>
  <c r="AD1780" i="5" s="1"/>
  <c r="AC1781" i="5"/>
  <c r="AD1781" i="5" s="1"/>
  <c r="AC1782" i="5"/>
  <c r="AD1782" i="5" s="1"/>
  <c r="AC1783" i="5"/>
  <c r="AD1783" i="5" s="1"/>
  <c r="AC1784" i="5"/>
  <c r="AD1784" i="5" s="1"/>
  <c r="AC1785" i="5"/>
  <c r="AD1785" i="5" s="1"/>
  <c r="AC1786" i="5"/>
  <c r="AD1786" i="5" s="1"/>
  <c r="AC1787" i="5"/>
  <c r="AD1787" i="5" s="1"/>
  <c r="AC1788" i="5"/>
  <c r="AD1788" i="5" s="1"/>
  <c r="AC1789" i="5"/>
  <c r="AD1789" i="5" s="1"/>
  <c r="AC1790" i="5"/>
  <c r="AD1790" i="5" s="1"/>
  <c r="AC1791" i="5"/>
  <c r="AD1791" i="5" s="1"/>
  <c r="AC1792" i="5"/>
  <c r="AD1792" i="5" s="1"/>
  <c r="AC1793" i="5"/>
  <c r="AD1793" i="5" s="1"/>
  <c r="AC1794" i="5"/>
  <c r="AD1794" i="5" s="1"/>
  <c r="AC1795" i="5"/>
  <c r="AD1795" i="5" s="1"/>
  <c r="AC1796" i="5"/>
  <c r="AD1796" i="5" s="1"/>
  <c r="AC1797" i="5"/>
  <c r="AD1797" i="5" s="1"/>
  <c r="AC1798" i="5"/>
  <c r="AD1798" i="5" s="1"/>
  <c r="AC1799" i="5"/>
  <c r="AD1799" i="5" s="1"/>
  <c r="AC1800" i="5"/>
  <c r="AD1800" i="5" s="1"/>
  <c r="AC1801" i="5"/>
  <c r="AD1801" i="5" s="1"/>
  <c r="AC1802" i="5"/>
  <c r="AD1802" i="5" s="1"/>
  <c r="AC1803" i="5"/>
  <c r="AD1803" i="5" s="1"/>
  <c r="AC1804" i="5"/>
  <c r="AD1804" i="5" s="1"/>
  <c r="AC1805" i="5"/>
  <c r="AD1805" i="5" s="1"/>
  <c r="AC1806" i="5"/>
  <c r="AD1806" i="5" s="1"/>
  <c r="AC1807" i="5"/>
  <c r="AD1807" i="5" s="1"/>
  <c r="AC1808" i="5"/>
  <c r="AD1808" i="5" s="1"/>
  <c r="AC1809" i="5"/>
  <c r="AD1809" i="5" s="1"/>
  <c r="AC1810" i="5"/>
  <c r="AD1810" i="5" s="1"/>
  <c r="AC1811" i="5"/>
  <c r="AD1811" i="5" s="1"/>
  <c r="AC1812" i="5"/>
  <c r="AD1812" i="5" s="1"/>
  <c r="AC1813" i="5"/>
  <c r="AD1813" i="5" s="1"/>
  <c r="AC1814" i="5"/>
  <c r="AD1814" i="5" s="1"/>
  <c r="AC1815" i="5"/>
  <c r="AD1815" i="5" s="1"/>
  <c r="AC1816" i="5"/>
  <c r="AD1816" i="5" s="1"/>
  <c r="AC1817" i="5"/>
  <c r="AD1817" i="5" s="1"/>
  <c r="AC1818" i="5"/>
  <c r="AD1818" i="5" s="1"/>
  <c r="AC1819" i="5"/>
  <c r="AD1819" i="5" s="1"/>
  <c r="AC1820" i="5"/>
  <c r="AD1820" i="5" s="1"/>
  <c r="AC1821" i="5"/>
  <c r="AD1821" i="5" s="1"/>
  <c r="AC1822" i="5"/>
  <c r="AD1822" i="5" s="1"/>
  <c r="AC1823" i="5"/>
  <c r="AD1823" i="5" s="1"/>
  <c r="AC1824" i="5"/>
  <c r="AD1824" i="5" s="1"/>
  <c r="AC1825" i="5"/>
  <c r="AD1825" i="5" s="1"/>
  <c r="AC1826" i="5"/>
  <c r="AD1826" i="5" s="1"/>
  <c r="AC1827" i="5"/>
  <c r="AD1827" i="5" s="1"/>
  <c r="AC1828" i="5"/>
  <c r="AD1828" i="5" s="1"/>
  <c r="AC1829" i="5"/>
  <c r="AD1829" i="5" s="1"/>
  <c r="AC1830" i="5"/>
  <c r="AD1830" i="5" s="1"/>
  <c r="AC1831" i="5"/>
  <c r="AD1831" i="5" s="1"/>
  <c r="AC1832" i="5"/>
  <c r="AD1832" i="5" s="1"/>
  <c r="AC1833" i="5"/>
  <c r="AD1833" i="5" s="1"/>
  <c r="AC1834" i="5"/>
  <c r="AD1834" i="5" s="1"/>
  <c r="AC1835" i="5"/>
  <c r="AD1835" i="5" s="1"/>
  <c r="AC1836" i="5"/>
  <c r="AD1836" i="5" s="1"/>
  <c r="AC1837" i="5"/>
  <c r="AD1837" i="5" s="1"/>
  <c r="AC1838" i="5"/>
  <c r="AD1838" i="5" s="1"/>
  <c r="AC1839" i="5"/>
  <c r="AD1839" i="5" s="1"/>
  <c r="AC1840" i="5"/>
  <c r="AD1840" i="5" s="1"/>
  <c r="AC1841" i="5"/>
  <c r="AD1841" i="5" s="1"/>
  <c r="AC1842" i="5"/>
  <c r="AD1842" i="5" s="1"/>
  <c r="AC1843" i="5"/>
  <c r="AD1843" i="5" s="1"/>
  <c r="AC1844" i="5"/>
  <c r="AD1844" i="5" s="1"/>
  <c r="AC1845" i="5"/>
  <c r="AD1845" i="5" s="1"/>
  <c r="AC1846" i="5"/>
  <c r="AD1846" i="5" s="1"/>
  <c r="AC1847" i="5"/>
  <c r="AD1847" i="5" s="1"/>
  <c r="AC1848" i="5"/>
  <c r="AD1848" i="5" s="1"/>
  <c r="AC1849" i="5"/>
  <c r="AD1849" i="5" s="1"/>
  <c r="AC1850" i="5"/>
  <c r="AD1850" i="5" s="1"/>
  <c r="AC1851" i="5"/>
  <c r="AD1851" i="5" s="1"/>
  <c r="AC1852" i="5"/>
  <c r="AD1852" i="5" s="1"/>
  <c r="AC1853" i="5"/>
  <c r="AD1853" i="5" s="1"/>
  <c r="AC1854" i="5"/>
  <c r="AD1854" i="5" s="1"/>
  <c r="AC1855" i="5"/>
  <c r="AD1855" i="5" s="1"/>
  <c r="AC1856" i="5"/>
  <c r="AD1856" i="5" s="1"/>
  <c r="AC1857" i="5"/>
  <c r="AD1857" i="5" s="1"/>
  <c r="AC1858" i="5"/>
  <c r="AD1858" i="5" s="1"/>
  <c r="AC1859" i="5"/>
  <c r="AD1859" i="5" s="1"/>
  <c r="AC1860" i="5"/>
  <c r="AD1860" i="5" s="1"/>
  <c r="AC1861" i="5"/>
  <c r="AD1861" i="5" s="1"/>
  <c r="AC1862" i="5"/>
  <c r="AD1862" i="5" s="1"/>
  <c r="AC1863" i="5"/>
  <c r="AD1863" i="5" s="1"/>
  <c r="AC1864" i="5"/>
  <c r="AD1864" i="5" s="1"/>
  <c r="AC1865" i="5"/>
  <c r="AD1865" i="5" s="1"/>
  <c r="AC1866" i="5"/>
  <c r="AD1866" i="5" s="1"/>
  <c r="AC1867" i="5"/>
  <c r="AD1867" i="5" s="1"/>
  <c r="AC1868" i="5"/>
  <c r="AD1868" i="5" s="1"/>
  <c r="AC1869" i="5"/>
  <c r="AD1869" i="5" s="1"/>
  <c r="AC1870" i="5"/>
  <c r="AD1870" i="5" s="1"/>
  <c r="AC1871" i="5"/>
  <c r="AD1871" i="5" s="1"/>
  <c r="AC1872" i="5"/>
  <c r="AD1872" i="5" s="1"/>
  <c r="AC1873" i="5"/>
  <c r="AD1873" i="5" s="1"/>
  <c r="AC1874" i="5"/>
  <c r="AD1874" i="5" s="1"/>
  <c r="AC1875" i="5"/>
  <c r="AD1875" i="5" s="1"/>
  <c r="AC1876" i="5"/>
  <c r="AD1876" i="5" s="1"/>
  <c r="AC1877" i="5"/>
  <c r="AD1877" i="5" s="1"/>
  <c r="AC1878" i="5"/>
  <c r="AD1878" i="5" s="1"/>
  <c r="AC1879" i="5"/>
  <c r="AD1879" i="5" s="1"/>
  <c r="AC1880" i="5"/>
  <c r="AD1880" i="5" s="1"/>
  <c r="AC1881" i="5"/>
  <c r="AD1881" i="5" s="1"/>
  <c r="AC1882" i="5"/>
  <c r="AD1882" i="5" s="1"/>
  <c r="AC1883" i="5"/>
  <c r="AD1883" i="5" s="1"/>
  <c r="AC1884" i="5"/>
  <c r="AD1884" i="5" s="1"/>
  <c r="AC1885" i="5"/>
  <c r="AD1885" i="5" s="1"/>
  <c r="AC1886" i="5"/>
  <c r="AD1886" i="5" s="1"/>
  <c r="AC1887" i="5"/>
  <c r="AD1887" i="5" s="1"/>
  <c r="AC1888" i="5"/>
  <c r="AD1888" i="5" s="1"/>
  <c r="AC1889" i="5"/>
  <c r="AD1889" i="5" s="1"/>
  <c r="AC1890" i="5"/>
  <c r="AD1890" i="5" s="1"/>
  <c r="AC1891" i="5"/>
  <c r="AD1891" i="5" s="1"/>
  <c r="AC1892" i="5"/>
  <c r="AD1892" i="5" s="1"/>
  <c r="AC1893" i="5"/>
  <c r="AD1893" i="5" s="1"/>
  <c r="AC1894" i="5"/>
  <c r="AD1894" i="5" s="1"/>
  <c r="AC1895" i="5"/>
  <c r="AD1895" i="5" s="1"/>
  <c r="AC1896" i="5"/>
  <c r="AD1896" i="5" s="1"/>
  <c r="AC1897" i="5"/>
  <c r="AD1897" i="5" s="1"/>
  <c r="AC1898" i="5"/>
  <c r="AD1898" i="5" s="1"/>
  <c r="AC1899" i="5"/>
  <c r="AD1899" i="5" s="1"/>
  <c r="AC1900" i="5"/>
  <c r="AD1900" i="5" s="1"/>
  <c r="AC1901" i="5"/>
  <c r="AD1901" i="5" s="1"/>
  <c r="AC1902" i="5"/>
  <c r="AD1902" i="5" s="1"/>
  <c r="AC1903" i="5"/>
  <c r="AD1903" i="5" s="1"/>
  <c r="AC1904" i="5"/>
  <c r="AD1904" i="5" s="1"/>
  <c r="AC1905" i="5"/>
  <c r="AD1905" i="5" s="1"/>
  <c r="AC1906" i="5"/>
  <c r="AD1906" i="5" s="1"/>
  <c r="AC1907" i="5"/>
  <c r="AD1907" i="5" s="1"/>
  <c r="AC1908" i="5"/>
  <c r="AD1908" i="5" s="1"/>
  <c r="AC1909" i="5"/>
  <c r="AD1909" i="5" s="1"/>
  <c r="AC1910" i="5"/>
  <c r="AD1910" i="5" s="1"/>
  <c r="AC1911" i="5"/>
  <c r="AD1911" i="5" s="1"/>
  <c r="AC1912" i="5"/>
  <c r="AD1912" i="5" s="1"/>
  <c r="AC1913" i="5"/>
  <c r="AD1913" i="5" s="1"/>
  <c r="AC1914" i="5"/>
  <c r="AD1914" i="5" s="1"/>
  <c r="AC1915" i="5"/>
  <c r="AD1915" i="5" s="1"/>
  <c r="AC1916" i="5"/>
  <c r="AD1916" i="5" s="1"/>
  <c r="AC1917" i="5"/>
  <c r="AD1917" i="5" s="1"/>
  <c r="AC1918" i="5"/>
  <c r="AD1918" i="5" s="1"/>
  <c r="AC1919" i="5"/>
  <c r="AD1919" i="5" s="1"/>
  <c r="AC1920" i="5"/>
  <c r="AD1920" i="5" s="1"/>
  <c r="AC1921" i="5"/>
  <c r="AD1921" i="5" s="1"/>
  <c r="AC1922" i="5"/>
  <c r="AD1922" i="5" s="1"/>
  <c r="AC1923" i="5"/>
  <c r="AD1923" i="5" s="1"/>
  <c r="AC1924" i="5"/>
  <c r="AD1924" i="5" s="1"/>
  <c r="AC1925" i="5"/>
  <c r="AD1925" i="5" s="1"/>
  <c r="AC1926" i="5"/>
  <c r="AD1926" i="5" s="1"/>
  <c r="AC1927" i="5"/>
  <c r="AD1927" i="5" s="1"/>
  <c r="AC1928" i="5"/>
  <c r="AD1928" i="5" s="1"/>
  <c r="AC1929" i="5"/>
  <c r="AD1929" i="5" s="1"/>
  <c r="AC1930" i="5"/>
  <c r="AD1930" i="5" s="1"/>
  <c r="AC1931" i="5"/>
  <c r="AD1931" i="5" s="1"/>
  <c r="AC1932" i="5"/>
  <c r="AD1932" i="5" s="1"/>
  <c r="AC1933" i="5"/>
  <c r="AD1933" i="5" s="1"/>
  <c r="AC1934" i="5"/>
  <c r="AD1934" i="5" s="1"/>
  <c r="AC1935" i="5"/>
  <c r="AD1935" i="5" s="1"/>
  <c r="AC1936" i="5"/>
  <c r="AD1936" i="5" s="1"/>
  <c r="AC1937" i="5"/>
  <c r="AD1937" i="5" s="1"/>
  <c r="AC1938" i="5"/>
  <c r="AD1938" i="5" s="1"/>
  <c r="AC1939" i="5"/>
  <c r="AD1939" i="5" s="1"/>
  <c r="AC1940" i="5"/>
  <c r="AD1940" i="5" s="1"/>
  <c r="AC1941" i="5"/>
  <c r="AD1941" i="5" s="1"/>
  <c r="AC1942" i="5"/>
  <c r="AD1942" i="5" s="1"/>
  <c r="AC1943" i="5"/>
  <c r="AD1943" i="5" s="1"/>
  <c r="AC1944" i="5"/>
  <c r="AD1944" i="5" s="1"/>
  <c r="AC1945" i="5"/>
  <c r="AD1945" i="5" s="1"/>
  <c r="AC1946" i="5"/>
  <c r="AD1946" i="5" s="1"/>
  <c r="AC1947" i="5"/>
  <c r="AD1947" i="5" s="1"/>
  <c r="AC1948" i="5"/>
  <c r="AD1948" i="5" s="1"/>
  <c r="AC1949" i="5"/>
  <c r="AD1949" i="5" s="1"/>
  <c r="AC1950" i="5"/>
  <c r="AD1950" i="5" s="1"/>
  <c r="AC1951" i="5"/>
  <c r="AD1951" i="5" s="1"/>
  <c r="AC1952" i="5"/>
  <c r="AD1952" i="5" s="1"/>
  <c r="AC1953" i="5"/>
  <c r="AD1953" i="5" s="1"/>
  <c r="AC1954" i="5"/>
  <c r="AD1954" i="5" s="1"/>
  <c r="AC1955" i="5"/>
  <c r="AD1955" i="5" s="1"/>
  <c r="AC1956" i="5"/>
  <c r="AD1956" i="5" s="1"/>
  <c r="AC1957" i="5"/>
  <c r="AD1957" i="5" s="1"/>
  <c r="AC1958" i="5"/>
  <c r="AD1958" i="5" s="1"/>
  <c r="AC1959" i="5"/>
  <c r="AD1959" i="5" s="1"/>
  <c r="AC1960" i="5"/>
  <c r="AD1960" i="5" s="1"/>
  <c r="AC1961" i="5"/>
  <c r="AD1961" i="5" s="1"/>
  <c r="AC1962" i="5"/>
  <c r="AD1962" i="5" s="1"/>
  <c r="AC1963" i="5"/>
  <c r="AD1963" i="5" s="1"/>
  <c r="AC1964" i="5"/>
  <c r="AD1964" i="5" s="1"/>
  <c r="AC1965" i="5"/>
  <c r="AD1965" i="5" s="1"/>
  <c r="AC1966" i="5"/>
  <c r="AD1966" i="5" s="1"/>
  <c r="AC1967" i="5"/>
  <c r="AD1967" i="5" s="1"/>
  <c r="AC1968" i="5"/>
  <c r="AD1968" i="5" s="1"/>
  <c r="AC1969" i="5"/>
  <c r="AD1969" i="5" s="1"/>
  <c r="AC1970" i="5"/>
  <c r="AD1970" i="5" s="1"/>
  <c r="AC1971" i="5"/>
  <c r="AD1971" i="5" s="1"/>
  <c r="AC1972" i="5"/>
  <c r="AD1972" i="5" s="1"/>
  <c r="AC1973" i="5"/>
  <c r="AD1973" i="5" s="1"/>
  <c r="AC1974" i="5"/>
  <c r="AD1974" i="5" s="1"/>
  <c r="AC1975" i="5"/>
  <c r="AD1975" i="5" s="1"/>
  <c r="AC1976" i="5"/>
  <c r="AD1976" i="5" s="1"/>
  <c r="AC1977" i="5"/>
  <c r="AD1977" i="5" s="1"/>
  <c r="AC1978" i="5"/>
  <c r="AD1978" i="5" s="1"/>
  <c r="AC1979" i="5"/>
  <c r="AD1979" i="5" s="1"/>
  <c r="AC1980" i="5"/>
  <c r="AD1980" i="5" s="1"/>
  <c r="AC1981" i="5"/>
  <c r="AD1981" i="5" s="1"/>
  <c r="AC1982" i="5"/>
  <c r="AD1982" i="5" s="1"/>
  <c r="AC1983" i="5"/>
  <c r="AD1983" i="5" s="1"/>
  <c r="AC1984" i="5"/>
  <c r="AD1984" i="5" s="1"/>
  <c r="AC1985" i="5"/>
  <c r="AD1985" i="5" s="1"/>
  <c r="AC1986" i="5"/>
  <c r="AD1986" i="5" s="1"/>
  <c r="AC1987" i="5"/>
  <c r="AD1987" i="5" s="1"/>
  <c r="AC1988" i="5"/>
  <c r="AD1988" i="5" s="1"/>
  <c r="AC1989" i="5"/>
  <c r="AD1989" i="5" s="1"/>
  <c r="AC1990" i="5"/>
  <c r="AD1990" i="5" s="1"/>
  <c r="AC1991" i="5"/>
  <c r="AD1991" i="5" s="1"/>
  <c r="AC1992" i="5"/>
  <c r="AD1992" i="5" s="1"/>
  <c r="AC1993" i="5"/>
  <c r="AD1993" i="5" s="1"/>
  <c r="AC1994" i="5"/>
  <c r="AD1994" i="5" s="1"/>
  <c r="AC1995" i="5"/>
  <c r="AD1995" i="5" s="1"/>
  <c r="AC1996" i="5"/>
  <c r="AD1996" i="5" s="1"/>
  <c r="AC1997" i="5"/>
  <c r="AD1997" i="5" s="1"/>
  <c r="AC1998" i="5"/>
  <c r="AD1998" i="5" s="1"/>
  <c r="AC1999" i="5"/>
  <c r="AD1999" i="5" s="1"/>
  <c r="AC2000" i="5"/>
  <c r="AD2000" i="5" s="1"/>
  <c r="AC2001" i="5"/>
  <c r="AD2001" i="5" s="1"/>
  <c r="AC2002" i="5"/>
  <c r="AD2002" i="5" s="1"/>
  <c r="AC2003" i="5"/>
  <c r="AD2003" i="5" s="1"/>
  <c r="AC2004" i="5"/>
  <c r="AD2004" i="5" s="1"/>
  <c r="AC2005" i="5"/>
  <c r="AD2005" i="5" s="1"/>
  <c r="AC2006" i="5"/>
  <c r="AD2006" i="5" s="1"/>
  <c r="AC2007" i="5"/>
  <c r="AD2007" i="5" s="1"/>
  <c r="AC2008" i="5"/>
  <c r="AD2008" i="5" s="1"/>
  <c r="AC2009" i="5"/>
  <c r="AD2009" i="5" s="1"/>
  <c r="AC2010" i="5"/>
  <c r="AD2010" i="5" s="1"/>
  <c r="AC2011" i="5"/>
  <c r="AD2011" i="5" s="1"/>
  <c r="AC2012" i="5"/>
  <c r="AD2012" i="5" s="1"/>
  <c r="AC2013" i="5"/>
  <c r="AD2013" i="5" s="1"/>
  <c r="AC2014" i="5"/>
  <c r="AD2014" i="5" s="1"/>
  <c r="AC2015" i="5"/>
  <c r="AD2015" i="5" s="1"/>
  <c r="AC2016" i="5"/>
  <c r="AD2016" i="5" s="1"/>
  <c r="AC2017" i="5"/>
  <c r="AD2017" i="5" s="1"/>
  <c r="AC2018" i="5"/>
  <c r="AD2018" i="5" s="1"/>
  <c r="AC2019" i="5"/>
  <c r="AD2019" i="5" s="1"/>
  <c r="AC2020" i="5"/>
  <c r="AD2020" i="5" s="1"/>
  <c r="AC2021" i="5"/>
  <c r="AD2021" i="5" s="1"/>
  <c r="AC2022" i="5"/>
  <c r="AD2022" i="5" s="1"/>
  <c r="AC2023" i="5"/>
  <c r="AD2023" i="5" s="1"/>
  <c r="AC2024" i="5"/>
  <c r="AD2024" i="5" s="1"/>
  <c r="AC2025" i="5"/>
  <c r="AD2025" i="5" s="1"/>
  <c r="AC2026" i="5"/>
  <c r="AD2026" i="5" s="1"/>
  <c r="AC2027" i="5"/>
  <c r="AD2027" i="5" s="1"/>
  <c r="AC2028" i="5"/>
  <c r="AD2028" i="5" s="1"/>
  <c r="AC2029" i="5"/>
  <c r="AD2029" i="5" s="1"/>
  <c r="AC2030" i="5"/>
  <c r="AD2030" i="5" s="1"/>
  <c r="AC2031" i="5"/>
  <c r="AD2031" i="5" s="1"/>
  <c r="AC2032" i="5"/>
  <c r="AD2032" i="5" s="1"/>
  <c r="AC2033" i="5"/>
  <c r="AD2033" i="5" s="1"/>
  <c r="AC2034" i="5"/>
  <c r="AD2034" i="5" s="1"/>
  <c r="AC2035" i="5"/>
  <c r="AD2035" i="5" s="1"/>
  <c r="AC2036" i="5"/>
  <c r="AD2036" i="5" s="1"/>
  <c r="AC2037" i="5"/>
  <c r="AD2037" i="5" s="1"/>
  <c r="AC2038" i="5"/>
  <c r="AD2038" i="5" s="1"/>
  <c r="AC2039" i="5"/>
  <c r="AD2039" i="5" s="1"/>
  <c r="AC2040" i="5"/>
  <c r="AD2040" i="5" s="1"/>
  <c r="AC2041" i="5"/>
  <c r="AD2041" i="5" s="1"/>
  <c r="AC2042" i="5"/>
  <c r="AD2042" i="5" s="1"/>
  <c r="AC2043" i="5"/>
  <c r="AD2043" i="5" s="1"/>
  <c r="AC2044" i="5"/>
  <c r="AD2044" i="5" s="1"/>
  <c r="AC2045" i="5"/>
  <c r="AD2045" i="5" s="1"/>
  <c r="AC2046" i="5"/>
  <c r="AD2046" i="5" s="1"/>
  <c r="AC2047" i="5"/>
  <c r="AD2047" i="5" s="1"/>
  <c r="AC2048" i="5"/>
  <c r="AD2048" i="5" s="1"/>
  <c r="AC2049" i="5"/>
  <c r="AD2049" i="5" s="1"/>
  <c r="AC2050" i="5"/>
  <c r="AD2050" i="5" s="1"/>
  <c r="AC2051" i="5"/>
  <c r="AD2051" i="5" s="1"/>
  <c r="AC2052" i="5"/>
  <c r="AD2052" i="5" s="1"/>
  <c r="AC2053" i="5"/>
  <c r="AD2053" i="5" s="1"/>
  <c r="AC2054" i="5"/>
  <c r="AD2054" i="5" s="1"/>
  <c r="AC2055" i="5"/>
  <c r="AD2055" i="5" s="1"/>
  <c r="AC2056" i="5"/>
  <c r="AD2056" i="5" s="1"/>
  <c r="AC2057" i="5"/>
  <c r="AD2057" i="5" s="1"/>
  <c r="AC2058" i="5"/>
  <c r="AD2058" i="5" s="1"/>
  <c r="AC2059" i="5"/>
  <c r="AD2059" i="5" s="1"/>
  <c r="AC2060" i="5"/>
  <c r="AD2060" i="5" s="1"/>
  <c r="AC2061" i="5"/>
  <c r="AD2061" i="5" s="1"/>
  <c r="AC2062" i="5"/>
  <c r="AD2062" i="5" s="1"/>
  <c r="AC2063" i="5"/>
  <c r="AD2063" i="5" s="1"/>
  <c r="AC2064" i="5"/>
  <c r="AD2064" i="5" s="1"/>
  <c r="AC2065" i="5"/>
  <c r="AD2065" i="5" s="1"/>
  <c r="AC2066" i="5"/>
  <c r="AD2066" i="5" s="1"/>
  <c r="AC2067" i="5"/>
  <c r="AD2067" i="5" s="1"/>
  <c r="AC2068" i="5"/>
  <c r="AD2068" i="5" s="1"/>
  <c r="AC2069" i="5"/>
  <c r="AD2069" i="5" s="1"/>
  <c r="AC2070" i="5"/>
  <c r="AD2070" i="5" s="1"/>
  <c r="AC2071" i="5"/>
  <c r="AD2071" i="5" s="1"/>
  <c r="AC2072" i="5"/>
  <c r="AD2072" i="5" s="1"/>
  <c r="AC2073" i="5"/>
  <c r="AD2073" i="5" s="1"/>
  <c r="AC2074" i="5"/>
  <c r="AD2074" i="5" s="1"/>
  <c r="AC2075" i="5"/>
  <c r="AD2075" i="5" s="1"/>
  <c r="AC2076" i="5"/>
  <c r="AD2076" i="5" s="1"/>
  <c r="AC2077" i="5"/>
  <c r="AD2077" i="5" s="1"/>
  <c r="AC2078" i="5"/>
  <c r="AD2078" i="5" s="1"/>
  <c r="AC2079" i="5"/>
  <c r="AD2079" i="5" s="1"/>
  <c r="AC2080" i="5"/>
  <c r="AD2080" i="5" s="1"/>
  <c r="AC2081" i="5"/>
  <c r="AD2081" i="5" s="1"/>
  <c r="AC2082" i="5"/>
  <c r="AD2082" i="5" s="1"/>
  <c r="AC2083" i="5"/>
  <c r="AD2083" i="5" s="1"/>
  <c r="AC2084" i="5"/>
  <c r="AD2084" i="5" s="1"/>
  <c r="AC2085" i="5"/>
  <c r="AD2085" i="5" s="1"/>
  <c r="AC2086" i="5"/>
  <c r="AD2086" i="5" s="1"/>
  <c r="AC2087" i="5"/>
  <c r="AD2087" i="5" s="1"/>
  <c r="AC2088" i="5"/>
  <c r="AD2088" i="5" s="1"/>
  <c r="AC2089" i="5"/>
  <c r="AD2089" i="5" s="1"/>
  <c r="AC2090" i="5"/>
  <c r="AD2090" i="5" s="1"/>
  <c r="AC2091" i="5"/>
  <c r="AD2091" i="5" s="1"/>
  <c r="AC2092" i="5"/>
  <c r="AD2092" i="5" s="1"/>
  <c r="AC2093" i="5"/>
  <c r="AD2093" i="5" s="1"/>
  <c r="AC2094" i="5"/>
  <c r="AD2094" i="5" s="1"/>
  <c r="AC2095" i="5"/>
  <c r="AD2095" i="5" s="1"/>
  <c r="AC2096" i="5"/>
  <c r="AD2096" i="5" s="1"/>
  <c r="AC2097" i="5"/>
  <c r="AD2097" i="5" s="1"/>
  <c r="AC2098" i="5"/>
  <c r="AD2098" i="5" s="1"/>
  <c r="AC2099" i="5"/>
  <c r="AD2099" i="5" s="1"/>
  <c r="AC2100" i="5"/>
  <c r="AD2100" i="5" s="1"/>
  <c r="AC2101" i="5"/>
  <c r="AD2101" i="5" s="1"/>
  <c r="AC2102" i="5"/>
  <c r="AD2102" i="5" s="1"/>
  <c r="AC2103" i="5"/>
  <c r="AD2103" i="5" s="1"/>
  <c r="AC2104" i="5"/>
  <c r="AD2104" i="5" s="1"/>
  <c r="AC2105" i="5"/>
  <c r="AD2105" i="5" s="1"/>
  <c r="AC2106" i="5"/>
  <c r="AD2106" i="5" s="1"/>
  <c r="AC2107" i="5"/>
  <c r="AD2107" i="5" s="1"/>
  <c r="AC2108" i="5"/>
  <c r="AD2108" i="5" s="1"/>
  <c r="AC2109" i="5"/>
  <c r="AD2109" i="5" s="1"/>
  <c r="AC2110" i="5"/>
  <c r="AD2110" i="5" s="1"/>
  <c r="AC2111" i="5"/>
  <c r="AD2111" i="5" s="1"/>
  <c r="AC2112" i="5"/>
  <c r="AD2112" i="5" s="1"/>
  <c r="AC2113" i="5"/>
  <c r="AD2113" i="5" s="1"/>
  <c r="AC2114" i="5"/>
  <c r="AD2114" i="5" s="1"/>
  <c r="AC2115" i="5"/>
  <c r="AD2115" i="5" s="1"/>
  <c r="AC2116" i="5"/>
  <c r="AD2116" i="5" s="1"/>
  <c r="AC2117" i="5"/>
  <c r="AD2117" i="5" s="1"/>
  <c r="AC2118" i="5"/>
  <c r="AD2118" i="5" s="1"/>
  <c r="AC2119" i="5"/>
  <c r="AD2119" i="5" s="1"/>
  <c r="AC2120" i="5"/>
  <c r="AD2120" i="5" s="1"/>
  <c r="AC2121" i="5"/>
  <c r="AD2121" i="5" s="1"/>
  <c r="AC2122" i="5"/>
  <c r="AD2122" i="5" s="1"/>
  <c r="AC2123" i="5"/>
  <c r="AD2123" i="5" s="1"/>
  <c r="AC2124" i="5"/>
  <c r="AD2124" i="5" s="1"/>
  <c r="AC2125" i="5"/>
  <c r="AD2125" i="5" s="1"/>
  <c r="AC2126" i="5"/>
  <c r="AD2126" i="5" s="1"/>
  <c r="AC2127" i="5"/>
  <c r="AD2127" i="5" s="1"/>
  <c r="AC2128" i="5"/>
  <c r="AD2128" i="5" s="1"/>
  <c r="AC2129" i="5"/>
  <c r="AD2129" i="5" s="1"/>
  <c r="AC2130" i="5"/>
  <c r="AD2130" i="5" s="1"/>
  <c r="AC2131" i="5"/>
  <c r="AD2131" i="5" s="1"/>
  <c r="AC2132" i="5"/>
  <c r="AD2132" i="5" s="1"/>
  <c r="AC2133" i="5"/>
  <c r="AD2133" i="5" s="1"/>
  <c r="AC2134" i="5"/>
  <c r="AD2134" i="5" s="1"/>
  <c r="AC2135" i="5"/>
  <c r="AD2135" i="5" s="1"/>
  <c r="AC2136" i="5"/>
  <c r="AD2136" i="5" s="1"/>
  <c r="AC2137" i="5"/>
  <c r="AD2137" i="5" s="1"/>
  <c r="AC2138" i="5"/>
  <c r="AD2138" i="5" s="1"/>
  <c r="AC2139" i="5"/>
  <c r="AD2139" i="5" s="1"/>
  <c r="AC2140" i="5"/>
  <c r="AD2140" i="5" s="1"/>
  <c r="AC2141" i="5"/>
  <c r="AD2141" i="5" s="1"/>
  <c r="AC2142" i="5"/>
  <c r="AD2142" i="5" s="1"/>
  <c r="AC2143" i="5"/>
  <c r="AD2143" i="5" s="1"/>
  <c r="AC2144" i="5"/>
  <c r="AD2144" i="5" s="1"/>
  <c r="AC2145" i="5"/>
  <c r="AD2145" i="5" s="1"/>
  <c r="AC2146" i="5"/>
  <c r="AD2146" i="5" s="1"/>
  <c r="AC2147" i="5"/>
  <c r="AD2147" i="5" s="1"/>
  <c r="AC2148" i="5"/>
  <c r="AD2148" i="5" s="1"/>
  <c r="AC2149" i="5"/>
  <c r="AD2149" i="5" s="1"/>
  <c r="AC2150" i="5"/>
  <c r="AD2150" i="5" s="1"/>
  <c r="AC2151" i="5"/>
  <c r="AD2151" i="5" s="1"/>
  <c r="AC2152" i="5"/>
  <c r="AD2152" i="5" s="1"/>
  <c r="AC2153" i="5"/>
  <c r="AD2153" i="5" s="1"/>
  <c r="AC2154" i="5"/>
  <c r="AD2154" i="5" s="1"/>
  <c r="AC2155" i="5"/>
  <c r="AD2155" i="5" s="1"/>
  <c r="AC2156" i="5"/>
  <c r="AD2156" i="5" s="1"/>
  <c r="AC2157" i="5"/>
  <c r="AD2157" i="5" s="1"/>
  <c r="AC2158" i="5"/>
  <c r="AD2158" i="5" s="1"/>
  <c r="AC2159" i="5"/>
  <c r="AD2159" i="5" s="1"/>
  <c r="AC2160" i="5"/>
  <c r="AD2160" i="5" s="1"/>
  <c r="AC2161" i="5"/>
  <c r="AD2161" i="5" s="1"/>
  <c r="AC2162" i="5"/>
  <c r="AD2162" i="5" s="1"/>
  <c r="AC2163" i="5"/>
  <c r="AD2163" i="5" s="1"/>
  <c r="AC2164" i="5"/>
  <c r="AD2164" i="5" s="1"/>
  <c r="AC2165" i="5"/>
  <c r="AD2165" i="5" s="1"/>
  <c r="AC2166" i="5"/>
  <c r="AD2166" i="5" s="1"/>
  <c r="AC2167" i="5"/>
  <c r="AD2167" i="5" s="1"/>
  <c r="AC2168" i="5"/>
  <c r="AD2168" i="5" s="1"/>
  <c r="AC2169" i="5"/>
  <c r="AD2169" i="5" s="1"/>
  <c r="AC2170" i="5"/>
  <c r="AD2170" i="5" s="1"/>
  <c r="AC2171" i="5"/>
  <c r="AD2171" i="5" s="1"/>
  <c r="AC2172" i="5"/>
  <c r="AD2172" i="5" s="1"/>
  <c r="AC2173" i="5"/>
  <c r="AD2173" i="5" s="1"/>
  <c r="AC2174" i="5"/>
  <c r="AD2174" i="5" s="1"/>
  <c r="AC2175" i="5"/>
  <c r="AD2175" i="5" s="1"/>
  <c r="AC2176" i="5"/>
  <c r="AD2176" i="5" s="1"/>
  <c r="AC2177" i="5"/>
  <c r="AD2177" i="5" s="1"/>
  <c r="AC2178" i="5"/>
  <c r="AD2178" i="5" s="1"/>
  <c r="AC2179" i="5"/>
  <c r="AD2179" i="5" s="1"/>
  <c r="AC2180" i="5"/>
  <c r="AD2180" i="5" s="1"/>
  <c r="AC2181" i="5"/>
  <c r="AD2181" i="5" s="1"/>
  <c r="AC2182" i="5"/>
  <c r="AD2182" i="5" s="1"/>
  <c r="AC2183" i="5"/>
  <c r="AD2183" i="5" s="1"/>
  <c r="AC2184" i="5"/>
  <c r="AD2184" i="5" s="1"/>
  <c r="AC2185" i="5"/>
  <c r="AD2185" i="5" s="1"/>
  <c r="AC2186" i="5"/>
  <c r="AD2186" i="5" s="1"/>
  <c r="AC2187" i="5"/>
  <c r="AD2187" i="5" s="1"/>
  <c r="AC2188" i="5"/>
  <c r="AD2188" i="5" s="1"/>
  <c r="AC2189" i="5"/>
  <c r="AD2189" i="5" s="1"/>
  <c r="AC2190" i="5"/>
  <c r="AD2190" i="5" s="1"/>
  <c r="AC2191" i="5"/>
  <c r="AD2191" i="5" s="1"/>
  <c r="AC2192" i="5"/>
  <c r="AD2192" i="5" s="1"/>
  <c r="AC2193" i="5"/>
  <c r="AD2193" i="5" s="1"/>
  <c r="AC2194" i="5"/>
  <c r="AD2194" i="5" s="1"/>
  <c r="AC2195" i="5"/>
  <c r="AD2195" i="5" s="1"/>
  <c r="AC2196" i="5"/>
  <c r="AD2196" i="5" s="1"/>
  <c r="AC2197" i="5"/>
  <c r="AD2197" i="5" s="1"/>
  <c r="AC2198" i="5"/>
  <c r="AD2198" i="5" s="1"/>
  <c r="AC2199" i="5"/>
  <c r="AD2199" i="5" s="1"/>
  <c r="AC2200" i="5"/>
  <c r="AD2200" i="5" s="1"/>
  <c r="AC2201" i="5"/>
  <c r="AD2201" i="5" s="1"/>
  <c r="AC2202" i="5"/>
  <c r="AD2202" i="5" s="1"/>
  <c r="AC2203" i="5"/>
  <c r="AD2203" i="5" s="1"/>
  <c r="AC2204" i="5"/>
  <c r="AD2204" i="5" s="1"/>
  <c r="AC2205" i="5"/>
  <c r="AD2205" i="5" s="1"/>
  <c r="AC2206" i="5"/>
  <c r="AD2206" i="5" s="1"/>
  <c r="AC2207" i="5"/>
  <c r="AD2207" i="5" s="1"/>
  <c r="AC2208" i="5"/>
  <c r="AD2208" i="5" s="1"/>
  <c r="AC2209" i="5"/>
  <c r="AD2209" i="5" s="1"/>
  <c r="AC2210" i="5"/>
  <c r="AD2210" i="5" s="1"/>
  <c r="AC2211" i="5"/>
  <c r="AD2211" i="5" s="1"/>
  <c r="AC2212" i="5"/>
  <c r="AD2212" i="5" s="1"/>
  <c r="AC2213" i="5"/>
  <c r="AD2213" i="5" s="1"/>
  <c r="AC2214" i="5"/>
  <c r="AD2214" i="5" s="1"/>
  <c r="AC2215" i="5"/>
  <c r="AD2215" i="5" s="1"/>
  <c r="AC2216" i="5"/>
  <c r="AD2216" i="5" s="1"/>
  <c r="AC2217" i="5"/>
  <c r="AD2217" i="5" s="1"/>
  <c r="AC2218" i="5"/>
  <c r="AD2218" i="5" s="1"/>
  <c r="AC2219" i="5"/>
  <c r="AD2219" i="5" s="1"/>
  <c r="AC2220" i="5"/>
  <c r="AD2220" i="5" s="1"/>
  <c r="AC2221" i="5"/>
  <c r="AD2221" i="5" s="1"/>
  <c r="AC2222" i="5"/>
  <c r="AD2222" i="5" s="1"/>
  <c r="AC2223" i="5"/>
  <c r="AD2223" i="5" s="1"/>
  <c r="AC2224" i="5"/>
  <c r="AD2224" i="5" s="1"/>
  <c r="AC2225" i="5"/>
  <c r="AD2225" i="5" s="1"/>
  <c r="AC2226" i="5"/>
  <c r="AD2226" i="5" s="1"/>
  <c r="AC2227" i="5"/>
  <c r="AD2227" i="5" s="1"/>
  <c r="AC2228" i="5"/>
  <c r="AD2228" i="5" s="1"/>
  <c r="AC2229" i="5"/>
  <c r="AD2229" i="5" s="1"/>
  <c r="AC2230" i="5"/>
  <c r="AD2230" i="5" s="1"/>
  <c r="AC2231" i="5"/>
  <c r="AD2231" i="5" s="1"/>
  <c r="AC2232" i="5"/>
  <c r="AD2232" i="5" s="1"/>
  <c r="AC2233" i="5"/>
  <c r="AD2233" i="5" s="1"/>
  <c r="AC2234" i="5"/>
  <c r="AD2234" i="5" s="1"/>
  <c r="AC2235" i="5"/>
  <c r="AD2235" i="5" s="1"/>
  <c r="AC2236" i="5"/>
  <c r="AD2236" i="5" s="1"/>
  <c r="AC2237" i="5"/>
  <c r="AD2237" i="5" s="1"/>
  <c r="AC2238" i="5"/>
  <c r="AD2238" i="5" s="1"/>
  <c r="AC2239" i="5"/>
  <c r="AD2239" i="5" s="1"/>
  <c r="AC2240" i="5"/>
  <c r="AD2240" i="5" s="1"/>
  <c r="B3" i="3"/>
  <c r="C3" i="3"/>
  <c r="D3" i="3"/>
  <c r="E3" i="3"/>
  <c r="F3" i="3"/>
  <c r="I13" i="5" l="1"/>
  <c r="O16" i="5" s="1"/>
  <c r="I14" i="5"/>
  <c r="O18" i="5" s="1"/>
  <c r="I9" i="5"/>
  <c r="O8" i="5" s="1"/>
  <c r="I8" i="5"/>
  <c r="I10" i="5"/>
  <c r="O10" i="5" s="1"/>
  <c r="I11" i="5"/>
  <c r="O12" i="5" s="1"/>
  <c r="I12" i="5"/>
  <c r="O14" i="5" s="1"/>
  <c r="O6" i="5" l="1"/>
  <c r="I8" i="3" a="1"/>
  <c r="I8" i="3" s="1"/>
  <c r="I11" i="3" l="1"/>
  <c r="I10" i="3"/>
  <c r="I13" i="3"/>
  <c r="I9" i="3"/>
  <c r="I12" i="3"/>
  <c r="AA34" i="8"/>
  <c r="AA8" i="8" l="1"/>
  <c r="AA9" i="8"/>
  <c r="AA10" i="8"/>
  <c r="AA11" i="8"/>
  <c r="AA12" i="8"/>
  <c r="AA13" i="8"/>
  <c r="AA14" i="8"/>
  <c r="AA15" i="8"/>
  <c r="AA16" i="8"/>
  <c r="AA17" i="8"/>
  <c r="AA18" i="8"/>
  <c r="AA19" i="8"/>
  <c r="AA20" i="8"/>
  <c r="AA21" i="8"/>
  <c r="AA22" i="8"/>
  <c r="AA23" i="8"/>
  <c r="AA24" i="8"/>
  <c r="AA25" i="8"/>
  <c r="AA26" i="8"/>
  <c r="AA27" i="8"/>
  <c r="AA28" i="8"/>
  <c r="AA29" i="8"/>
  <c r="AA30" i="8"/>
  <c r="AA31" i="8"/>
  <c r="AA32" i="8"/>
  <c r="AA33" i="8"/>
  <c r="AA35" i="8"/>
  <c r="AA36" i="8"/>
  <c r="AA37" i="8"/>
  <c r="AA38" i="8"/>
  <c r="AA39" i="8"/>
  <c r="AA40" i="8"/>
  <c r="AA41" i="8"/>
  <c r="AA42" i="8"/>
  <c r="AA43" i="8"/>
  <c r="AA44" i="8"/>
  <c r="AA45" i="8"/>
  <c r="AA46" i="8"/>
  <c r="AA47" i="8"/>
  <c r="AA48" i="8"/>
  <c r="AA49" i="8"/>
  <c r="AA50" i="8"/>
  <c r="AA51" i="8"/>
  <c r="AA52" i="8"/>
  <c r="AA53" i="8"/>
  <c r="AA54" i="8"/>
  <c r="AA55" i="8"/>
  <c r="AA56" i="8"/>
  <c r="AA57" i="8"/>
  <c r="AA58" i="8"/>
  <c r="AA59" i="8"/>
  <c r="AA60" i="8"/>
  <c r="AA61" i="8"/>
  <c r="AA62" i="8"/>
  <c r="AA63" i="8"/>
  <c r="AA64" i="8"/>
  <c r="AA65" i="8"/>
  <c r="AA66" i="8"/>
  <c r="AA67" i="8"/>
  <c r="AA68" i="8"/>
  <c r="AA69" i="8"/>
  <c r="AA70" i="8"/>
  <c r="AA71" i="8"/>
  <c r="AA72" i="8"/>
  <c r="AA73" i="8"/>
  <c r="AA74" i="8"/>
  <c r="AA75" i="8"/>
  <c r="AA76" i="8"/>
  <c r="AA77" i="8"/>
  <c r="AA78" i="8"/>
  <c r="AA79" i="8"/>
  <c r="AA80" i="8"/>
  <c r="AA81" i="8"/>
  <c r="AA82" i="8"/>
  <c r="AA83" i="8"/>
  <c r="AA84" i="8"/>
  <c r="AA85" i="8"/>
  <c r="AA86" i="8"/>
  <c r="AA87" i="8"/>
  <c r="AA88" i="8"/>
  <c r="AA89" i="8"/>
  <c r="AA90" i="8"/>
  <c r="AA91" i="8"/>
  <c r="AA92" i="8"/>
  <c r="AA93" i="8"/>
  <c r="AA94" i="8"/>
  <c r="AA95" i="8"/>
  <c r="AA96" i="8"/>
  <c r="AA97" i="8"/>
  <c r="AA98" i="8"/>
  <c r="AA99" i="8"/>
  <c r="AA100" i="8"/>
  <c r="AA101" i="8"/>
  <c r="AA102" i="8"/>
  <c r="AA103" i="8"/>
  <c r="AA104" i="8"/>
  <c r="AA105" i="8"/>
  <c r="AA106" i="8"/>
  <c r="AA107" i="8"/>
  <c r="AA108" i="8"/>
  <c r="AA109" i="8"/>
  <c r="AA110" i="8"/>
  <c r="AA111" i="8"/>
  <c r="AA112" i="8"/>
  <c r="AA113" i="8"/>
  <c r="AA114" i="8"/>
  <c r="AA115" i="8"/>
  <c r="AA116" i="8"/>
  <c r="AA117" i="8"/>
  <c r="AA118" i="8"/>
  <c r="AA119" i="8"/>
  <c r="AA120" i="8"/>
  <c r="AA121" i="8"/>
  <c r="AA122" i="8"/>
  <c r="AA123" i="8"/>
  <c r="AA124" i="8"/>
  <c r="AA125" i="8"/>
  <c r="AA126" i="8"/>
  <c r="AA127" i="8"/>
  <c r="AA128" i="8"/>
  <c r="AA129" i="8"/>
  <c r="AA130" i="8"/>
  <c r="AA131" i="8"/>
  <c r="AA132" i="8"/>
  <c r="AA133" i="8"/>
  <c r="AA134" i="8"/>
  <c r="AA135" i="8"/>
  <c r="AA136" i="8"/>
  <c r="AA137" i="8"/>
  <c r="AA138" i="8"/>
  <c r="AA139" i="8"/>
  <c r="AA140" i="8"/>
  <c r="AA141" i="8"/>
  <c r="AA142" i="8"/>
  <c r="AA143" i="8"/>
  <c r="AA144" i="8"/>
  <c r="AA145" i="8"/>
  <c r="AA146" i="8"/>
  <c r="AA147" i="8"/>
  <c r="AA148" i="8"/>
  <c r="AA149" i="8"/>
  <c r="AA150" i="8"/>
  <c r="AA151" i="8"/>
  <c r="AA152" i="8"/>
  <c r="AA153" i="8"/>
  <c r="AA154" i="8"/>
  <c r="AA155" i="8"/>
  <c r="AA156" i="8"/>
  <c r="AA157" i="8"/>
  <c r="AA158" i="8"/>
  <c r="AA159" i="8"/>
  <c r="AA160" i="8"/>
  <c r="AA161" i="8"/>
  <c r="AA162" i="8"/>
  <c r="AA163" i="8"/>
  <c r="AA164" i="8"/>
  <c r="AA165" i="8"/>
  <c r="AA166" i="8"/>
  <c r="AA167" i="8"/>
  <c r="AA168" i="8"/>
  <c r="AA169" i="8"/>
  <c r="AA170" i="8"/>
  <c r="AA171" i="8"/>
  <c r="AA172" i="8"/>
  <c r="AA173" i="8"/>
  <c r="AA174" i="8"/>
  <c r="AA175" i="8"/>
  <c r="AA176" i="8"/>
  <c r="AA177" i="8"/>
  <c r="AA178" i="8"/>
  <c r="AA179" i="8"/>
  <c r="AA180" i="8"/>
  <c r="AA181" i="8"/>
  <c r="AA182" i="8"/>
  <c r="AA183" i="8"/>
  <c r="AA184" i="8"/>
  <c r="AA185" i="8"/>
  <c r="AA186" i="8"/>
  <c r="AA187" i="8"/>
  <c r="AA188" i="8"/>
  <c r="AA189" i="8"/>
  <c r="AA190" i="8"/>
  <c r="AA191" i="8"/>
  <c r="AA192" i="8"/>
  <c r="AA193" i="8"/>
  <c r="AA194" i="8"/>
  <c r="AA195" i="8"/>
  <c r="AA196" i="8"/>
  <c r="AA197" i="8"/>
  <c r="AA198" i="8"/>
  <c r="AA199" i="8"/>
  <c r="AA200" i="8"/>
  <c r="AA201" i="8"/>
  <c r="AA202" i="8"/>
  <c r="AA203" i="8"/>
  <c r="AA204" i="8"/>
  <c r="AA205" i="8"/>
  <c r="AA206" i="8"/>
  <c r="AA207" i="8"/>
  <c r="AA208" i="8"/>
  <c r="AA209" i="8"/>
  <c r="AA210" i="8"/>
  <c r="AA211" i="8"/>
  <c r="AA212" i="8"/>
  <c r="AA213" i="8"/>
  <c r="AA214" i="8"/>
  <c r="AA215" i="8"/>
  <c r="AA216" i="8"/>
  <c r="AA217" i="8"/>
  <c r="AA218" i="8"/>
  <c r="AA219" i="8"/>
  <c r="AA220" i="8"/>
  <c r="AA221" i="8"/>
  <c r="AA222" i="8"/>
  <c r="AA223" i="8"/>
  <c r="AA224" i="8"/>
  <c r="AA225" i="8"/>
  <c r="AA226" i="8"/>
  <c r="AA227" i="8"/>
  <c r="AA228" i="8"/>
  <c r="AA229" i="8"/>
  <c r="AA230" i="8"/>
  <c r="AA231" i="8"/>
  <c r="AA232" i="8"/>
  <c r="AA233" i="8"/>
  <c r="AA234" i="8"/>
  <c r="AA235" i="8"/>
  <c r="AA236" i="8"/>
  <c r="AA237" i="8"/>
  <c r="AA238" i="8"/>
  <c r="AA239" i="8"/>
  <c r="AA240" i="8"/>
  <c r="AA241" i="8"/>
  <c r="AA242" i="8"/>
  <c r="AA243" i="8"/>
  <c r="AA244" i="8"/>
  <c r="AA245" i="8"/>
  <c r="AA246" i="8"/>
  <c r="AA247" i="8"/>
  <c r="AA248" i="8"/>
  <c r="AA249" i="8"/>
  <c r="AA250" i="8"/>
  <c r="AA251" i="8"/>
  <c r="AA252" i="8"/>
  <c r="AA253" i="8"/>
  <c r="AA254" i="8"/>
  <c r="AA255" i="8"/>
  <c r="AA256" i="8"/>
  <c r="AA257" i="8"/>
  <c r="AA258" i="8"/>
  <c r="AA259" i="8"/>
  <c r="AA260" i="8"/>
  <c r="AA261" i="8"/>
  <c r="AA262" i="8"/>
  <c r="AA263" i="8"/>
  <c r="AA264" i="8"/>
  <c r="AA265" i="8"/>
  <c r="AA266" i="8"/>
  <c r="AA267" i="8"/>
  <c r="AA268" i="8"/>
  <c r="AA269" i="8"/>
  <c r="AA270" i="8"/>
  <c r="AA271" i="8"/>
  <c r="AA272" i="8"/>
  <c r="AA273" i="8"/>
  <c r="AA274" i="8"/>
  <c r="AA275" i="8"/>
  <c r="AA276" i="8"/>
  <c r="AA277" i="8"/>
  <c r="AA278" i="8"/>
  <c r="AA279" i="8"/>
  <c r="AA280" i="8"/>
  <c r="AA281" i="8"/>
  <c r="AA282" i="8"/>
  <c r="AA283" i="8"/>
  <c r="AA284" i="8"/>
  <c r="AA285" i="8"/>
  <c r="AA286" i="8"/>
  <c r="AA287" i="8"/>
  <c r="AA288" i="8"/>
  <c r="AA289" i="8"/>
  <c r="AA290" i="8"/>
  <c r="AA291" i="8"/>
  <c r="AA292" i="8"/>
  <c r="AA293" i="8"/>
  <c r="AA294" i="8"/>
  <c r="AA295" i="8"/>
  <c r="AA296" i="8"/>
  <c r="AA297" i="8"/>
  <c r="AA298" i="8"/>
  <c r="AA299" i="8"/>
  <c r="AA300" i="8"/>
  <c r="AA301" i="8"/>
  <c r="AA302" i="8"/>
  <c r="AA303" i="8"/>
  <c r="AA304" i="8"/>
  <c r="AA305" i="8"/>
  <c r="AA306" i="8"/>
  <c r="AA307" i="8"/>
  <c r="AA308" i="8"/>
  <c r="AA309" i="8"/>
  <c r="AA310" i="8"/>
  <c r="AA311" i="8"/>
  <c r="AA312" i="8"/>
  <c r="AA313" i="8"/>
  <c r="AA314" i="8"/>
  <c r="AA315" i="8"/>
  <c r="AA316" i="8"/>
  <c r="AA317" i="8"/>
  <c r="AA318" i="8"/>
  <c r="AA319" i="8"/>
  <c r="AA320" i="8"/>
  <c r="AA321" i="8"/>
  <c r="AA322" i="8"/>
  <c r="AA323" i="8"/>
  <c r="AA324" i="8"/>
  <c r="AA325" i="8"/>
  <c r="AA326" i="8"/>
  <c r="AA327" i="8"/>
  <c r="AA328" i="8"/>
  <c r="AA329" i="8"/>
  <c r="AA330" i="8"/>
  <c r="AA331" i="8"/>
  <c r="AA332" i="8"/>
  <c r="AA333" i="8"/>
  <c r="AA334" i="8"/>
  <c r="AA335" i="8"/>
  <c r="AA336" i="8"/>
  <c r="AA337" i="8"/>
  <c r="AA338" i="8"/>
  <c r="AA339" i="8"/>
  <c r="AA340" i="8"/>
  <c r="AA341" i="8"/>
  <c r="AA342" i="8"/>
  <c r="AA343" i="8"/>
  <c r="AA344" i="8"/>
  <c r="AA345" i="8"/>
  <c r="AA346" i="8"/>
  <c r="AA347" i="8"/>
  <c r="AA348" i="8"/>
  <c r="AA349" i="8"/>
  <c r="AA350" i="8"/>
  <c r="AA351" i="8"/>
  <c r="AA352" i="8"/>
  <c r="AA353" i="8"/>
  <c r="AA354" i="8"/>
  <c r="AA355" i="8"/>
  <c r="AA356" i="8"/>
  <c r="AA357" i="8"/>
  <c r="AA358" i="8"/>
  <c r="AA359" i="8"/>
  <c r="AA360" i="8"/>
  <c r="AA361" i="8"/>
  <c r="AA362" i="8"/>
  <c r="AA363" i="8"/>
  <c r="AA364" i="8"/>
  <c r="AA365" i="8"/>
  <c r="AA366" i="8"/>
  <c r="AA367" i="8"/>
  <c r="AA368" i="8"/>
  <c r="AA369" i="8"/>
  <c r="AA370" i="8"/>
  <c r="AA371" i="8"/>
  <c r="AA372" i="8"/>
  <c r="AA373" i="8"/>
  <c r="AA374" i="8"/>
  <c r="AA375" i="8"/>
  <c r="AA376" i="8"/>
  <c r="AA377" i="8"/>
  <c r="AA378" i="8"/>
  <c r="AA379" i="8"/>
  <c r="AA380" i="8"/>
  <c r="AA381" i="8"/>
  <c r="AA382" i="8"/>
  <c r="AA383" i="8"/>
  <c r="AA384" i="8"/>
  <c r="AA385" i="8"/>
  <c r="AA386" i="8"/>
  <c r="AA387" i="8"/>
  <c r="AA388" i="8"/>
  <c r="AA389" i="8"/>
  <c r="AA390" i="8"/>
  <c r="AA391" i="8"/>
  <c r="AA392" i="8"/>
  <c r="AA393" i="8"/>
  <c r="AA394" i="8"/>
  <c r="AA395" i="8"/>
  <c r="AA396" i="8"/>
  <c r="AA397" i="8"/>
  <c r="AA398" i="8"/>
  <c r="AA399" i="8"/>
  <c r="AA400" i="8"/>
  <c r="AA401" i="8"/>
  <c r="AA402" i="8"/>
  <c r="AA403" i="8"/>
  <c r="AA404" i="8"/>
  <c r="AA405" i="8"/>
  <c r="AA406" i="8"/>
  <c r="AA407" i="8"/>
  <c r="AA408" i="8"/>
  <c r="AA409" i="8"/>
  <c r="AA410" i="8"/>
  <c r="AA411" i="8"/>
  <c r="AA412" i="8"/>
  <c r="AA413" i="8"/>
  <c r="AA414" i="8"/>
  <c r="AA415" i="8"/>
  <c r="AA416" i="8"/>
  <c r="AA417" i="8"/>
  <c r="AA418" i="8"/>
  <c r="AA419" i="8"/>
  <c r="AA420" i="8"/>
  <c r="AA421" i="8"/>
  <c r="AA422" i="8"/>
  <c r="AA423" i="8"/>
  <c r="AA424" i="8"/>
  <c r="AA425" i="8"/>
  <c r="AA426" i="8"/>
  <c r="AA427" i="8"/>
  <c r="AA428" i="8"/>
  <c r="AA429" i="8"/>
  <c r="AA430" i="8"/>
  <c r="AA431" i="8"/>
  <c r="AA432" i="8"/>
  <c r="AA433" i="8"/>
  <c r="AA434" i="8"/>
  <c r="AA435" i="8"/>
  <c r="AA436" i="8"/>
  <c r="AA437" i="8"/>
  <c r="AA438" i="8"/>
  <c r="AA439" i="8"/>
  <c r="AA440" i="8"/>
  <c r="AA441" i="8"/>
  <c r="AA442" i="8"/>
  <c r="AA443" i="8"/>
  <c r="AA444" i="8"/>
  <c r="AA445" i="8"/>
  <c r="AA446" i="8"/>
  <c r="AA447" i="8"/>
  <c r="AA448" i="8"/>
  <c r="AA449" i="8"/>
  <c r="AA450" i="8"/>
  <c r="AA451" i="8"/>
  <c r="AA452" i="8"/>
  <c r="AA453" i="8"/>
  <c r="AA454" i="8"/>
  <c r="AA455" i="8"/>
  <c r="AA456" i="8"/>
  <c r="AA457" i="8"/>
  <c r="AA458" i="8"/>
  <c r="AA459" i="8"/>
  <c r="AA460" i="8"/>
  <c r="AA461" i="8"/>
  <c r="AA462" i="8"/>
  <c r="AA463" i="8"/>
  <c r="AA464" i="8"/>
  <c r="AA465" i="8"/>
  <c r="AA466" i="8"/>
  <c r="AA467" i="8"/>
  <c r="AA468" i="8"/>
  <c r="AA469" i="8"/>
  <c r="AA470" i="8"/>
  <c r="AA471" i="8"/>
  <c r="AA472" i="8"/>
  <c r="AA473" i="8"/>
  <c r="AA474" i="8"/>
  <c r="AA475" i="8"/>
  <c r="AA476" i="8"/>
  <c r="AA477" i="8"/>
  <c r="AA478" i="8"/>
  <c r="AA479" i="8"/>
  <c r="AA480" i="8"/>
  <c r="AA481" i="8"/>
  <c r="AA482" i="8"/>
  <c r="AA483" i="8"/>
  <c r="AA484" i="8"/>
  <c r="AA485" i="8"/>
  <c r="AA486" i="8"/>
  <c r="AA487" i="8"/>
  <c r="AA488" i="8"/>
  <c r="AA489" i="8"/>
  <c r="AA490" i="8"/>
  <c r="AA491" i="8"/>
  <c r="AA492" i="8"/>
  <c r="AA493" i="8"/>
  <c r="AA494" i="8"/>
  <c r="AA495" i="8"/>
  <c r="AA496" i="8"/>
  <c r="AA497" i="8"/>
  <c r="AA498" i="8"/>
  <c r="AA499" i="8"/>
  <c r="AA500" i="8"/>
  <c r="AA501" i="8"/>
  <c r="AA502" i="8"/>
  <c r="AA503" i="8"/>
  <c r="AA504" i="8"/>
  <c r="AA505" i="8"/>
  <c r="AA506" i="8"/>
  <c r="AA507" i="8"/>
  <c r="AA508" i="8"/>
  <c r="AA509" i="8"/>
  <c r="AA510" i="8"/>
  <c r="AA511" i="8"/>
  <c r="AA512" i="8"/>
  <c r="AA513" i="8"/>
  <c r="AA514" i="8"/>
  <c r="AA515" i="8"/>
  <c r="AA516" i="8"/>
  <c r="AA517" i="8"/>
  <c r="AA518" i="8"/>
  <c r="AA519" i="8"/>
  <c r="AA520" i="8"/>
  <c r="AA521" i="8"/>
  <c r="AA522" i="8"/>
  <c r="AA523" i="8"/>
  <c r="AA524" i="8"/>
  <c r="AA525" i="8"/>
  <c r="AA526" i="8"/>
  <c r="AA527" i="8"/>
  <c r="AA528" i="8"/>
  <c r="AA529" i="8"/>
  <c r="AA530" i="8"/>
  <c r="AA531" i="8"/>
  <c r="AA532" i="8"/>
  <c r="AA533" i="8"/>
  <c r="AA534" i="8"/>
  <c r="AA535" i="8"/>
  <c r="AA536" i="8"/>
  <c r="AA537" i="8"/>
  <c r="AA538" i="8"/>
  <c r="AA539" i="8"/>
  <c r="AA540" i="8"/>
  <c r="AA541" i="8"/>
  <c r="AA542" i="8"/>
  <c r="AA543" i="8"/>
  <c r="AA544" i="8"/>
  <c r="AA545" i="8"/>
  <c r="AA546" i="8"/>
  <c r="AA547" i="8"/>
  <c r="AA548" i="8"/>
  <c r="AA549" i="8"/>
  <c r="AA550" i="8"/>
  <c r="AA551" i="8"/>
  <c r="AA552" i="8"/>
  <c r="AA553" i="8"/>
  <c r="AA554" i="8"/>
  <c r="AA555" i="8"/>
  <c r="AA556" i="8"/>
  <c r="AA557" i="8"/>
  <c r="AA558" i="8"/>
  <c r="AA559" i="8"/>
  <c r="AA560" i="8"/>
  <c r="AA561" i="8"/>
  <c r="AA562" i="8"/>
  <c r="AA563" i="8"/>
  <c r="AA564" i="8"/>
  <c r="AA565" i="8"/>
  <c r="AA566" i="8"/>
  <c r="AA567" i="8"/>
  <c r="AA568" i="8"/>
  <c r="AA569" i="8"/>
  <c r="AA570" i="8"/>
  <c r="AA571" i="8"/>
  <c r="AA572" i="8"/>
  <c r="AA573" i="8"/>
  <c r="AA574" i="8"/>
  <c r="AA575" i="8"/>
  <c r="AA576" i="8"/>
  <c r="AA577" i="8"/>
  <c r="AA578" i="8"/>
  <c r="AA579" i="8"/>
  <c r="AA580" i="8"/>
  <c r="AA581" i="8"/>
  <c r="AA582" i="8"/>
  <c r="AA583" i="8"/>
  <c r="AA584" i="8"/>
  <c r="AA585" i="8"/>
  <c r="AA586" i="8"/>
  <c r="AA587" i="8"/>
  <c r="AA588" i="8"/>
  <c r="AA589" i="8"/>
  <c r="AA590" i="8"/>
  <c r="AA591" i="8"/>
  <c r="AA592" i="8"/>
  <c r="AA593" i="8"/>
  <c r="AA594" i="8"/>
  <c r="AA595" i="8"/>
  <c r="AA596" i="8"/>
  <c r="AA597" i="8"/>
  <c r="AA598" i="8"/>
  <c r="AA599" i="8"/>
  <c r="AA600" i="8"/>
  <c r="AA601" i="8"/>
  <c r="AA602" i="8"/>
  <c r="AA603" i="8"/>
  <c r="AA604" i="8"/>
  <c r="AA605" i="8"/>
  <c r="AA606" i="8"/>
  <c r="AA607" i="8"/>
  <c r="AA608" i="8"/>
  <c r="AA609" i="8"/>
  <c r="AA610" i="8"/>
  <c r="AA611" i="8"/>
  <c r="AA612" i="8"/>
  <c r="AA613" i="8"/>
  <c r="AA614" i="8"/>
  <c r="AA615" i="8"/>
  <c r="AA616" i="8"/>
  <c r="AA617" i="8"/>
  <c r="AA618" i="8"/>
  <c r="AA619" i="8"/>
  <c r="AA620" i="8"/>
  <c r="AA621" i="8"/>
  <c r="AA622" i="8"/>
  <c r="AA623" i="8"/>
  <c r="AA624" i="8"/>
  <c r="AA625" i="8"/>
  <c r="AA626" i="8"/>
  <c r="AA627" i="8"/>
  <c r="AA628" i="8"/>
  <c r="AA629" i="8"/>
  <c r="AA630" i="8"/>
  <c r="AA631" i="8"/>
  <c r="AA632" i="8"/>
  <c r="AA633" i="8"/>
  <c r="AA634" i="8"/>
  <c r="AA635" i="8"/>
  <c r="AA636" i="8"/>
  <c r="AA637" i="8"/>
  <c r="AA638" i="8"/>
  <c r="AA639" i="8"/>
  <c r="AA640" i="8"/>
  <c r="AA641" i="8"/>
  <c r="AA642" i="8"/>
  <c r="AA643" i="8"/>
  <c r="AA644" i="8"/>
  <c r="AA645" i="8"/>
  <c r="AA646" i="8"/>
  <c r="AA647" i="8"/>
  <c r="AA648" i="8"/>
  <c r="AA649" i="8"/>
  <c r="AA650" i="8"/>
  <c r="AA651" i="8"/>
  <c r="AA652" i="8"/>
  <c r="AA653" i="8"/>
  <c r="AA654" i="8"/>
  <c r="AA655" i="8"/>
  <c r="AA656" i="8"/>
  <c r="AA657" i="8"/>
  <c r="AA658" i="8"/>
  <c r="AA659" i="8"/>
  <c r="AA660" i="8"/>
  <c r="AA661" i="8"/>
  <c r="AA662" i="8"/>
  <c r="AA663" i="8"/>
  <c r="AA664" i="8"/>
  <c r="AA665" i="8"/>
  <c r="AA666" i="8"/>
  <c r="AA667" i="8"/>
  <c r="AA668" i="8"/>
  <c r="AA669" i="8"/>
  <c r="AA670" i="8"/>
  <c r="AA671" i="8"/>
  <c r="AA672" i="8"/>
  <c r="AA673" i="8"/>
  <c r="AA674" i="8"/>
  <c r="AA675" i="8"/>
  <c r="AA676" i="8"/>
  <c r="AA677" i="8"/>
  <c r="AA678" i="8"/>
  <c r="AA679" i="8"/>
  <c r="AA680" i="8"/>
  <c r="AA681" i="8"/>
  <c r="AA682" i="8"/>
  <c r="AA683" i="8"/>
  <c r="AA684" i="8"/>
  <c r="AA685" i="8"/>
  <c r="AA686" i="8"/>
  <c r="AA687" i="8"/>
  <c r="AA688" i="8"/>
  <c r="AA689" i="8"/>
  <c r="AA690" i="8"/>
  <c r="AA691" i="8"/>
  <c r="AA692" i="8"/>
  <c r="AA693" i="8"/>
  <c r="AA694" i="8"/>
  <c r="AA695" i="8"/>
  <c r="AA696" i="8"/>
  <c r="AA697" i="8"/>
  <c r="AA698" i="8"/>
  <c r="AA699" i="8"/>
  <c r="AA700" i="8"/>
  <c r="AA701" i="8"/>
  <c r="AA702" i="8"/>
  <c r="AA703" i="8"/>
  <c r="AA704" i="8"/>
  <c r="AA705" i="8"/>
  <c r="AA706" i="8"/>
  <c r="AA707" i="8"/>
  <c r="AA708" i="8"/>
  <c r="AA709" i="8"/>
  <c r="AA710" i="8"/>
  <c r="AA711" i="8"/>
  <c r="AA712" i="8"/>
  <c r="AA713" i="8"/>
  <c r="AA714" i="8"/>
  <c r="AA715" i="8"/>
  <c r="AA716" i="8"/>
  <c r="AA717" i="8"/>
  <c r="AA718" i="8"/>
  <c r="AA719" i="8"/>
  <c r="AA720" i="8"/>
  <c r="AA721" i="8"/>
  <c r="AA722" i="8"/>
  <c r="AA723" i="8"/>
  <c r="AA724" i="8"/>
  <c r="AA725" i="8"/>
  <c r="AA726" i="8"/>
  <c r="AA727" i="8"/>
  <c r="AA728" i="8"/>
  <c r="AA729" i="8"/>
  <c r="AA730" i="8"/>
  <c r="AA731" i="8"/>
  <c r="AA732" i="8"/>
  <c r="AA733" i="8"/>
  <c r="AA734" i="8"/>
  <c r="AA735" i="8"/>
  <c r="AA736" i="8"/>
  <c r="AA737" i="8"/>
  <c r="AA738" i="8"/>
  <c r="AA739" i="8"/>
  <c r="AA740" i="8"/>
  <c r="AA741" i="8"/>
  <c r="AA742" i="8"/>
  <c r="AA743" i="8"/>
  <c r="AA744" i="8"/>
  <c r="AA745" i="8"/>
  <c r="AA746" i="8"/>
  <c r="AA747" i="8"/>
  <c r="AA748" i="8"/>
  <c r="AA749" i="8"/>
  <c r="AA750" i="8"/>
  <c r="AA751" i="8"/>
  <c r="AA752" i="8"/>
  <c r="AA753" i="8"/>
  <c r="AA754" i="8"/>
  <c r="AA755" i="8"/>
  <c r="AA756" i="8"/>
  <c r="AA757" i="8"/>
  <c r="AA758" i="8"/>
  <c r="AA759" i="8"/>
  <c r="AA760" i="8"/>
  <c r="AA761" i="8"/>
  <c r="AA762" i="8"/>
  <c r="AA763" i="8"/>
  <c r="AA764" i="8"/>
  <c r="AA765" i="8"/>
  <c r="AA766" i="8"/>
  <c r="AA767" i="8"/>
  <c r="AA768" i="8"/>
  <c r="AA769" i="8"/>
  <c r="AA770" i="8"/>
  <c r="AA771" i="8"/>
  <c r="AA772" i="8"/>
  <c r="AA773" i="8"/>
  <c r="AA774" i="8"/>
  <c r="AA775" i="8"/>
  <c r="AA776" i="8"/>
  <c r="AA777" i="8"/>
  <c r="AA778" i="8"/>
  <c r="AA779" i="8"/>
  <c r="AA780" i="8"/>
  <c r="AA781" i="8"/>
  <c r="AA782" i="8"/>
  <c r="AA783" i="8"/>
  <c r="AA784" i="8"/>
  <c r="AA785" i="8"/>
  <c r="AA786" i="8"/>
  <c r="AA787" i="8"/>
  <c r="AA788" i="8"/>
  <c r="AA789" i="8"/>
  <c r="AA790" i="8"/>
  <c r="AA791" i="8"/>
  <c r="AA792" i="8"/>
  <c r="AA793" i="8"/>
  <c r="AA794" i="8"/>
  <c r="AA795" i="8"/>
  <c r="AA796" i="8"/>
  <c r="AA797" i="8"/>
  <c r="AA798" i="8"/>
  <c r="AA799" i="8"/>
  <c r="AA800" i="8"/>
  <c r="AA801" i="8"/>
  <c r="AA802" i="8"/>
  <c r="AA803" i="8"/>
  <c r="AA804" i="8"/>
  <c r="AA805" i="8"/>
  <c r="AA806" i="8"/>
  <c r="AA807" i="8"/>
  <c r="AA808" i="8"/>
  <c r="AA809" i="8"/>
  <c r="AA810" i="8"/>
  <c r="AA811" i="8"/>
  <c r="AA812" i="8"/>
  <c r="AA813" i="8"/>
  <c r="AA814" i="8"/>
  <c r="AA815" i="8"/>
  <c r="AA816" i="8"/>
  <c r="AA817" i="8"/>
  <c r="AA818" i="8"/>
  <c r="AA819" i="8"/>
  <c r="AA820" i="8"/>
  <c r="AA821" i="8"/>
  <c r="AA822" i="8"/>
  <c r="AA823" i="8"/>
  <c r="AA824" i="8"/>
  <c r="AA825" i="8"/>
  <c r="AA826" i="8"/>
  <c r="AA827" i="8"/>
  <c r="AA828" i="8"/>
  <c r="AA829" i="8"/>
  <c r="AA830" i="8"/>
  <c r="AA831" i="8"/>
  <c r="AA832" i="8"/>
  <c r="AA833" i="8"/>
  <c r="AA834" i="8"/>
  <c r="AA835" i="8"/>
  <c r="AA836" i="8"/>
  <c r="AA837" i="8"/>
  <c r="AA838" i="8"/>
  <c r="AA839" i="8"/>
  <c r="AA840" i="8"/>
  <c r="AA841" i="8"/>
  <c r="AA842" i="8"/>
  <c r="AA843" i="8"/>
  <c r="AA844" i="8"/>
  <c r="AA845" i="8"/>
  <c r="AA846" i="8"/>
  <c r="AA847" i="8"/>
  <c r="AA848" i="8"/>
  <c r="AA849" i="8"/>
  <c r="AA850" i="8"/>
  <c r="AA851" i="8"/>
  <c r="AA852" i="8"/>
  <c r="AA853" i="8"/>
  <c r="AA854" i="8"/>
  <c r="AA855" i="8"/>
  <c r="AA856" i="8"/>
  <c r="AA857" i="8"/>
  <c r="AA858" i="8"/>
  <c r="AA859" i="8"/>
  <c r="AA860" i="8"/>
  <c r="AA861" i="8"/>
  <c r="AA862" i="8"/>
  <c r="AA863" i="8"/>
  <c r="AA864" i="8"/>
  <c r="AA865" i="8"/>
  <c r="AA866" i="8"/>
  <c r="AA867" i="8"/>
  <c r="AA868" i="8"/>
  <c r="AA869" i="8"/>
  <c r="AA870" i="8"/>
  <c r="AA871" i="8"/>
  <c r="AA872" i="8"/>
  <c r="AA873" i="8"/>
  <c r="AA874" i="8"/>
  <c r="AA875" i="8"/>
  <c r="AA876" i="8"/>
  <c r="AA877" i="8"/>
  <c r="AA878" i="8"/>
  <c r="AA879" i="8"/>
  <c r="AA880" i="8"/>
  <c r="AA881" i="8"/>
  <c r="AA882" i="8"/>
  <c r="AA883" i="8"/>
  <c r="AA884" i="8"/>
  <c r="AA885" i="8"/>
  <c r="AA886" i="8"/>
  <c r="AA887" i="8"/>
  <c r="AA888" i="8"/>
  <c r="AA889" i="8"/>
  <c r="AA890" i="8"/>
  <c r="AA891" i="8"/>
  <c r="AA892" i="8"/>
  <c r="AA893" i="8"/>
  <c r="AA894" i="8"/>
  <c r="AA895" i="8"/>
  <c r="AA896" i="8"/>
  <c r="AA897" i="8"/>
  <c r="AA898" i="8"/>
  <c r="AA899" i="8"/>
  <c r="AA900" i="8"/>
  <c r="AA901" i="8"/>
  <c r="AA902" i="8"/>
  <c r="AA903" i="8"/>
  <c r="AA904" i="8"/>
  <c r="AA905" i="8"/>
  <c r="AA906" i="8"/>
  <c r="AA907" i="8"/>
  <c r="AA908" i="8"/>
  <c r="AA909" i="8"/>
  <c r="AA910" i="8"/>
  <c r="AA911" i="8"/>
  <c r="AA912" i="8"/>
  <c r="AA913" i="8"/>
  <c r="AA914" i="8"/>
  <c r="AA915" i="8"/>
  <c r="AA916" i="8"/>
  <c r="AA917" i="8"/>
  <c r="AA918" i="8"/>
  <c r="AA919" i="8"/>
  <c r="AA920" i="8"/>
  <c r="AA921" i="8"/>
  <c r="AA922" i="8"/>
  <c r="AA923" i="8"/>
  <c r="AA924" i="8"/>
  <c r="AA925" i="8"/>
  <c r="AA926" i="8"/>
  <c r="AA927" i="8"/>
  <c r="AA928" i="8"/>
  <c r="AA929" i="8"/>
  <c r="AA930" i="8"/>
  <c r="AA931" i="8"/>
  <c r="AA932" i="8"/>
  <c r="AA933" i="8"/>
  <c r="AA934" i="8"/>
  <c r="AA935" i="8"/>
  <c r="AA936" i="8"/>
  <c r="AA937" i="8"/>
  <c r="AA938" i="8"/>
  <c r="AA939" i="8"/>
  <c r="AA940" i="8"/>
  <c r="AA941" i="8"/>
  <c r="AA942" i="8"/>
  <c r="AA943" i="8"/>
  <c r="AA944" i="8"/>
  <c r="AA945" i="8"/>
  <c r="AA946" i="8"/>
  <c r="AA947" i="8"/>
  <c r="AA948" i="8"/>
  <c r="AA949" i="8"/>
  <c r="AA950" i="8"/>
  <c r="AA951" i="8"/>
  <c r="AA952" i="8"/>
  <c r="AA953" i="8"/>
  <c r="AA954" i="8"/>
  <c r="AA955" i="8"/>
  <c r="AA956" i="8"/>
  <c r="AA957" i="8"/>
  <c r="AA958" i="8"/>
  <c r="AA959" i="8"/>
  <c r="AA960" i="8"/>
  <c r="AA961" i="8"/>
  <c r="AA962" i="8"/>
  <c r="AA963" i="8"/>
  <c r="AA964" i="8"/>
  <c r="AA965" i="8"/>
  <c r="AA966" i="8"/>
  <c r="AA967" i="8"/>
  <c r="AA968" i="8"/>
  <c r="AA969" i="8"/>
  <c r="AA970" i="8"/>
  <c r="AA971" i="8"/>
  <c r="AA972" i="8"/>
  <c r="AA973" i="8"/>
  <c r="AA974" i="8"/>
  <c r="AA975" i="8"/>
  <c r="AA976" i="8"/>
  <c r="AA977" i="8"/>
  <c r="AA978" i="8"/>
  <c r="AA979" i="8"/>
  <c r="AA980" i="8"/>
  <c r="AA981" i="8"/>
  <c r="AA982" i="8"/>
  <c r="AA983" i="8"/>
  <c r="AA984" i="8"/>
  <c r="AA985" i="8"/>
  <c r="AA986" i="8"/>
  <c r="AA987" i="8"/>
  <c r="AA988" i="8"/>
  <c r="AA989" i="8"/>
  <c r="AA990" i="8"/>
  <c r="AA991" i="8"/>
  <c r="AA992" i="8"/>
  <c r="AA993" i="8"/>
  <c r="AA994" i="8"/>
  <c r="AA995" i="8"/>
  <c r="AA996" i="8"/>
  <c r="AA997" i="8"/>
  <c r="AA998" i="8"/>
  <c r="AA999" i="8"/>
  <c r="AA1000" i="8"/>
  <c r="AA1001" i="8"/>
  <c r="AA1002" i="8"/>
  <c r="AA1003" i="8"/>
  <c r="AA1004" i="8"/>
  <c r="AA1005" i="8"/>
  <c r="AA1006" i="8"/>
  <c r="AA1007" i="8"/>
  <c r="AA1008" i="8"/>
  <c r="AA1009" i="8"/>
  <c r="AA1010" i="8"/>
  <c r="AA1011" i="8"/>
  <c r="AA1012" i="8"/>
  <c r="AA1013" i="8"/>
  <c r="AA1014" i="8"/>
  <c r="AA1015" i="8"/>
  <c r="AA1016" i="8"/>
  <c r="AA1017" i="8"/>
  <c r="AA1018" i="8"/>
  <c r="AA1019" i="8"/>
  <c r="AA1020" i="8"/>
  <c r="AA1021" i="8"/>
  <c r="AA1022" i="8"/>
  <c r="AA1023" i="8"/>
  <c r="AA1024" i="8"/>
  <c r="AA1025" i="8"/>
  <c r="AA1026" i="8"/>
  <c r="AA1027" i="8"/>
  <c r="AA1028" i="8"/>
  <c r="AA1029" i="8"/>
  <c r="AA1030" i="8"/>
  <c r="AA1031" i="8"/>
  <c r="AA1032" i="8"/>
  <c r="AA1033" i="8"/>
  <c r="AA1034" i="8"/>
  <c r="AA1035" i="8"/>
  <c r="AA1036" i="8"/>
  <c r="AA1037" i="8"/>
  <c r="AA1038" i="8"/>
  <c r="AA1039" i="8"/>
  <c r="AA1040" i="8"/>
  <c r="AA1041" i="8"/>
  <c r="AA1042" i="8"/>
  <c r="AA1043" i="8"/>
  <c r="AA1044" i="8"/>
  <c r="AA1045" i="8"/>
  <c r="AA1046" i="8"/>
  <c r="AA1047" i="8"/>
  <c r="AA1048" i="8"/>
  <c r="AA1049" i="8"/>
  <c r="AA1050" i="8"/>
  <c r="AA1051" i="8"/>
  <c r="AA1052" i="8"/>
  <c r="AA1053" i="8"/>
  <c r="AA1054" i="8"/>
  <c r="AA1055" i="8"/>
  <c r="AA1056" i="8"/>
  <c r="AA1057" i="8"/>
  <c r="AA1058" i="8"/>
  <c r="AA1059" i="8"/>
  <c r="AA1060" i="8"/>
  <c r="AA1061" i="8"/>
  <c r="AA1062" i="8"/>
  <c r="AA1063" i="8"/>
  <c r="AA1064" i="8"/>
  <c r="AA1065" i="8"/>
  <c r="AA1066" i="8"/>
  <c r="AA1067" i="8"/>
  <c r="AA1068" i="8"/>
  <c r="AA1069" i="8"/>
  <c r="AA1070" i="8"/>
  <c r="AA1071" i="8"/>
  <c r="AA1072" i="8"/>
  <c r="AA1073" i="8"/>
  <c r="AA1074" i="8"/>
  <c r="AA1075" i="8"/>
  <c r="AA1076" i="8"/>
  <c r="AA1077" i="8"/>
  <c r="AA1078" i="8"/>
  <c r="AA1079" i="8"/>
  <c r="AA1080" i="8"/>
  <c r="AA1081" i="8"/>
  <c r="AA1082" i="8"/>
  <c r="AA1083" i="8"/>
  <c r="AA1084" i="8"/>
  <c r="AA1085" i="8"/>
  <c r="AA1086" i="8"/>
  <c r="AA1087" i="8"/>
  <c r="AA1088" i="8"/>
  <c r="AA1089" i="8"/>
  <c r="AA1090" i="8"/>
  <c r="AA1091" i="8"/>
  <c r="AA1092" i="8"/>
  <c r="AA1093" i="8"/>
  <c r="AA1094" i="8"/>
  <c r="AA1095" i="8"/>
  <c r="AA1096" i="8"/>
  <c r="AA1097" i="8"/>
  <c r="AA1098" i="8"/>
  <c r="AA1099" i="8"/>
  <c r="AA1100" i="8"/>
  <c r="AA1101" i="8"/>
  <c r="AA1102" i="8"/>
  <c r="AA1103" i="8"/>
  <c r="AA1104" i="8"/>
  <c r="AA1105" i="8"/>
  <c r="AA1106" i="8"/>
  <c r="AA1107" i="8"/>
  <c r="AA1108" i="8"/>
  <c r="AA1109" i="8"/>
  <c r="AA1110" i="8"/>
  <c r="AA1111" i="8"/>
  <c r="AA1112" i="8"/>
  <c r="AA1113" i="8"/>
  <c r="AA1114" i="8"/>
  <c r="AA1115" i="8"/>
  <c r="AA1116" i="8"/>
  <c r="AA1117" i="8"/>
  <c r="AA1118" i="8"/>
  <c r="AA1119" i="8"/>
  <c r="AA1120" i="8"/>
  <c r="AA1121" i="8"/>
  <c r="AA1122" i="8"/>
  <c r="AA1123" i="8"/>
  <c r="AA1124" i="8"/>
  <c r="AA1125" i="8"/>
  <c r="AA1126" i="8"/>
  <c r="AA1127" i="8"/>
  <c r="AA1128" i="8"/>
  <c r="AA1129" i="8"/>
  <c r="AA1130" i="8"/>
  <c r="AA1131" i="8"/>
  <c r="AA1132" i="8"/>
  <c r="AA1133" i="8"/>
  <c r="AA1134" i="8"/>
  <c r="AA1135" i="8"/>
  <c r="AA1136" i="8"/>
  <c r="AA1137" i="8"/>
  <c r="AA1138" i="8"/>
  <c r="AA1139" i="8"/>
  <c r="AA1140" i="8"/>
  <c r="AA1141" i="8"/>
  <c r="AA1142" i="8"/>
  <c r="AA1143" i="8"/>
  <c r="AA1144" i="8"/>
  <c r="AA1145" i="8"/>
  <c r="AA1146" i="8"/>
  <c r="AA1147" i="8"/>
  <c r="AA1148" i="8"/>
  <c r="AA1149" i="8"/>
  <c r="AA1150" i="8"/>
  <c r="AA1151" i="8"/>
  <c r="AA1152" i="8"/>
  <c r="AA1153" i="8"/>
  <c r="AA1154" i="8"/>
  <c r="AA1155" i="8"/>
  <c r="AA1156" i="8"/>
  <c r="AA1157" i="8"/>
  <c r="AA1158" i="8"/>
  <c r="AA1159" i="8"/>
  <c r="AA1160" i="8"/>
  <c r="AA1161" i="8"/>
  <c r="AA1162" i="8"/>
  <c r="AA1163" i="8"/>
  <c r="AA1164" i="8"/>
  <c r="AA1165" i="8"/>
  <c r="AA1166" i="8"/>
  <c r="AA1167" i="8"/>
  <c r="AA1168" i="8"/>
  <c r="AA1169" i="8"/>
  <c r="AA1170" i="8"/>
  <c r="AA1171" i="8"/>
  <c r="AA1172" i="8"/>
  <c r="AA1173" i="8"/>
  <c r="AA1174" i="8"/>
  <c r="AA1175" i="8"/>
  <c r="AA1176" i="8"/>
  <c r="AA1177" i="8"/>
  <c r="AA1178" i="8"/>
  <c r="AA1179" i="8"/>
  <c r="AA1180" i="8"/>
  <c r="AA1181" i="8"/>
  <c r="AA1182" i="8"/>
  <c r="AA1183" i="8"/>
  <c r="AA1184" i="8"/>
  <c r="AA1185" i="8"/>
  <c r="AA1186" i="8"/>
  <c r="AA1187" i="8"/>
  <c r="AA1188" i="8"/>
  <c r="AA1189" i="8"/>
  <c r="AA1190" i="8"/>
  <c r="AA1191" i="8"/>
  <c r="AA1192" i="8"/>
  <c r="AA1193" i="8"/>
  <c r="AA1194" i="8"/>
  <c r="AA1195" i="8"/>
  <c r="AA1196" i="8"/>
  <c r="AA1197" i="8"/>
  <c r="AA1198" i="8"/>
  <c r="AA1199" i="8"/>
  <c r="AA1200" i="8"/>
  <c r="AA1201" i="8"/>
  <c r="AA1202" i="8"/>
  <c r="AA1203" i="8"/>
  <c r="AA1204" i="8"/>
  <c r="AA1205" i="8"/>
  <c r="AA1206" i="8"/>
  <c r="AA1207" i="8"/>
  <c r="AA1208" i="8"/>
  <c r="AA1209" i="8"/>
  <c r="AA1210" i="8"/>
  <c r="AA1211" i="8"/>
  <c r="AA1212" i="8"/>
  <c r="AA1213" i="8"/>
  <c r="AA1214" i="8"/>
  <c r="AA1215" i="8"/>
  <c r="AA1216" i="8"/>
  <c r="AA1217" i="8"/>
  <c r="AA1218" i="8"/>
  <c r="AA1219" i="8"/>
  <c r="AA1220" i="8"/>
  <c r="AA1221" i="8"/>
  <c r="AA1222" i="8"/>
  <c r="AA1223" i="8"/>
  <c r="AA1224" i="8"/>
  <c r="AA1225" i="8"/>
  <c r="AA1226" i="8"/>
  <c r="AA1227" i="8"/>
  <c r="AA1228" i="8"/>
  <c r="AA1229" i="8"/>
  <c r="AA1230" i="8"/>
  <c r="AA1231" i="8"/>
  <c r="AA1232" i="8"/>
  <c r="AA1233" i="8"/>
  <c r="AA1234" i="8"/>
  <c r="AA1235" i="8"/>
  <c r="AA1236" i="8"/>
  <c r="AA1237" i="8"/>
  <c r="AA1238" i="8"/>
  <c r="AA1239" i="8"/>
  <c r="AA1240" i="8"/>
  <c r="AA1241" i="8"/>
  <c r="AA1242" i="8"/>
  <c r="AA1243" i="8"/>
  <c r="AA1244" i="8"/>
  <c r="AA1245" i="8"/>
  <c r="AA1246" i="8"/>
  <c r="AA1247" i="8"/>
  <c r="AA1248" i="8"/>
  <c r="AA1249" i="8"/>
  <c r="AA1250" i="8"/>
  <c r="AA1251" i="8"/>
  <c r="AA1252" i="8"/>
  <c r="AA1253" i="8"/>
  <c r="AA1254" i="8"/>
  <c r="AA1255" i="8"/>
  <c r="AA1256" i="8"/>
  <c r="AA1257" i="8"/>
  <c r="AA1258" i="8"/>
  <c r="AA1259" i="8"/>
  <c r="AA1260" i="8"/>
  <c r="AA1261" i="8"/>
  <c r="AA1262" i="8"/>
  <c r="AA1263" i="8"/>
  <c r="AA1264" i="8"/>
  <c r="AA1265" i="8"/>
  <c r="AA1266" i="8"/>
  <c r="AA1267" i="8"/>
  <c r="AA1268" i="8"/>
  <c r="AA1269" i="8"/>
  <c r="AA1270" i="8"/>
  <c r="AA1271" i="8"/>
  <c r="AA1272" i="8"/>
  <c r="AA1273" i="8"/>
  <c r="AA1274" i="8"/>
  <c r="AA1275" i="8"/>
  <c r="AA1276" i="8"/>
  <c r="AA1277" i="8"/>
  <c r="AA1278" i="8"/>
  <c r="AA1279" i="8"/>
  <c r="AA1280" i="8"/>
  <c r="AA1281" i="8"/>
  <c r="AA1282" i="8"/>
  <c r="AA1283" i="8"/>
  <c r="AA1284" i="8"/>
  <c r="AA1285" i="8"/>
  <c r="AA1286" i="8"/>
  <c r="AA1287" i="8"/>
  <c r="AA1288" i="8"/>
  <c r="AA1289" i="8"/>
  <c r="AA1290" i="8"/>
  <c r="AA1291" i="8"/>
  <c r="AA1292" i="8"/>
  <c r="AA1293" i="8"/>
  <c r="AA1294" i="8"/>
  <c r="AA1295" i="8"/>
  <c r="AA1296" i="8"/>
  <c r="AA1297" i="8"/>
  <c r="AA1298" i="8"/>
  <c r="AA1299" i="8"/>
  <c r="AA1300" i="8"/>
  <c r="AA1301" i="8"/>
  <c r="AA1302" i="8"/>
  <c r="AA1303" i="8"/>
  <c r="AA1304" i="8"/>
  <c r="AA1305" i="8"/>
  <c r="AA1306" i="8"/>
  <c r="AA1307" i="8"/>
  <c r="AA1308" i="8"/>
  <c r="AA1309" i="8"/>
  <c r="AA1310" i="8"/>
  <c r="AA1311" i="8"/>
  <c r="AA1312" i="8"/>
  <c r="AA1313" i="8"/>
  <c r="AA1314" i="8"/>
  <c r="AA1315" i="8"/>
  <c r="AA1316" i="8"/>
  <c r="AA1317" i="8"/>
  <c r="AA1318" i="8"/>
  <c r="AA1319" i="8"/>
  <c r="AA1320" i="8"/>
  <c r="AA1321" i="8"/>
  <c r="AA1322" i="8"/>
  <c r="AA1323" i="8"/>
  <c r="AA1324" i="8"/>
  <c r="AA1325" i="8"/>
  <c r="AA1326" i="8"/>
  <c r="AA1327" i="8"/>
  <c r="AA1328" i="8"/>
  <c r="AA1329" i="8"/>
  <c r="AA1330" i="8"/>
  <c r="AA1331" i="8"/>
  <c r="AA1332" i="8"/>
  <c r="AA1333" i="8"/>
  <c r="AA1334" i="8"/>
  <c r="AA1335" i="8"/>
  <c r="AA1336" i="8"/>
  <c r="AA1337" i="8"/>
  <c r="AA1338" i="8"/>
  <c r="AA1339" i="8"/>
  <c r="AA1340" i="8"/>
  <c r="AA1341" i="8"/>
  <c r="AA1342" i="8"/>
  <c r="AA1343" i="8"/>
  <c r="AA1344" i="8"/>
  <c r="AA1345" i="8"/>
  <c r="AA1346" i="8"/>
  <c r="AA1347" i="8"/>
  <c r="AA1348" i="8"/>
  <c r="AA1349" i="8"/>
  <c r="AA1350" i="8"/>
  <c r="AA1351" i="8"/>
  <c r="AA1352" i="8"/>
  <c r="AA1353" i="8"/>
  <c r="AA1354" i="8"/>
  <c r="AA1355" i="8"/>
  <c r="AA1356" i="8"/>
  <c r="AA1357" i="8"/>
  <c r="AA1358" i="8"/>
  <c r="AA1359" i="8"/>
  <c r="AA1360" i="8"/>
  <c r="AA1361" i="8"/>
  <c r="AA1362" i="8"/>
  <c r="AA1363" i="8"/>
  <c r="AA1364" i="8"/>
  <c r="AA1365" i="8"/>
  <c r="AA1366" i="8"/>
  <c r="AA1367" i="8"/>
  <c r="AA1368" i="8"/>
  <c r="AA1369" i="8"/>
  <c r="AA1370" i="8"/>
  <c r="AA1371" i="8"/>
  <c r="AA1372" i="8"/>
  <c r="AA1373" i="8"/>
  <c r="AA1374" i="8"/>
  <c r="AA1375" i="8"/>
  <c r="AA1376" i="8"/>
  <c r="AA1377" i="8"/>
  <c r="AA1378" i="8"/>
  <c r="AA1379" i="8"/>
  <c r="AA1380" i="8"/>
  <c r="AA1381" i="8"/>
  <c r="AA1382" i="8"/>
  <c r="AA1383" i="8"/>
  <c r="AA1384" i="8"/>
  <c r="AA1385" i="8"/>
  <c r="AA1386" i="8"/>
  <c r="AA1387" i="8"/>
  <c r="AA1388" i="8"/>
  <c r="AA1389" i="8"/>
  <c r="AA1390" i="8"/>
  <c r="AA1391" i="8"/>
  <c r="AA1392" i="8"/>
  <c r="AA1393" i="8"/>
  <c r="AA1394" i="8"/>
  <c r="AA1395" i="8"/>
  <c r="AA1396" i="8"/>
  <c r="AA1397" i="8"/>
  <c r="AA1398" i="8"/>
  <c r="AA1399" i="8"/>
  <c r="AA1400" i="8"/>
  <c r="AA1401" i="8"/>
  <c r="AA1402" i="8"/>
  <c r="AA1403" i="8"/>
  <c r="AA1404" i="8"/>
  <c r="AA1405" i="8"/>
  <c r="AA1406" i="8"/>
  <c r="AA1407" i="8"/>
  <c r="AA1408" i="8"/>
  <c r="AA1409" i="8"/>
  <c r="AA1410" i="8"/>
  <c r="AA1411" i="8"/>
  <c r="AA1412" i="8"/>
  <c r="AA1413" i="8"/>
  <c r="AA1414" i="8"/>
  <c r="AA1415" i="8"/>
  <c r="AA1416" i="8"/>
  <c r="AA1417" i="8"/>
  <c r="AA1418" i="8"/>
  <c r="AA1419" i="8"/>
  <c r="AA1420" i="8"/>
  <c r="AA1421" i="8"/>
  <c r="AA1422" i="8"/>
  <c r="AA1423" i="8"/>
  <c r="AA1424" i="8"/>
  <c r="AA1425" i="8"/>
  <c r="AA1426" i="8"/>
  <c r="AA1427" i="8"/>
  <c r="AA1428" i="8"/>
  <c r="AA1429" i="8"/>
  <c r="AA1430" i="8"/>
  <c r="AA1431" i="8"/>
  <c r="AA1432" i="8"/>
  <c r="AA1433" i="8"/>
  <c r="AA1434" i="8"/>
  <c r="AA1435" i="8"/>
  <c r="AA1436" i="8"/>
  <c r="AA1437" i="8"/>
  <c r="AA1438" i="8"/>
  <c r="AA1439" i="8"/>
  <c r="AA1440" i="8"/>
  <c r="AA1441" i="8"/>
  <c r="AA1442" i="8"/>
  <c r="AA1443" i="8"/>
  <c r="AA1444" i="8"/>
  <c r="AA1445" i="8"/>
  <c r="AA1446" i="8"/>
  <c r="AA1447" i="8"/>
  <c r="AA1448" i="8"/>
  <c r="AA1449" i="8"/>
  <c r="AA1450" i="8"/>
  <c r="AA1451" i="8"/>
  <c r="AA1452" i="8"/>
  <c r="AA1453" i="8"/>
  <c r="AA1454" i="8"/>
  <c r="AA1455" i="8"/>
  <c r="AA1456" i="8"/>
  <c r="AA1457" i="8"/>
  <c r="AA1458" i="8"/>
  <c r="AA1459" i="8"/>
  <c r="AA1460" i="8"/>
  <c r="AA1461" i="8"/>
  <c r="AA1462" i="8"/>
  <c r="AA1463" i="8"/>
  <c r="AA1464" i="8"/>
  <c r="AA1465" i="8"/>
  <c r="AA1466" i="8"/>
  <c r="AA1467" i="8"/>
  <c r="AA1468" i="8"/>
  <c r="AA1469" i="8"/>
  <c r="AA1470" i="8"/>
  <c r="AA1471" i="8"/>
  <c r="AA1472" i="8"/>
  <c r="AA1473" i="8"/>
  <c r="AA1474" i="8"/>
  <c r="AA1475" i="8"/>
  <c r="AA1476" i="8"/>
  <c r="AA1477" i="8"/>
  <c r="AA1478" i="8"/>
  <c r="AA1479" i="8"/>
  <c r="AA1480" i="8"/>
  <c r="AA1481" i="8"/>
  <c r="AA1482" i="8"/>
  <c r="AA1483" i="8"/>
  <c r="AA1484" i="8"/>
  <c r="AA1485" i="8"/>
  <c r="AA1486" i="8"/>
  <c r="AA1487" i="8"/>
  <c r="AA1488" i="8"/>
  <c r="AA1489" i="8"/>
  <c r="AA1490" i="8"/>
  <c r="AA1491" i="8"/>
  <c r="AA1492" i="8"/>
  <c r="AA1493" i="8"/>
  <c r="AA1494" i="8"/>
  <c r="AA1495" i="8"/>
  <c r="AA1496" i="8"/>
  <c r="AA1497" i="8"/>
  <c r="AA1498" i="8"/>
  <c r="AA1499" i="8"/>
  <c r="AA1500" i="8"/>
  <c r="AA1501" i="8"/>
  <c r="AA1502" i="8"/>
  <c r="AA1503" i="8"/>
  <c r="AA1504" i="8"/>
  <c r="AA1505" i="8"/>
  <c r="AA1506" i="8"/>
  <c r="AA1507" i="8"/>
  <c r="AA1508" i="8"/>
  <c r="AA1509" i="8"/>
  <c r="AA1510" i="8"/>
  <c r="AA1511" i="8"/>
  <c r="AA1512" i="8"/>
  <c r="AA1513" i="8"/>
  <c r="AA1514" i="8"/>
  <c r="AA1515" i="8"/>
  <c r="AA1516" i="8"/>
  <c r="AA1517" i="8"/>
  <c r="AA1518" i="8"/>
  <c r="AA1519" i="8"/>
  <c r="AA1520" i="8"/>
  <c r="AA1521" i="8"/>
  <c r="AA1522" i="8"/>
  <c r="AA1523" i="8"/>
  <c r="AA1524" i="8"/>
  <c r="AA1525" i="8"/>
  <c r="AA1526" i="8"/>
  <c r="AA1527" i="8"/>
  <c r="AA1528" i="8"/>
  <c r="AA1529" i="8"/>
  <c r="AA1530" i="8"/>
  <c r="AA1531" i="8"/>
  <c r="AA1532" i="8"/>
  <c r="AA1533" i="8"/>
  <c r="AA1534" i="8"/>
  <c r="AA1535" i="8"/>
  <c r="AA1536" i="8"/>
  <c r="AA1537" i="8"/>
  <c r="AA1538" i="8"/>
  <c r="AA1539" i="8"/>
  <c r="AA1540" i="8"/>
  <c r="AA1541" i="8"/>
  <c r="AA1542" i="8"/>
  <c r="AA1543" i="8"/>
  <c r="AA1544" i="8"/>
  <c r="AA1545" i="8"/>
  <c r="AA1546" i="8"/>
  <c r="AA1547" i="8"/>
  <c r="AA1548" i="8"/>
  <c r="AA1549" i="8"/>
  <c r="AA1550" i="8"/>
  <c r="AA1551" i="8"/>
  <c r="AA1552" i="8"/>
  <c r="AA1553" i="8"/>
  <c r="AA1554" i="8"/>
  <c r="AA1555" i="8"/>
  <c r="AA1556" i="8"/>
  <c r="AA1557" i="8"/>
  <c r="AA1558" i="8"/>
  <c r="AA1559" i="8"/>
  <c r="AA1560" i="8"/>
  <c r="AA1561" i="8"/>
  <c r="AA1562" i="8"/>
  <c r="AA1563" i="8"/>
  <c r="AA1564" i="8"/>
  <c r="AA1565" i="8"/>
  <c r="AA1566" i="8"/>
  <c r="AA1567" i="8"/>
  <c r="AA1568" i="8"/>
  <c r="AA1569" i="8"/>
  <c r="AA1570" i="8"/>
  <c r="AA1571" i="8"/>
  <c r="AA1572" i="8"/>
  <c r="AA1573" i="8"/>
  <c r="AA1574" i="8"/>
  <c r="AA1575" i="8"/>
  <c r="AA1576" i="8"/>
  <c r="AA1577" i="8"/>
  <c r="AA1578" i="8"/>
  <c r="AA1579" i="8"/>
  <c r="AA1580" i="8"/>
  <c r="AA1581" i="8"/>
  <c r="AA1582" i="8"/>
  <c r="AA1583" i="8"/>
  <c r="AA1584" i="8"/>
  <c r="AA1585" i="8"/>
  <c r="AA1586" i="8"/>
  <c r="AA1587" i="8"/>
  <c r="AA1588" i="8"/>
  <c r="AA1589" i="8"/>
  <c r="AA1590" i="8"/>
  <c r="AA1591" i="8"/>
  <c r="AA1592" i="8"/>
  <c r="AA1593" i="8"/>
  <c r="AA1594" i="8"/>
  <c r="AA1595" i="8"/>
  <c r="AA1596" i="8"/>
  <c r="AA1597" i="8"/>
  <c r="AA1598" i="8"/>
  <c r="AA1599" i="8"/>
  <c r="AA1600" i="8"/>
  <c r="AA1601" i="8"/>
  <c r="AA1602" i="8"/>
  <c r="AA1603" i="8"/>
  <c r="AA1604" i="8"/>
  <c r="AA1605" i="8"/>
  <c r="AA1606" i="8"/>
  <c r="AA1607" i="8"/>
  <c r="AA1608" i="8"/>
  <c r="AA1609" i="8"/>
  <c r="AA1610" i="8"/>
  <c r="AA1611" i="8"/>
  <c r="AA1612" i="8"/>
  <c r="AA1613" i="8"/>
  <c r="AA1614" i="8"/>
  <c r="AA1615" i="8"/>
  <c r="AA1616" i="8"/>
  <c r="AA1617" i="8"/>
  <c r="AA1618" i="8"/>
  <c r="AA1619" i="8"/>
  <c r="AA1620" i="8"/>
  <c r="AA1621" i="8"/>
  <c r="AA1622" i="8"/>
  <c r="AA1623" i="8"/>
  <c r="AA1624" i="8"/>
  <c r="AA1625" i="8"/>
  <c r="AA1626" i="8"/>
  <c r="AA1627" i="8"/>
  <c r="AA1628" i="8"/>
  <c r="AA1629" i="8"/>
  <c r="AA1630" i="8"/>
  <c r="AA1631" i="8"/>
  <c r="AA1632" i="8"/>
  <c r="AA1633" i="8"/>
  <c r="AA1634" i="8"/>
  <c r="AA1635" i="8"/>
  <c r="AA1636" i="8"/>
  <c r="AA1637" i="8"/>
  <c r="AA1638" i="8"/>
  <c r="AA1639" i="8"/>
  <c r="AA1640" i="8"/>
  <c r="AA1641" i="8"/>
  <c r="AA1642" i="8"/>
  <c r="AA1643" i="8"/>
  <c r="AA1644" i="8"/>
  <c r="AA1645" i="8"/>
  <c r="AA1646" i="8"/>
  <c r="AA1647" i="8"/>
  <c r="AA1648" i="8"/>
  <c r="AA1649" i="8"/>
  <c r="AA1650" i="8"/>
  <c r="AA1651" i="8"/>
  <c r="AA1652" i="8"/>
  <c r="AA1653" i="8"/>
  <c r="AA1654" i="8"/>
  <c r="AA1655" i="8"/>
  <c r="AA1656" i="8"/>
  <c r="AA1657" i="8"/>
  <c r="AA1658" i="8"/>
  <c r="AA1659" i="8"/>
  <c r="AA1660" i="8"/>
  <c r="AA1661" i="8"/>
  <c r="AA1662" i="8"/>
  <c r="AA1663" i="8"/>
  <c r="AA1664" i="8"/>
  <c r="AA1665" i="8"/>
  <c r="AA1666" i="8"/>
  <c r="AA1667" i="8"/>
  <c r="AA1668" i="8"/>
  <c r="AA1669" i="8"/>
  <c r="AA1670" i="8"/>
  <c r="AA1671" i="8"/>
  <c r="AA1672" i="8"/>
  <c r="AA1673" i="8"/>
  <c r="AA1674" i="8"/>
  <c r="AA1675" i="8"/>
  <c r="AA1676" i="8"/>
  <c r="AA1677" i="8"/>
  <c r="AA1678" i="8"/>
  <c r="AA1679" i="8"/>
  <c r="AA1680" i="8"/>
  <c r="AA1681" i="8"/>
  <c r="AA1682" i="8"/>
  <c r="AA1683" i="8"/>
  <c r="AA1684" i="8"/>
  <c r="AA1685" i="8"/>
  <c r="AA1686" i="8"/>
  <c r="AA1687" i="8"/>
  <c r="AA1688" i="8"/>
  <c r="AA1689" i="8"/>
  <c r="AA1690" i="8"/>
  <c r="AA1691" i="8"/>
  <c r="AA1692" i="8"/>
  <c r="AA1693" i="8"/>
  <c r="AA1694" i="8"/>
  <c r="AA1695" i="8"/>
  <c r="AA1696" i="8"/>
  <c r="AA1697" i="8"/>
  <c r="AA1698" i="8"/>
  <c r="AA1699" i="8"/>
  <c r="AA1700" i="8"/>
  <c r="AA1701" i="8"/>
  <c r="AA1702" i="8"/>
  <c r="AA1703" i="8"/>
  <c r="AA1704" i="8"/>
  <c r="AA1705" i="8"/>
  <c r="AA1706" i="8"/>
  <c r="AA1707" i="8"/>
  <c r="AA1708" i="8"/>
  <c r="AA1709" i="8"/>
  <c r="AA1710" i="8"/>
  <c r="AA1711" i="8"/>
  <c r="AA1712" i="8"/>
  <c r="AA1713" i="8"/>
  <c r="AA1714" i="8"/>
  <c r="AA1715" i="8"/>
  <c r="AA1716" i="8"/>
  <c r="AA1717" i="8"/>
  <c r="AA1718" i="8"/>
  <c r="AA1719" i="8"/>
  <c r="AA1720" i="8"/>
  <c r="AA1721" i="8"/>
  <c r="AA1722" i="8"/>
  <c r="AA1723" i="8"/>
  <c r="AA1724" i="8"/>
  <c r="AA1725" i="8"/>
  <c r="AA1726" i="8"/>
  <c r="AA1727" i="8"/>
  <c r="AA1728" i="8"/>
  <c r="AA1729" i="8"/>
  <c r="AA1730" i="8"/>
  <c r="AA1731" i="8"/>
  <c r="AA1732" i="8"/>
  <c r="AA1733" i="8"/>
  <c r="AA1734" i="8"/>
  <c r="AA1735" i="8"/>
  <c r="AA1736" i="8"/>
  <c r="AA1737" i="8"/>
  <c r="AA1738" i="8"/>
  <c r="AA1739" i="8"/>
  <c r="AA1740" i="8"/>
  <c r="AA1741" i="8"/>
  <c r="AA1742" i="8"/>
  <c r="AA1743" i="8"/>
  <c r="AA1744" i="8"/>
  <c r="AA1745" i="8"/>
  <c r="AA1746" i="8"/>
  <c r="AA1747" i="8"/>
  <c r="AA1748" i="8"/>
  <c r="AA1749" i="8"/>
  <c r="AA1750" i="8"/>
  <c r="AA1751" i="8"/>
  <c r="AA1752" i="8"/>
  <c r="AA1753" i="8"/>
  <c r="AA1754" i="8"/>
  <c r="AA1755" i="8"/>
  <c r="AA1756" i="8"/>
  <c r="AA1757" i="8"/>
  <c r="AA1758" i="8"/>
  <c r="AA1759" i="8"/>
  <c r="AA1760" i="8"/>
  <c r="AA1761" i="8"/>
  <c r="AA1762" i="8"/>
  <c r="AA1763" i="8"/>
  <c r="AA1764" i="8"/>
  <c r="AA1765" i="8"/>
  <c r="AA1766" i="8"/>
  <c r="AA1767" i="8"/>
  <c r="AA1768" i="8"/>
  <c r="AA1769" i="8"/>
  <c r="AA1770" i="8"/>
  <c r="AA1771" i="8"/>
  <c r="AA1772" i="8"/>
  <c r="AA1773" i="8"/>
  <c r="AA1774" i="8"/>
  <c r="AA1775" i="8"/>
  <c r="AA1776" i="8"/>
  <c r="AA1777" i="8"/>
  <c r="AA1778" i="8"/>
  <c r="AA1779" i="8"/>
  <c r="AA1780" i="8"/>
  <c r="AA1781" i="8"/>
  <c r="AA1782" i="8"/>
  <c r="AA1783" i="8"/>
  <c r="AA1784" i="8"/>
  <c r="AA1785" i="8"/>
  <c r="AA1786" i="8"/>
  <c r="AA1787" i="8"/>
  <c r="AA1788" i="8"/>
  <c r="AA1789" i="8"/>
  <c r="AA1790" i="8"/>
  <c r="AA1791" i="8"/>
  <c r="AA1792" i="8"/>
  <c r="AA1793" i="8"/>
  <c r="AA1794" i="8"/>
  <c r="AA1795" i="8"/>
  <c r="AA1796" i="8"/>
  <c r="AA1797" i="8"/>
  <c r="AA1798" i="8"/>
  <c r="AA1799" i="8"/>
  <c r="AA1800" i="8"/>
  <c r="AA1801" i="8"/>
  <c r="AA1802" i="8"/>
  <c r="AA1803" i="8"/>
  <c r="AA1804" i="8"/>
  <c r="AA1805" i="8"/>
  <c r="AA1806" i="8"/>
  <c r="AA1807" i="8"/>
  <c r="AA1808" i="8"/>
  <c r="AA1809" i="8"/>
  <c r="AA1810" i="8"/>
  <c r="AA1811" i="8"/>
  <c r="AA1812" i="8"/>
  <c r="AA1813" i="8"/>
  <c r="AA1814" i="8"/>
  <c r="AA1815" i="8"/>
  <c r="AA1816" i="8"/>
  <c r="AA1817" i="8"/>
  <c r="AA1818" i="8"/>
  <c r="AA1819" i="8"/>
  <c r="AA1820" i="8"/>
  <c r="AA1821" i="8"/>
  <c r="AA1822" i="8"/>
  <c r="AA1823" i="8"/>
  <c r="AA1824" i="8"/>
  <c r="AA1825" i="8"/>
  <c r="AA1826" i="8"/>
  <c r="AA1827" i="8"/>
  <c r="AA1828" i="8"/>
  <c r="AA1829" i="8"/>
  <c r="AA1830" i="8"/>
  <c r="AA1831" i="8"/>
  <c r="AA1832" i="8"/>
  <c r="AA1833" i="8"/>
  <c r="AA1834" i="8"/>
  <c r="AA1835" i="8"/>
  <c r="AA1836" i="8"/>
  <c r="AA1837" i="8"/>
  <c r="AA1838" i="8"/>
  <c r="AA1839" i="8"/>
  <c r="AA1840" i="8"/>
  <c r="AA1841" i="8"/>
  <c r="AA1842" i="8"/>
  <c r="AA1843" i="8"/>
  <c r="AA1844" i="8"/>
  <c r="AA1845" i="8"/>
  <c r="AA1846" i="8"/>
  <c r="AA1847" i="8"/>
  <c r="AA1848" i="8"/>
  <c r="AA1849" i="8"/>
  <c r="AA1850" i="8"/>
  <c r="AA1851" i="8"/>
  <c r="AA1852" i="8"/>
  <c r="AA1853" i="8"/>
  <c r="AA1854" i="8"/>
  <c r="AA1855" i="8"/>
  <c r="AA1856" i="8"/>
  <c r="AA1857" i="8"/>
  <c r="AA1858" i="8"/>
  <c r="AA1859" i="8"/>
  <c r="AA1860" i="8"/>
  <c r="AA1861" i="8"/>
  <c r="AA1862" i="8"/>
  <c r="AA1863" i="8"/>
  <c r="AA1864" i="8"/>
  <c r="AA1865" i="8"/>
  <c r="AA1866" i="8"/>
  <c r="AA1867" i="8"/>
  <c r="AA1868" i="8"/>
  <c r="AA1869" i="8"/>
  <c r="AA1870" i="8"/>
  <c r="AA1871" i="8"/>
  <c r="AA1872" i="8"/>
  <c r="AA1873" i="8"/>
  <c r="AA1874" i="8"/>
  <c r="AA1875" i="8"/>
  <c r="AA1876" i="8"/>
  <c r="AA1877" i="8"/>
  <c r="AA1878" i="8"/>
  <c r="AA1879" i="8"/>
  <c r="AA1880" i="8"/>
  <c r="AA1881" i="8"/>
  <c r="AA1882" i="8"/>
  <c r="AA1883" i="8"/>
  <c r="AA1884" i="8"/>
  <c r="AA1885" i="8"/>
  <c r="AA1886" i="8"/>
  <c r="AA1887" i="8"/>
  <c r="AA1888" i="8"/>
  <c r="AA1889" i="8"/>
  <c r="AA1890" i="8"/>
  <c r="AA1891" i="8"/>
  <c r="AA1892" i="8"/>
  <c r="AA1893" i="8"/>
  <c r="AA1894" i="8"/>
  <c r="AA1895" i="8"/>
  <c r="AA1896" i="8"/>
  <c r="AA1897" i="8"/>
  <c r="AA1898" i="8"/>
  <c r="AA1899" i="8"/>
  <c r="AA1900" i="8"/>
  <c r="AA1901" i="8"/>
  <c r="AA1902" i="8"/>
  <c r="AA1903" i="8"/>
  <c r="AA1904" i="8"/>
  <c r="AA1905" i="8"/>
  <c r="AA1906" i="8"/>
  <c r="AA1907" i="8"/>
  <c r="AA1908" i="8"/>
  <c r="AA1909" i="8"/>
  <c r="AA1910" i="8"/>
  <c r="AA1911" i="8"/>
  <c r="AA1912" i="8"/>
  <c r="AA1913" i="8"/>
  <c r="AA1914" i="8"/>
  <c r="AA1915" i="8"/>
  <c r="AA1916" i="8"/>
  <c r="AA1917" i="8"/>
  <c r="AA1918" i="8"/>
  <c r="AA1919" i="8"/>
  <c r="AA1920" i="8"/>
  <c r="AA1921" i="8"/>
  <c r="AA1922" i="8"/>
  <c r="AA1923" i="8"/>
  <c r="AA1924" i="8"/>
  <c r="AA1925" i="8"/>
  <c r="AA1926" i="8"/>
  <c r="AA1927" i="8"/>
  <c r="AA1928" i="8"/>
  <c r="AA1929" i="8"/>
  <c r="AA1930" i="8"/>
  <c r="AA1931" i="8"/>
  <c r="AA1932" i="8"/>
  <c r="AA1933" i="8"/>
  <c r="AA1934" i="8"/>
  <c r="AA1935" i="8"/>
  <c r="AA1936" i="8"/>
  <c r="AA1937" i="8"/>
  <c r="AA1938" i="8"/>
  <c r="AA1939" i="8"/>
  <c r="AA1940" i="8"/>
  <c r="AA1941" i="8"/>
  <c r="AA1942" i="8"/>
  <c r="AA1943" i="8"/>
  <c r="AA1944" i="8"/>
  <c r="AA1945" i="8"/>
  <c r="AA1946" i="8"/>
  <c r="AA1947" i="8"/>
  <c r="AA1948" i="8"/>
  <c r="AA1949" i="8"/>
  <c r="AA1950" i="8"/>
  <c r="AA1951" i="8"/>
  <c r="AA1952" i="8"/>
  <c r="AA1953" i="8"/>
  <c r="AA1954" i="8"/>
  <c r="AA1955" i="8"/>
  <c r="AA1956" i="8"/>
  <c r="AA1957" i="8"/>
  <c r="AA1958" i="8"/>
  <c r="AA1959" i="8"/>
  <c r="AA1960" i="8"/>
  <c r="AA1961" i="8"/>
  <c r="AA1962" i="8"/>
  <c r="AA1963" i="8"/>
  <c r="AA1964" i="8"/>
  <c r="AA1965" i="8"/>
  <c r="AA1966" i="8"/>
  <c r="AA1967" i="8"/>
  <c r="AA1968" i="8"/>
  <c r="AA1969" i="8"/>
  <c r="AA1970" i="8"/>
  <c r="AA1971" i="8"/>
  <c r="AA1972" i="8"/>
  <c r="AA1973" i="8"/>
  <c r="AA1974" i="8"/>
  <c r="AA1975" i="8"/>
  <c r="AA1976" i="8"/>
  <c r="AA1977" i="8"/>
  <c r="AA1978" i="8"/>
  <c r="AA1979" i="8"/>
  <c r="AA1980" i="8"/>
  <c r="AA1981" i="8"/>
  <c r="AA1982" i="8"/>
  <c r="AA1983" i="8"/>
  <c r="AA1984" i="8"/>
  <c r="AA1985" i="8"/>
  <c r="AA1986" i="8"/>
  <c r="AA1987" i="8"/>
  <c r="AA1988" i="8"/>
  <c r="AA1989" i="8"/>
  <c r="AA1990" i="8"/>
  <c r="AA1991" i="8"/>
  <c r="AA1992" i="8"/>
  <c r="AA1993" i="8"/>
  <c r="AA1994" i="8"/>
  <c r="AA1995" i="8"/>
  <c r="AA1996" i="8"/>
  <c r="AA1997" i="8"/>
  <c r="AA1998" i="8"/>
  <c r="AA1999" i="8"/>
  <c r="AA2000" i="8"/>
  <c r="AA2001" i="8"/>
  <c r="AA2002" i="8"/>
  <c r="AA2003" i="8"/>
  <c r="AA2004" i="8"/>
  <c r="AA2005" i="8"/>
  <c r="AA2006" i="8"/>
  <c r="AA2007" i="8"/>
  <c r="AA2008" i="8"/>
  <c r="AA2009" i="8"/>
  <c r="AA2010" i="8"/>
  <c r="AA2011" i="8"/>
  <c r="AA2012" i="8"/>
  <c r="AA2013" i="8"/>
  <c r="AA2014" i="8"/>
  <c r="AA2015" i="8"/>
  <c r="AA2016" i="8"/>
  <c r="AA2017" i="8"/>
  <c r="AA2018" i="8"/>
  <c r="AA2019" i="8"/>
  <c r="AA2020" i="8"/>
  <c r="AA2021" i="8"/>
  <c r="AA2022" i="8"/>
  <c r="AA2023" i="8"/>
  <c r="AA2024" i="8"/>
  <c r="AA2025" i="8"/>
  <c r="AA2026" i="8"/>
  <c r="AA2027" i="8"/>
  <c r="AA2028" i="8"/>
  <c r="AA2029" i="8"/>
  <c r="AA2030" i="8"/>
  <c r="AA2031" i="8"/>
  <c r="AA2032" i="8"/>
  <c r="AA2033" i="8"/>
  <c r="AA2034" i="8"/>
  <c r="AA2035" i="8"/>
  <c r="AA2036" i="8"/>
  <c r="AA2037" i="8"/>
  <c r="AA2038" i="8"/>
  <c r="AA2039" i="8"/>
  <c r="AA2040" i="8"/>
  <c r="AA2041" i="8"/>
  <c r="AA2042" i="8"/>
  <c r="AA2043" i="8"/>
  <c r="AA2044" i="8"/>
  <c r="AA2045" i="8"/>
  <c r="AA2046" i="8"/>
  <c r="AA2047" i="8"/>
  <c r="AA2048" i="8"/>
  <c r="AA2049" i="8"/>
  <c r="AA2050" i="8"/>
  <c r="AA2051" i="8"/>
  <c r="AA2052" i="8"/>
  <c r="AA2053" i="8"/>
  <c r="AA2054" i="8"/>
  <c r="AA2055" i="8"/>
  <c r="AA2056" i="8"/>
  <c r="AA2057" i="8"/>
  <c r="AA2058" i="8"/>
  <c r="AA2059" i="8"/>
  <c r="AA2060" i="8"/>
  <c r="AA2061" i="8"/>
  <c r="AA2062" i="8"/>
  <c r="AA2063" i="8"/>
  <c r="AA2064" i="8"/>
  <c r="AA2065" i="8"/>
  <c r="AA2066" i="8"/>
  <c r="AA2067" i="8"/>
  <c r="AA2068" i="8"/>
  <c r="AA2069" i="8"/>
  <c r="AA2070" i="8"/>
  <c r="AA2071" i="8"/>
  <c r="AA2072" i="8"/>
  <c r="AA2073" i="8"/>
  <c r="AA2074" i="8"/>
  <c r="AA2075" i="8"/>
  <c r="AA2076" i="8"/>
  <c r="AA2077" i="8"/>
  <c r="AA2078" i="8"/>
  <c r="AA2079" i="8"/>
  <c r="AA2080" i="8"/>
  <c r="AA2081" i="8"/>
  <c r="AA2082" i="8"/>
  <c r="AA2083" i="8"/>
  <c r="AA2084" i="8"/>
  <c r="AA2085" i="8"/>
  <c r="AA2086" i="8"/>
  <c r="AA2087" i="8"/>
  <c r="AA2088" i="8"/>
  <c r="AA2089" i="8"/>
  <c r="AA2090" i="8"/>
  <c r="AA2091" i="8"/>
  <c r="AA2092" i="8"/>
  <c r="AA2093" i="8"/>
  <c r="AA2094" i="8"/>
  <c r="AA2095" i="8"/>
  <c r="AA2096" i="8"/>
  <c r="AA2097" i="8"/>
  <c r="AA2098" i="8"/>
  <c r="AA2099" i="8"/>
  <c r="AA2100" i="8"/>
  <c r="AA2101" i="8"/>
  <c r="AA2102" i="8"/>
  <c r="AA2103" i="8"/>
  <c r="AA2104" i="8"/>
  <c r="AA2105" i="8"/>
  <c r="AA2106" i="8"/>
  <c r="AA2107" i="8"/>
  <c r="AA2108" i="8"/>
  <c r="AA2109" i="8"/>
  <c r="AA2110" i="8"/>
  <c r="AA2111" i="8"/>
  <c r="AA2112" i="8"/>
  <c r="AA2113" i="8"/>
  <c r="AA2114" i="8"/>
  <c r="AA2115" i="8"/>
  <c r="AA2116" i="8"/>
  <c r="AA2117" i="8"/>
  <c r="AA2118" i="8"/>
  <c r="AA2119" i="8"/>
  <c r="AA2120" i="8"/>
  <c r="AA2121" i="8"/>
  <c r="AA2122" i="8"/>
  <c r="AA2123" i="8"/>
  <c r="AA2124" i="8"/>
  <c r="AA2125" i="8"/>
  <c r="AA2126" i="8"/>
  <c r="AA2127" i="8"/>
  <c r="AA2128" i="8"/>
  <c r="AA2129" i="8"/>
  <c r="AA2130" i="8"/>
  <c r="AA2131" i="8"/>
  <c r="AA2132" i="8"/>
  <c r="AA2133" i="8"/>
  <c r="AA2134" i="8"/>
  <c r="AA2135" i="8"/>
  <c r="AA2136" i="8"/>
  <c r="AA2137" i="8"/>
  <c r="AA2138" i="8"/>
  <c r="AA2139" i="8"/>
  <c r="AA2140" i="8"/>
  <c r="AA2141" i="8"/>
  <c r="AA2142" i="8"/>
  <c r="AA2143" i="8"/>
  <c r="AA2144" i="8"/>
  <c r="AA2145" i="8"/>
  <c r="AA2146" i="8"/>
  <c r="AA2147" i="8"/>
  <c r="AA2148" i="8"/>
  <c r="AA2149" i="8"/>
  <c r="AA2150" i="8"/>
  <c r="AA2151" i="8"/>
  <c r="AA2152" i="8"/>
  <c r="AA2153" i="8"/>
  <c r="AA2154" i="8"/>
  <c r="AA2155" i="8"/>
  <c r="AA2156" i="8"/>
  <c r="AA2157" i="8"/>
  <c r="AA2158" i="8"/>
  <c r="AA2159" i="8"/>
  <c r="AA2160" i="8"/>
  <c r="AA2161" i="8"/>
  <c r="AA2162" i="8"/>
  <c r="AA2163" i="8"/>
  <c r="AA2164" i="8"/>
  <c r="AA2165" i="8"/>
  <c r="AA2166" i="8"/>
  <c r="AA2167" i="8"/>
  <c r="AA2168" i="8"/>
  <c r="AA2169" i="8"/>
  <c r="AA2170" i="8"/>
  <c r="AA2171" i="8"/>
  <c r="AA2172" i="8"/>
  <c r="AA2173" i="8"/>
  <c r="AA2174" i="8"/>
  <c r="AA2175" i="8"/>
  <c r="AA2176" i="8"/>
  <c r="AA2177" i="8"/>
  <c r="AA2178" i="8"/>
  <c r="AA2179" i="8"/>
  <c r="AA2180" i="8"/>
  <c r="AA2181" i="8"/>
  <c r="AA2182" i="8"/>
  <c r="AA2183" i="8"/>
  <c r="AA2184" i="8"/>
  <c r="AA2185" i="8"/>
  <c r="AA2186" i="8"/>
  <c r="AA2187" i="8"/>
  <c r="AA2188" i="8"/>
  <c r="AA2189" i="8"/>
  <c r="AA2190" i="8"/>
  <c r="AA2191" i="8"/>
  <c r="AA2192" i="8"/>
  <c r="AA2193" i="8"/>
  <c r="AA2194" i="8"/>
  <c r="AA2195" i="8"/>
  <c r="AA2196" i="8"/>
  <c r="AA2197" i="8"/>
  <c r="AA2198" i="8"/>
  <c r="AA2199" i="8"/>
  <c r="AA2200" i="8"/>
  <c r="AA2201" i="8"/>
  <c r="AA2202" i="8"/>
  <c r="AA2203" i="8"/>
  <c r="AA2204" i="8"/>
  <c r="AA2205" i="8"/>
  <c r="AA2206" i="8"/>
  <c r="AA2207" i="8"/>
  <c r="AA2208" i="8"/>
  <c r="AA2209" i="8"/>
  <c r="AA2210" i="8"/>
  <c r="AA2211" i="8"/>
  <c r="AA2212" i="8"/>
  <c r="AA2213" i="8"/>
  <c r="AA2214" i="8"/>
  <c r="AA2215" i="8"/>
  <c r="AA2216" i="8"/>
  <c r="AA2217" i="8"/>
  <c r="AA2218" i="8"/>
  <c r="AA2219" i="8"/>
  <c r="AA2220" i="8"/>
  <c r="AA2221" i="8"/>
  <c r="AA2222" i="8"/>
  <c r="AA2223" i="8"/>
  <c r="AA2224" i="8"/>
  <c r="AA2225" i="8"/>
  <c r="AA2226" i="8"/>
  <c r="AA2227" i="8"/>
  <c r="AA2228" i="8"/>
  <c r="AA2229" i="8"/>
  <c r="AA2230" i="8"/>
  <c r="AA2231" i="8"/>
  <c r="AA2232" i="8"/>
  <c r="AA2233" i="8"/>
  <c r="AA2234" i="8"/>
  <c r="AA2235" i="8"/>
  <c r="AA2236" i="8"/>
  <c r="AA2237" i="8"/>
  <c r="AA2238" i="8"/>
  <c r="AA2239" i="8"/>
  <c r="AA2240" i="8"/>
  <c r="AA7" i="8"/>
  <c r="F3" i="5" l="1"/>
  <c r="F4" i="5"/>
  <c r="F5" i="5"/>
  <c r="F6" i="5"/>
  <c r="F7" i="5"/>
  <c r="F8" i="5"/>
  <c r="F9" i="5"/>
  <c r="F10" i="5"/>
  <c r="F11" i="5"/>
  <c r="F12" i="5"/>
  <c r="F13" i="5"/>
  <c r="F14" i="5"/>
  <c r="F15" i="5"/>
  <c r="F16" i="5"/>
  <c r="F17" i="5"/>
  <c r="F18" i="5"/>
  <c r="F19" i="5"/>
  <c r="F20" i="5"/>
  <c r="F21" i="5"/>
  <c r="F22" i="5"/>
  <c r="F23" i="5"/>
  <c r="F24" i="5"/>
  <c r="F25" i="5"/>
  <c r="F26" i="5"/>
  <c r="F27" i="5"/>
  <c r="F28" i="5"/>
  <c r="F29" i="5"/>
  <c r="F30" i="5"/>
  <c r="F31" i="5"/>
  <c r="F32" i="5"/>
  <c r="F33" i="5"/>
  <c r="F34" i="5"/>
  <c r="F35" i="5"/>
  <c r="F36" i="5"/>
  <c r="F37" i="5"/>
  <c r="F38" i="5"/>
  <c r="F39" i="5"/>
  <c r="F40" i="5"/>
  <c r="F41" i="5"/>
  <c r="F42" i="5"/>
  <c r="F43" i="5"/>
  <c r="F44" i="5"/>
  <c r="F45" i="5"/>
  <c r="F46" i="5"/>
  <c r="F47" i="5"/>
  <c r="F48" i="5"/>
  <c r="F49" i="5"/>
  <c r="F50" i="5"/>
  <c r="F51" i="5"/>
  <c r="F52" i="5"/>
  <c r="F53" i="5"/>
  <c r="F54" i="5"/>
  <c r="F55" i="5"/>
  <c r="F56" i="5"/>
  <c r="F57" i="5"/>
  <c r="F58" i="5"/>
  <c r="F59" i="5"/>
  <c r="F60" i="5"/>
  <c r="F61" i="5"/>
  <c r="F62" i="5"/>
  <c r="F63" i="5"/>
  <c r="F64" i="5"/>
  <c r="F65" i="5"/>
  <c r="F66" i="5"/>
  <c r="F67" i="5"/>
  <c r="F68" i="5"/>
  <c r="F69" i="5"/>
  <c r="F70" i="5"/>
  <c r="F71" i="5"/>
  <c r="F72" i="5"/>
  <c r="F73" i="5"/>
  <c r="F74" i="5"/>
  <c r="F75" i="5"/>
  <c r="F76" i="5"/>
  <c r="F77" i="5"/>
  <c r="F78" i="5"/>
  <c r="F79" i="5"/>
  <c r="F80" i="5"/>
  <c r="F81" i="5"/>
  <c r="F82" i="5"/>
  <c r="F83" i="5"/>
  <c r="F84" i="5"/>
  <c r="F85" i="5"/>
  <c r="F86" i="5"/>
  <c r="F87" i="5"/>
  <c r="F88" i="5"/>
  <c r="F89" i="5"/>
  <c r="F90" i="5"/>
  <c r="F91" i="5"/>
  <c r="F92" i="5"/>
  <c r="F93" i="5"/>
  <c r="F94" i="5"/>
  <c r="F95" i="5"/>
  <c r="F96" i="5"/>
  <c r="F97" i="5"/>
  <c r="F98" i="5"/>
  <c r="F99" i="5"/>
  <c r="F100" i="5"/>
  <c r="F101" i="5"/>
  <c r="F102" i="5"/>
  <c r="F103" i="5"/>
  <c r="F104" i="5"/>
  <c r="F105" i="5"/>
  <c r="F106" i="5"/>
  <c r="F107" i="5"/>
  <c r="F108" i="5"/>
  <c r="F109" i="5"/>
  <c r="F110" i="5"/>
  <c r="F111" i="5"/>
  <c r="F112" i="5"/>
  <c r="F113" i="5"/>
  <c r="F114" i="5"/>
  <c r="F115" i="5"/>
  <c r="F116" i="5"/>
  <c r="F117" i="5"/>
  <c r="F118" i="5"/>
  <c r="F119" i="5"/>
  <c r="F120" i="5"/>
  <c r="F121" i="5"/>
  <c r="F122" i="5"/>
  <c r="F123" i="5"/>
  <c r="F124" i="5"/>
  <c r="F125" i="5"/>
  <c r="F126" i="5"/>
  <c r="F127" i="5"/>
  <c r="F128" i="5"/>
  <c r="F129" i="5"/>
  <c r="F130" i="5"/>
  <c r="F131" i="5"/>
  <c r="F132" i="5"/>
  <c r="F133" i="5"/>
  <c r="F134" i="5"/>
  <c r="F135" i="5"/>
  <c r="F136" i="5"/>
  <c r="F137" i="5"/>
  <c r="F138" i="5"/>
  <c r="F139" i="5"/>
  <c r="F140" i="5"/>
  <c r="F141" i="5"/>
  <c r="F142" i="5"/>
  <c r="F143" i="5"/>
  <c r="F144" i="5"/>
  <c r="F145" i="5"/>
  <c r="F146" i="5"/>
  <c r="F147" i="5"/>
  <c r="F148" i="5"/>
  <c r="F149" i="5"/>
  <c r="F150" i="5"/>
  <c r="F151" i="5"/>
  <c r="F152" i="5"/>
  <c r="F153" i="5"/>
  <c r="F154" i="5"/>
  <c r="F155" i="5"/>
  <c r="F156" i="5"/>
  <c r="F157" i="5"/>
  <c r="F158" i="5"/>
  <c r="F159" i="5"/>
  <c r="F160" i="5"/>
  <c r="F161" i="5"/>
  <c r="F162" i="5"/>
  <c r="F163" i="5"/>
  <c r="F164" i="5"/>
  <c r="F165" i="5"/>
  <c r="F166" i="5"/>
  <c r="F167" i="5"/>
  <c r="F168" i="5"/>
  <c r="F169" i="5"/>
  <c r="F170" i="5"/>
  <c r="F171" i="5"/>
  <c r="F172" i="5"/>
  <c r="F173" i="5"/>
  <c r="F174" i="5"/>
  <c r="F175" i="5"/>
  <c r="F176" i="5"/>
  <c r="F177" i="5"/>
  <c r="F178" i="5"/>
  <c r="F179" i="5"/>
  <c r="F180" i="5"/>
  <c r="F181" i="5"/>
  <c r="F182" i="5"/>
  <c r="F183" i="5"/>
  <c r="F184" i="5"/>
  <c r="F185" i="5"/>
  <c r="F186" i="5"/>
  <c r="F187" i="5"/>
  <c r="F188" i="5"/>
  <c r="F189" i="5"/>
  <c r="F190" i="5"/>
  <c r="F191" i="5"/>
  <c r="F192" i="5"/>
  <c r="F193" i="5"/>
  <c r="F194" i="5"/>
  <c r="F195" i="5"/>
  <c r="F196" i="5"/>
  <c r="F197" i="5"/>
  <c r="F198" i="5"/>
  <c r="F199" i="5"/>
  <c r="F200" i="5"/>
  <c r="F201" i="5"/>
  <c r="F202" i="5"/>
  <c r="F203" i="5"/>
  <c r="F204" i="5"/>
  <c r="F205" i="5"/>
  <c r="F206" i="5"/>
  <c r="F207" i="5"/>
  <c r="F208" i="5"/>
  <c r="F209" i="5"/>
  <c r="F210" i="5"/>
  <c r="F211" i="5"/>
  <c r="F212" i="5"/>
  <c r="F213" i="5"/>
  <c r="F214" i="5"/>
  <c r="F215" i="5"/>
  <c r="F216" i="5"/>
  <c r="F217" i="5"/>
  <c r="F218" i="5"/>
  <c r="F219" i="5"/>
  <c r="F220" i="5"/>
  <c r="F221" i="5"/>
  <c r="F222" i="5"/>
  <c r="F223" i="5"/>
  <c r="F224" i="5"/>
  <c r="F225" i="5"/>
  <c r="F226" i="5"/>
  <c r="F227" i="5"/>
  <c r="F228" i="5"/>
  <c r="F229" i="5"/>
  <c r="F230" i="5"/>
  <c r="F231" i="5"/>
  <c r="F232" i="5"/>
  <c r="F233" i="5"/>
  <c r="F234" i="5"/>
  <c r="F235" i="5"/>
  <c r="F236" i="5"/>
  <c r="F237" i="5"/>
  <c r="F238" i="5"/>
  <c r="F239" i="5"/>
  <c r="F240" i="5"/>
  <c r="F241" i="5"/>
  <c r="F242" i="5"/>
  <c r="F243" i="5"/>
  <c r="F244" i="5"/>
  <c r="F245" i="5"/>
  <c r="F246" i="5"/>
  <c r="F247" i="5"/>
  <c r="F248" i="5"/>
  <c r="F249" i="5"/>
  <c r="F250" i="5"/>
  <c r="F251" i="5"/>
  <c r="F252" i="5"/>
  <c r="F253" i="5"/>
  <c r="F254" i="5"/>
  <c r="F255" i="5"/>
  <c r="F256" i="5"/>
  <c r="F257" i="5"/>
  <c r="F258" i="5"/>
  <c r="F259" i="5"/>
  <c r="F260" i="5"/>
  <c r="F261" i="5"/>
  <c r="F262" i="5"/>
  <c r="F263" i="5"/>
  <c r="F264" i="5"/>
  <c r="F265" i="5"/>
  <c r="F266" i="5"/>
  <c r="F267" i="5"/>
  <c r="F268" i="5"/>
  <c r="F269" i="5"/>
  <c r="F270" i="5"/>
  <c r="F271" i="5"/>
  <c r="F272" i="5"/>
  <c r="F273" i="5"/>
  <c r="F274" i="5"/>
  <c r="F275" i="5"/>
  <c r="F276" i="5"/>
  <c r="F277" i="5"/>
  <c r="F278" i="5"/>
  <c r="F279" i="5"/>
  <c r="F280" i="5"/>
  <c r="F281" i="5"/>
  <c r="F282" i="5"/>
  <c r="F283" i="5"/>
  <c r="F284" i="5"/>
  <c r="F285" i="5"/>
  <c r="F286" i="5"/>
  <c r="F287" i="5"/>
  <c r="F288" i="5"/>
  <c r="F289" i="5"/>
  <c r="F290" i="5"/>
  <c r="F291" i="5"/>
  <c r="F292" i="5"/>
  <c r="F293" i="5"/>
  <c r="F294" i="5"/>
  <c r="F295" i="5"/>
  <c r="F296" i="5"/>
  <c r="F297" i="5"/>
  <c r="F298" i="5"/>
  <c r="F299" i="5"/>
  <c r="F300" i="5"/>
  <c r="F301" i="5"/>
  <c r="F302" i="5"/>
  <c r="F303" i="5"/>
  <c r="F304" i="5"/>
  <c r="F305" i="5"/>
  <c r="F306" i="5"/>
  <c r="F307" i="5"/>
  <c r="F308" i="5"/>
  <c r="F309" i="5"/>
  <c r="F310" i="5"/>
  <c r="F311" i="5"/>
  <c r="F312" i="5"/>
  <c r="F313" i="5"/>
  <c r="F314" i="5"/>
  <c r="F315" i="5"/>
  <c r="F316" i="5"/>
  <c r="F317" i="5"/>
  <c r="F318" i="5"/>
  <c r="F319" i="5"/>
  <c r="F320" i="5"/>
  <c r="F321" i="5"/>
  <c r="F322" i="5"/>
  <c r="F323" i="5"/>
  <c r="F324" i="5"/>
  <c r="F325" i="5"/>
  <c r="F326" i="5"/>
  <c r="F327" i="5"/>
  <c r="F328" i="5"/>
  <c r="F329" i="5"/>
  <c r="F330" i="5"/>
  <c r="F331" i="5"/>
  <c r="F332" i="5"/>
  <c r="F333" i="5"/>
  <c r="F334" i="5"/>
  <c r="F335" i="5"/>
  <c r="F336" i="5"/>
  <c r="F337" i="5"/>
  <c r="F338" i="5"/>
  <c r="F339" i="5"/>
  <c r="F340" i="5"/>
  <c r="F341" i="5"/>
  <c r="F342" i="5"/>
  <c r="F343" i="5"/>
  <c r="F344" i="5"/>
  <c r="F345" i="5"/>
  <c r="F346" i="5"/>
  <c r="F347" i="5"/>
  <c r="F348" i="5"/>
  <c r="F349" i="5"/>
  <c r="F350" i="5"/>
  <c r="F351" i="5"/>
  <c r="F352" i="5"/>
  <c r="F353" i="5"/>
  <c r="F354" i="5"/>
  <c r="F355" i="5"/>
  <c r="F356" i="5"/>
  <c r="F357" i="5"/>
  <c r="F358" i="5"/>
  <c r="F359" i="5"/>
  <c r="F360" i="5"/>
  <c r="F361" i="5"/>
  <c r="F362" i="5"/>
  <c r="F363" i="5"/>
  <c r="F364" i="5"/>
  <c r="F365" i="5"/>
  <c r="F366" i="5"/>
  <c r="F367" i="5"/>
  <c r="F368" i="5"/>
  <c r="F369" i="5"/>
  <c r="F370" i="5"/>
  <c r="F371" i="5"/>
  <c r="F372" i="5"/>
  <c r="F373" i="5"/>
  <c r="F374" i="5"/>
  <c r="F375" i="5"/>
  <c r="F376" i="5"/>
  <c r="F377" i="5"/>
  <c r="F378" i="5"/>
  <c r="F379" i="5"/>
  <c r="F380" i="5"/>
  <c r="F381" i="5"/>
  <c r="F382" i="5"/>
  <c r="F383" i="5"/>
  <c r="F384" i="5"/>
  <c r="F385" i="5"/>
  <c r="F386" i="5"/>
  <c r="F387" i="5"/>
  <c r="F388" i="5"/>
  <c r="F389" i="5"/>
  <c r="F390" i="5"/>
  <c r="F391" i="5"/>
  <c r="F392" i="5"/>
  <c r="F393" i="5"/>
  <c r="F394" i="5"/>
  <c r="F395" i="5"/>
  <c r="F396" i="5"/>
  <c r="F397" i="5"/>
  <c r="F398" i="5"/>
  <c r="F399" i="5"/>
  <c r="F400" i="5"/>
  <c r="F401" i="5"/>
  <c r="F402" i="5"/>
  <c r="F403" i="5"/>
  <c r="F404" i="5"/>
  <c r="F405" i="5"/>
  <c r="F406" i="5"/>
  <c r="F407" i="5"/>
  <c r="F408" i="5"/>
  <c r="F409" i="5"/>
  <c r="F410" i="5"/>
  <c r="F411" i="5"/>
  <c r="F412" i="5"/>
  <c r="F413" i="5"/>
  <c r="F414" i="5"/>
  <c r="F415" i="5"/>
  <c r="F416" i="5"/>
  <c r="F417" i="5"/>
  <c r="F418" i="5"/>
  <c r="F419" i="5"/>
  <c r="F420" i="5"/>
  <c r="F421" i="5"/>
  <c r="F422" i="5"/>
  <c r="F423" i="5"/>
  <c r="F424" i="5"/>
  <c r="F425" i="5"/>
  <c r="F426" i="5"/>
  <c r="F427" i="5"/>
  <c r="F428" i="5"/>
  <c r="F429" i="5"/>
  <c r="F430" i="5"/>
  <c r="F431" i="5"/>
  <c r="F432" i="5"/>
  <c r="F433" i="5"/>
  <c r="F434" i="5"/>
  <c r="F435" i="5"/>
  <c r="F436" i="5"/>
  <c r="F437" i="5"/>
  <c r="F438" i="5"/>
  <c r="F439" i="5"/>
  <c r="F440" i="5"/>
  <c r="F441" i="5"/>
  <c r="F442" i="5"/>
  <c r="F443" i="5"/>
  <c r="F444" i="5"/>
  <c r="F445" i="5"/>
  <c r="F446" i="5"/>
  <c r="F447" i="5"/>
  <c r="F448" i="5"/>
  <c r="F449" i="5"/>
  <c r="F450" i="5"/>
  <c r="F451" i="5"/>
  <c r="F452" i="5"/>
  <c r="F453" i="5"/>
  <c r="F454" i="5"/>
  <c r="F455" i="5"/>
  <c r="F456" i="5"/>
  <c r="F457" i="5"/>
  <c r="F458" i="5"/>
  <c r="F459" i="5"/>
  <c r="F460" i="5"/>
  <c r="F461" i="5"/>
  <c r="F462" i="5"/>
  <c r="F463" i="5"/>
  <c r="F464" i="5"/>
  <c r="F465" i="5"/>
  <c r="F466" i="5"/>
  <c r="F467" i="5"/>
  <c r="F468" i="5"/>
  <c r="F469" i="5"/>
  <c r="F470" i="5"/>
  <c r="F471" i="5"/>
  <c r="F472" i="5"/>
  <c r="F473" i="5"/>
  <c r="F474" i="5"/>
  <c r="F475" i="5"/>
  <c r="F476" i="5"/>
  <c r="F477" i="5"/>
  <c r="F478" i="5"/>
  <c r="F479" i="5"/>
  <c r="F480" i="5"/>
  <c r="F481" i="5"/>
  <c r="F482" i="5"/>
  <c r="F483" i="5"/>
  <c r="F484" i="5"/>
  <c r="F485" i="5"/>
  <c r="F486" i="5"/>
  <c r="F487" i="5"/>
  <c r="F488" i="5"/>
  <c r="F489" i="5"/>
  <c r="F490" i="5"/>
  <c r="F491" i="5"/>
  <c r="F492" i="5"/>
  <c r="F493" i="5"/>
  <c r="F494" i="5"/>
  <c r="F495" i="5"/>
  <c r="F496" i="5"/>
  <c r="F497" i="5"/>
  <c r="F498" i="5"/>
  <c r="F499" i="5"/>
  <c r="F500" i="5"/>
  <c r="F501" i="5"/>
  <c r="I3" i="3"/>
  <c r="I3" i="4"/>
  <c r="A3" i="2"/>
  <c r="E3" i="2" s="1"/>
  <c r="I3" i="5" l="1"/>
  <c r="O15" i="5"/>
  <c r="O13" i="5"/>
  <c r="O17" i="5"/>
  <c r="O11" i="5"/>
  <c r="O9" i="5"/>
  <c r="O7" i="5"/>
  <c r="B4" i="4"/>
  <c r="E4" i="4"/>
  <c r="O5" i="5"/>
  <c r="C4" i="2"/>
  <c r="B4" i="2"/>
  <c r="D4" i="2"/>
  <c r="A4" i="2"/>
  <c r="H4" i="4"/>
  <c r="C4" i="4"/>
  <c r="A4" i="4"/>
  <c r="G4" i="4"/>
  <c r="F4" i="4"/>
  <c r="D4" i="4"/>
  <c r="I4" i="5" l="1"/>
  <c r="I6" i="5" s="1"/>
  <c r="I15" i="5" s="1"/>
  <c r="L3" i="5" s="1"/>
  <c r="L11" i="5"/>
  <c r="L13" i="5"/>
  <c r="L15" i="5"/>
  <c r="L9" i="5" l="1"/>
  <c r="L7" i="5"/>
  <c r="L17" i="5"/>
  <c r="L5" i="5"/>
  <c r="L4" i="5" l="1"/>
  <c r="L2" i="5" s="1"/>
  <c r="N3" i="5" s="1"/>
  <c r="N13" i="5" l="1"/>
  <c r="N9" i="5"/>
  <c r="N11" i="5"/>
  <c r="N15" i="5"/>
  <c r="N7" i="5"/>
  <c r="N17" i="5"/>
  <c r="N4" i="5"/>
  <c r="N5" i="5"/>
</calcChain>
</file>

<file path=xl/sharedStrings.xml><?xml version="1.0" encoding="utf-8"?>
<sst xmlns="http://schemas.openxmlformats.org/spreadsheetml/2006/main" count="5208" uniqueCount="930">
  <si>
    <t>Dia:</t>
  </si>
  <si>
    <t>Processo:</t>
  </si>
  <si>
    <t>Setor responsável:</t>
  </si>
  <si>
    <t>Laboratório:</t>
  </si>
  <si>
    <t>Controle de atrasos:</t>
  </si>
  <si>
    <t>Total de atrasos:</t>
  </si>
  <si>
    <t>Laboratórios</t>
  </si>
  <si>
    <t>---</t>
  </si>
  <si>
    <t>Envios:</t>
  </si>
  <si>
    <t>Revisões:</t>
  </si>
  <si>
    <t>Total:</t>
  </si>
  <si>
    <t>Não enviado (x):</t>
  </si>
  <si>
    <t>*</t>
  </si>
  <si>
    <t>**</t>
  </si>
  <si>
    <r>
      <rPr>
        <b/>
        <sz val="11"/>
        <color theme="1"/>
        <rFont val="Arial"/>
        <family val="2"/>
      </rPr>
      <t>* Nota:</t>
    </r>
    <r>
      <rPr>
        <sz val="11"/>
        <color theme="1"/>
        <rFont val="Arial"/>
        <family val="2"/>
      </rPr>
      <t xml:space="preserve"> Em relação ao total;</t>
    </r>
  </si>
  <si>
    <r>
      <rPr>
        <b/>
        <sz val="11"/>
        <color theme="1"/>
        <rFont val="Arial"/>
        <family val="2"/>
      </rPr>
      <t>** Nota:</t>
    </r>
    <r>
      <rPr>
        <sz val="11"/>
        <color theme="1"/>
        <rFont val="Arial"/>
        <family val="2"/>
      </rPr>
      <t xml:space="preserve"> Em relação ao Técnico.</t>
    </r>
  </si>
  <si>
    <t>Setor:</t>
  </si>
  <si>
    <t>Jan</t>
  </si>
  <si>
    <t>Fev</t>
  </si>
  <si>
    <t>Mar</t>
  </si>
  <si>
    <t>Abr</t>
  </si>
  <si>
    <t>Mai</t>
  </si>
  <si>
    <t>Jun</t>
  </si>
  <si>
    <t>Jul</t>
  </si>
  <si>
    <t>Ago</t>
  </si>
  <si>
    <t>Set</t>
  </si>
  <si>
    <t>Out</t>
  </si>
  <si>
    <t>Nov</t>
  </si>
  <si>
    <t>Dez</t>
  </si>
  <si>
    <t>REP</t>
  </si>
  <si>
    <t>Técnico</t>
  </si>
  <si>
    <t>Total de revisões (2023)</t>
  </si>
  <si>
    <t>Comercial</t>
  </si>
  <si>
    <t>Cliente</t>
  </si>
  <si>
    <t>Total de envios (2023)</t>
  </si>
  <si>
    <t>Bruna</t>
  </si>
  <si>
    <t>Elias</t>
  </si>
  <si>
    <t>Marcel</t>
  </si>
  <si>
    <t>Total de erros (2023)</t>
  </si>
  <si>
    <t>Somatória dos setores</t>
  </si>
  <si>
    <t>Atrasou a O.S:</t>
  </si>
  <si>
    <t>Atrasou o REP:</t>
  </si>
  <si>
    <t>#ToleranciaAtrasoRep:</t>
  </si>
  <si>
    <t>dias</t>
  </si>
  <si>
    <t>#Diretorio</t>
  </si>
  <si>
    <t>#NomeArquivo</t>
  </si>
  <si>
    <t>relordemservicogeral</t>
  </si>
  <si>
    <t>Cabos</t>
  </si>
  <si>
    <t>Diversos</t>
  </si>
  <si>
    <t>Químico</t>
  </si>
  <si>
    <t>Fogo</t>
  </si>
  <si>
    <t>Plugues</t>
  </si>
  <si>
    <t>Total</t>
  </si>
  <si>
    <t>Eletrodoméstico</t>
  </si>
  <si>
    <t>Controle de erros</t>
  </si>
  <si>
    <t>O arquivo de dados deve estar na mesma pasta deste arquivo</t>
  </si>
  <si>
    <t>Construção Civil</t>
  </si>
  <si>
    <t>#Mes</t>
  </si>
  <si>
    <t>#Ano</t>
  </si>
  <si>
    <t>Ordem Serviço</t>
  </si>
  <si>
    <t>Empresa</t>
  </si>
  <si>
    <t>Produto</t>
  </si>
  <si>
    <t>QtdAmostra</t>
  </si>
  <si>
    <t>AUTOR</t>
  </si>
  <si>
    <t>LAUDO</t>
  </si>
  <si>
    <t>RECEBEDOR</t>
  </si>
  <si>
    <t>REPFIN</t>
  </si>
  <si>
    <t>ENSAIO</t>
  </si>
  <si>
    <t>DTIniOS</t>
  </si>
  <si>
    <t>Prev OS</t>
  </si>
  <si>
    <t>Prazo Rel</t>
  </si>
  <si>
    <t>Ens Conc</t>
  </si>
  <si>
    <t>Rel Env</t>
  </si>
  <si>
    <t>CONFORME OBSERVAÇÃO</t>
  </si>
  <si>
    <t>JANE</t>
  </si>
  <si>
    <t>A</t>
  </si>
  <si>
    <t>MARIA ELISA</t>
  </si>
  <si>
    <t>MARCEL</t>
  </si>
  <si>
    <t>LAB. ELETRO-MECÂNICO</t>
  </si>
  <si>
    <t>TESIS / ---</t>
  </si>
  <si>
    <t xml:space="preserve"> 40ml</t>
  </si>
  <si>
    <t>MAYARA OHARA</t>
  </si>
  <si>
    <t>LAB. QUÍMICO</t>
  </si>
  <si>
    <t xml:space="preserve"> 5 METROS</t>
  </si>
  <si>
    <t>ELIAS</t>
  </si>
  <si>
    <t xml:space="preserve"> 300 METROS</t>
  </si>
  <si>
    <t>REIRINI</t>
  </si>
  <si>
    <t>LAB. FIOS e CABOS</t>
  </si>
  <si>
    <t xml:space="preserve"> 1 UNIDADE</t>
  </si>
  <si>
    <t>TESIS / --</t>
  </si>
  <si>
    <t xml:space="preserve"> 3 UNIDADES</t>
  </si>
  <si>
    <t>LUANA</t>
  </si>
  <si>
    <t>VITORIA</t>
  </si>
  <si>
    <t>BRUNA</t>
  </si>
  <si>
    <t>LAB. FOGO-DIV</t>
  </si>
  <si>
    <t>INCESA / INCESA</t>
  </si>
  <si>
    <t>JOYCE NEVES</t>
  </si>
  <si>
    <t xml:space="preserve"> 50 METROS</t>
  </si>
  <si>
    <t xml:space="preserve"> 2 UNIDADES</t>
  </si>
  <si>
    <t xml:space="preserve"> 100 METROS</t>
  </si>
  <si>
    <t>LAB. TELECOM-METÁLICO</t>
  </si>
  <si>
    <t>LAB. ELETRODOMÉSTICO</t>
  </si>
  <si>
    <t>NARA DA SILVA</t>
  </si>
  <si>
    <t>LAB. CONSTRUÇÃO CIVIL</t>
  </si>
  <si>
    <t xml:space="preserve"> 200 METROS</t>
  </si>
  <si>
    <t xml:space="preserve"> 30 METROS</t>
  </si>
  <si>
    <t>COMMSCOPE  / CommScope</t>
  </si>
  <si>
    <t>KRJ CONECT / KRJ CONECT</t>
  </si>
  <si>
    <t>02 unidades</t>
  </si>
  <si>
    <t>CLAMPER / CLAMPER</t>
  </si>
  <si>
    <t>DPS Clamper Grid 440V - 10kA - Classe II</t>
  </si>
  <si>
    <t>Tapete Isolante - Classe 2</t>
  </si>
  <si>
    <t xml:space="preserve"> 6 UNIDADES</t>
  </si>
  <si>
    <t>BETA TELEC / BRASILSAT</t>
  </si>
  <si>
    <t xml:space="preserve"> 9 UNIDADES</t>
  </si>
  <si>
    <t>CORDEIRO / CORDEIRO</t>
  </si>
  <si>
    <t>CABELAUTO / CABELAUTO</t>
  </si>
  <si>
    <t xml:space="preserve"> 4 METROS</t>
  </si>
  <si>
    <t>QC CERTIFI / LIZZE</t>
  </si>
  <si>
    <t>FURUKAWA / FURUKAWA</t>
  </si>
  <si>
    <t>Porta Corta-Fogo P-90</t>
  </si>
  <si>
    <t xml:space="preserve"> 2 PORTAS + 2 BATENTES + FERRAGENS + DOCUMENTAÇÃO</t>
  </si>
  <si>
    <t>3 UNIDADES</t>
  </si>
  <si>
    <t xml:space="preserve"> 04 UNIDADES</t>
  </si>
  <si>
    <t>QC CERTIFI / TERRA FÉRT</t>
  </si>
  <si>
    <t>Secador de cabelo 220-230V, 1900-2100W, 50-60Hz, Classe II, IPX0 - Modelo: HS312S Dragon 3000</t>
  </si>
  <si>
    <t>INTELBRAS / INTELBRAS</t>
  </si>
  <si>
    <t xml:space="preserve"> 1000 METROS</t>
  </si>
  <si>
    <t xml:space="preserve"> 15 UNIDADES</t>
  </si>
  <si>
    <t>LAB. PLUGUES e TOMADAS</t>
  </si>
  <si>
    <t>UL DO BRAS / SIMON</t>
  </si>
  <si>
    <t xml:space="preserve"> 12 UNIDADES</t>
  </si>
  <si>
    <t xml:space="preserve"> CONFORME PLANILHA EM ANEXO</t>
  </si>
  <si>
    <t>MR CERTIFI / ARGENTUM</t>
  </si>
  <si>
    <t>100 METROS</t>
  </si>
  <si>
    <t>2305009-1/008</t>
  </si>
  <si>
    <t>Tomada móvel não desmontável 2P+T 10A 250V, saída 180° - Equipado com cabo flexível de perfil circular 3x1,00mm² 500V - Preto</t>
  </si>
  <si>
    <t xml:space="preserve"> 2 PORTAS+ 2 BATENTES+ FERRAGENS + DOCUMENTAÇÃO</t>
  </si>
  <si>
    <t>ISOLAFORT  / ISOLAFORT</t>
  </si>
  <si>
    <t>Fita Isolante F7 PRIME, Classe A, 750V , 90°C -19mm x 20m, Esp: 0,19mm - Antichama</t>
  </si>
  <si>
    <t>ASSOCIAÇÃO / ProQuality</t>
  </si>
  <si>
    <t xml:space="preserve"> 4 UNIDADES</t>
  </si>
  <si>
    <t>DACARTO / DACARTO</t>
  </si>
  <si>
    <t>TESIS / TESIS</t>
  </si>
  <si>
    <t xml:space="preserve"> 03 UNIDADES</t>
  </si>
  <si>
    <t>NEO ALUMÍN / NEO ALUMÍN</t>
  </si>
  <si>
    <t>IDP / IDP</t>
  </si>
  <si>
    <t>MARGIRIUS  / MARGIRIUS</t>
  </si>
  <si>
    <t>TRANSAMERI / ----</t>
  </si>
  <si>
    <t>PRYSMIAN ( / PRYSMIAN (</t>
  </si>
  <si>
    <t>CONDUSPAR / CONDUSPAR</t>
  </si>
  <si>
    <t>TRANSMÓBIL / TRANSMÓBIL</t>
  </si>
  <si>
    <t xml:space="preserve"> 2 METROS</t>
  </si>
  <si>
    <t>Page -1 of 1</t>
  </si>
  <si>
    <t>Data Impressão</t>
  </si>
  <si>
    <t>Atraso O.S</t>
  </si>
  <si>
    <t>Sim</t>
  </si>
  <si>
    <t>Não</t>
  </si>
  <si>
    <t>Atraso Rep</t>
  </si>
  <si>
    <t>Ambos</t>
  </si>
  <si>
    <t>Ambos/2</t>
  </si>
  <si>
    <t>Exceções</t>
  </si>
  <si>
    <t>Ambos/2+E</t>
  </si>
  <si>
    <t>Atrasos Tec</t>
  </si>
  <si>
    <t>Ambos C</t>
  </si>
  <si>
    <t>Ambos D</t>
  </si>
  <si>
    <t>Ambos Q</t>
  </si>
  <si>
    <t>Ambos F</t>
  </si>
  <si>
    <t>Ambos CC</t>
  </si>
  <si>
    <t>Ambos P</t>
  </si>
  <si>
    <t>Ambos E</t>
  </si>
  <si>
    <t>Ambos Rep</t>
  </si>
  <si>
    <t>Exceções:</t>
  </si>
  <si>
    <t>RELATÓRIO COMERCIAL DE ENSAIO ENVIADO REP de 01-06-2023 á 30-06-2023</t>
  </si>
  <si>
    <t>2208040-1/001</t>
  </si>
  <si>
    <t>VOLGA ENGE / VOLGA ENGE</t>
  </si>
  <si>
    <t>Pinças de derivação plug-in 250A</t>
  </si>
  <si>
    <t>2208089-0/021</t>
  </si>
  <si>
    <t>ESMALTE SINTÉTICO STANDARD - VERMELHO - 34606 - 40ml</t>
  </si>
  <si>
    <t>2209086-0/001</t>
  </si>
  <si>
    <t>CENTELSA / CENTELSA</t>
  </si>
  <si>
    <t>Fio de Cobre estanhado SN Cunext - 32mm</t>
  </si>
  <si>
    <t>2209086-0/002</t>
  </si>
  <si>
    <t>Fio de Cobre estanhado SN Sarkuysqn - 32mm</t>
  </si>
  <si>
    <t>2209104-1/001</t>
  </si>
  <si>
    <t>CENTELSA / ALCATEK E</t>
  </si>
  <si>
    <t>Cabo para sistemas fotovoltaicos 6mm² Cu Sn Energyflex 1/1kV - 1,5kV Dc 90°/120°C SR - H1Z2Z2-K - Preto</t>
  </si>
  <si>
    <t>2209158-0/001</t>
  </si>
  <si>
    <t>WEG (SC) / WEG (SC)</t>
  </si>
  <si>
    <t>Inversor de frequência MW500A04P3T4DB66C2DS + CFW500-SFY2 safety module</t>
  </si>
  <si>
    <t>2209158-0/002</t>
  </si>
  <si>
    <t>Inversor de frequência MW500C16P0T4DB66C2DS + CFW500-SFY2 safety module</t>
  </si>
  <si>
    <t>2210081-1/112</t>
  </si>
  <si>
    <t>Eletroduto Flexível corrugado DN 25 - AMARELO - 1085/6630</t>
  </si>
  <si>
    <t>2210081-1/113</t>
  </si>
  <si>
    <t>Eletroduto Flexível corrugado DN 25 - AMARELO - 1085/6632</t>
  </si>
  <si>
    <t>2210081-1/114</t>
  </si>
  <si>
    <t>Eletroduto Flexível corrugado DN 25 - AMARELO - 1085/6640</t>
  </si>
  <si>
    <t>2210081-1/115</t>
  </si>
  <si>
    <t>Eletroduto Flexível corrugado DN 25 - LARANJA - 1085/6641</t>
  </si>
  <si>
    <t>2210081-1/116</t>
  </si>
  <si>
    <t>Eletroduto Flexível corrugado DN 25 - AMARELO - 1085/6647</t>
  </si>
  <si>
    <t>2210081-1/117</t>
  </si>
  <si>
    <t>Eletroduto Flexível corrugado DN 25 - LARANJA - 1085/6648</t>
  </si>
  <si>
    <t>2210081-1/118</t>
  </si>
  <si>
    <t>Eletroduto Flexível plano DN 25 - PRETO COM FAIXA LARANJA -1085/6651</t>
  </si>
  <si>
    <t>2210081-1/119</t>
  </si>
  <si>
    <t>Eletroduto Flexível corrugado DN 25 - AMARELO - 1085/6673</t>
  </si>
  <si>
    <t>2210081-1/120</t>
  </si>
  <si>
    <t>Eletroduto Flexível corrugado DN 25 - LARANJA - 1085/6674</t>
  </si>
  <si>
    <t>2210081-1/121</t>
  </si>
  <si>
    <t>Eletroduto Flexível corrugado DN 25 - AMARELO 1085/6679</t>
  </si>
  <si>
    <t>2210081-1/122</t>
  </si>
  <si>
    <t>Eletroduto Flexível corrugado DN 25 - LARANJA 1085/6680</t>
  </si>
  <si>
    <t>2210081-1/123</t>
  </si>
  <si>
    <t>Eletroduto Flexível corrugado DN 25 - AMARELO - 1085/6597</t>
  </si>
  <si>
    <t>2210081-1/124</t>
  </si>
  <si>
    <t>Eletroduto Flexível corrugado DN 25 - LARANJA - 1085/6608</t>
  </si>
  <si>
    <t>2210081-1/125</t>
  </si>
  <si>
    <t>Eletroduto Flexível corrugado DN 25 - AMARELO - 1085/6621</t>
  </si>
  <si>
    <t>2210081-1/126</t>
  </si>
  <si>
    <t>Eletroduto Flexível corrugado DN 25 - AMARELO - 1085/6681</t>
  </si>
  <si>
    <t>2210081-1/127</t>
  </si>
  <si>
    <t>Eletroduto Flexível corrugado DN 25 - LARANJA - 1085/6682</t>
  </si>
  <si>
    <t>2210081-1/128</t>
  </si>
  <si>
    <t>Eletroduto Flexível corrugado DN 25 - AMARELO - 1085/6689</t>
  </si>
  <si>
    <t>2210081-1/129</t>
  </si>
  <si>
    <t>Eletroduto Flexível corrugado DN 25 - LARANJA - 1085/6690</t>
  </si>
  <si>
    <t>2210081-1/130</t>
  </si>
  <si>
    <t>Eletroduto Flexível corrugado DN 25 - AMARELO - 1085/6692</t>
  </si>
  <si>
    <t>2210081-1/131</t>
  </si>
  <si>
    <t>Eletroduto Flexível corrugado DN 25 - LARANJA - 1085/6693</t>
  </si>
  <si>
    <t>2210081-1/132</t>
  </si>
  <si>
    <t>Eletroduto Flexível corrugado DN 25 - AMARELO - 1085/6679</t>
  </si>
  <si>
    <t>2210081-1/133</t>
  </si>
  <si>
    <t>Eletroduto Flexível corrugado DN 25 - AMARELO - 1085/6694</t>
  </si>
  <si>
    <t>2210081-1/134</t>
  </si>
  <si>
    <t>Eletroduto Flexível corrugado DN 25 - LARANJA - 1085/6695</t>
  </si>
  <si>
    <t>2210181-1/001</t>
  </si>
  <si>
    <t>UL DO BRAS / NAMBEI</t>
  </si>
  <si>
    <t>Cabo de potência Nambeinax Flex Atox Solar 1x6,00mm² 0,6/1kV CA - 1,8 CC - Uso em sistema fotovoltaico - Lote: 230328-95001-A - Preto</t>
  </si>
  <si>
    <t>2211038-0/001</t>
  </si>
  <si>
    <t>LEGRAND / LEGRAND</t>
  </si>
  <si>
    <t>Caixa CCPlast - Ref.: 913410</t>
  </si>
  <si>
    <t xml:space="preserve"> 20 CORPOS DE PROVA +  1 CAIXA</t>
  </si>
  <si>
    <t>2211055-0/001</t>
  </si>
  <si>
    <t>Conector Terminal Medidor - Cabo de cobre 35 mm² x Barra de Cobre 35 mm²</t>
  </si>
  <si>
    <t>2212112-2/001</t>
  </si>
  <si>
    <t>TOP MAX / TOP MAX</t>
  </si>
  <si>
    <t>COMPOSTO POLIPROPILENO (PP) COM TALCO, ANTI UV E CORANTE CINZA</t>
  </si>
  <si>
    <t xml:space="preserve"> 10 KG</t>
  </si>
  <si>
    <t>2212145-1/001</t>
  </si>
  <si>
    <t>SKILLS TEL / Shenzhen</t>
  </si>
  <si>
    <t>Cabo autossustentado de fibra óptica Modelo: CFOAC-BLI A/B-CM-02-CO-LSZH - Preto - 03/2023</t>
  </si>
  <si>
    <t xml:space="preserve"> 1466 metros</t>
  </si>
  <si>
    <t>SKILLS TEL / Shenzhen H</t>
  </si>
  <si>
    <t>2301010-0/001</t>
  </si>
  <si>
    <t>CIMET OPTE / CIMET OPTE</t>
  </si>
  <si>
    <t>Cabo termolite contra fogo 3x240,00mm² 1,8/3kV - Preto</t>
  </si>
  <si>
    <t xml:space="preserve"> 7 METROS</t>
  </si>
  <si>
    <t>2301072-1/001</t>
  </si>
  <si>
    <t>UL DO BRAS / HELLERMANN</t>
  </si>
  <si>
    <t>Canaleta de PVC branca Unicanal FDC100/50 ART N 250-00065 - Com acessório FDDT branco de derivação T Plana Plast ART N 250-00069</t>
  </si>
  <si>
    <t xml:space="preserve"> 12 METROS DE CANALETA + 5 UNIDADES DO ACESSÓRIO</t>
  </si>
  <si>
    <t>2301072-1/002</t>
  </si>
  <si>
    <t>Canaleta de PVC branca Mini HT147 ART N 250-00098 - Com acessório União T Plana branca Plas AT151 ART N 250-00127</t>
  </si>
  <si>
    <t xml:space="preserve"> 50 METROS DE CANALETA + 25 UNIDADES DO ACESSÓRIO</t>
  </si>
  <si>
    <t>2301072-1/003</t>
  </si>
  <si>
    <t>Canaleta de PVC branca Mini HT147 ART N 250-00098 - Lote: 456362</t>
  </si>
  <si>
    <t>2301072-1/004</t>
  </si>
  <si>
    <t>Canaleta de PVC branca Unicanal FDC100/50 ART N 250-00065 - Com acessórios União T Plana branca Plas AT 151 ART N 250-00127, FDET branca entrada teto Plas ART N 250-00071 e FDCP branca curva plana de plástico ART N 250-00067</t>
  </si>
  <si>
    <t xml:space="preserve"> 12 METROS DE CANALETA + ACESSÓRIOS (VIDE OBSERVAÇÃO)</t>
  </si>
  <si>
    <t>2301137-0/001</t>
  </si>
  <si>
    <t>Lar Plásti / Lar Plásti</t>
  </si>
  <si>
    <t>Contentor de 2 rodas - 240L - Laranja</t>
  </si>
  <si>
    <t>2301138-1/001</t>
  </si>
  <si>
    <t>STAR BRAZI / STAR BRAZI</t>
  </si>
  <si>
    <t>Cabo para transmissão de dados U/UTP Cat 5E 24AWG x 4P - Uso interno CMX - Azul</t>
  </si>
  <si>
    <t>2301150-1/001</t>
  </si>
  <si>
    <t>UL DO BRAS / PEOPLE ELE</t>
  </si>
  <si>
    <t>Disjuntor Termomagnético - Modelo: ALTRONIC DA3 / DZ47-63 - Curva C - Correntes Nominais - 1P: 10A, 16A, 20A, 25A, 32A, 40A, 50A e 63A - Tensões Nominais: 230/400V~ - Ics=Icn=3kA / Corrente nominal: 40A - Tensão Nominal: 400V~ - Ics=Icn=3kA</t>
  </si>
  <si>
    <t>11 peças, ver obs (*)</t>
  </si>
  <si>
    <t>2301152-0/001</t>
  </si>
  <si>
    <t>SONDA TECH / WCFO Inter</t>
  </si>
  <si>
    <t>Cabo auto-sustentado de fibras ópticas - Drop Óptico Compacto para vãos de 80m - Modelo: COA-BLI A/B-MF-20-LSZH - Amarelo</t>
  </si>
  <si>
    <t xml:space="preserve"> 1050 METROS</t>
  </si>
  <si>
    <t>2302017-2/005</t>
  </si>
  <si>
    <t>BVQI (SP) / SPOLU</t>
  </si>
  <si>
    <t>Liquidificador basculante 15L 127V, 1500W, 3500rpm, 60Hz, Classe I, IPX1 - Modelo: SPL-065</t>
  </si>
  <si>
    <t>2302017-2/006</t>
  </si>
  <si>
    <t>Liquidificador de alta rotação 2L 220V, 328W, 18000rpm, 50-60Hz, Classe I, IPX1 - Modelo: SPL-022X</t>
  </si>
  <si>
    <t>2302023-2/001</t>
  </si>
  <si>
    <t>REICON / REICON</t>
  </si>
  <si>
    <t>Cabo de potência reisolar 1x6mm² 0,6/1kV AC - 1,8kV CC CU SN/XLPE - Uso em sistema fotovoltaico - Lote: 3517-3 - Vermelho</t>
  </si>
  <si>
    <t xml:space="preserve"> 400 METROS</t>
  </si>
  <si>
    <t>2302068-1/001</t>
  </si>
  <si>
    <t>ITAC / MULTI KENT</t>
  </si>
  <si>
    <t>Embaladora elétrica para alimentos 127/220V, 120/160W, 60Hz, IPX3, Classe I - Modelo: APL-200</t>
  </si>
  <si>
    <t>2302068-1/002</t>
  </si>
  <si>
    <t>Seladora elétrica para alimentos 220V, 1000W, 60Hz, IPX3, Classe I - Modelo: RPT 151-01</t>
  </si>
  <si>
    <t>2302068-1/003</t>
  </si>
  <si>
    <t>2302068-1/004</t>
  </si>
  <si>
    <t>Fritadeira elétrica digital 220V, 15kW, 60Hz, IPX3, Classe I - Modelo: FD 2 16</t>
  </si>
  <si>
    <t>2302079-1/001</t>
  </si>
  <si>
    <t>Conector Perfurante Pequeno - PEX  10-95 x 1,5-10mm²</t>
  </si>
  <si>
    <t>Conector Perfurante Pequeno - PEX 10-95 x 1,5-10mm²</t>
  </si>
  <si>
    <t xml:space="preserve"> Ver Obs</t>
  </si>
  <si>
    <t>2302137-1/001</t>
  </si>
  <si>
    <t>GTM / CSA TECNOL</t>
  </si>
  <si>
    <t>Porta corta-fogo P-120</t>
  </si>
  <si>
    <t xml:space="preserve"> 2 PORTAS + 2 BATENTES+ FERRAGENS+ DOCUMENTAÇÃO</t>
  </si>
  <si>
    <t>2302154-0/001</t>
  </si>
  <si>
    <t>LAPP GROUP / LAPP GROUP</t>
  </si>
  <si>
    <t>Cabo de instrumentação Unitronic BR BC 105 1x2Px1,00mm² 300V 105°C Cobre C2/PVC-E/PVC ST2 - Preto - Lote: EX6-8148</t>
  </si>
  <si>
    <t>2302154-0/002</t>
  </si>
  <si>
    <t>Cabo de instrumentação Unitronic BR BC 105 1x2Px1,00mm² 300V 105°C Cobre C2/PVC-E/PVC ST2 - Preto - Lote: EX6-8132</t>
  </si>
  <si>
    <t>2303012-0/001</t>
  </si>
  <si>
    <t>UL DO BRAS / AMPHENOL</t>
  </si>
  <si>
    <t>Cabo Amphesolar Uso em sistema fotovoltaico 1x6mm² 1,8kV CC - VH - Vermelho</t>
  </si>
  <si>
    <t>30 METROS</t>
  </si>
  <si>
    <t>2303027-1/001</t>
  </si>
  <si>
    <t>YOFC POLIR / YOFC POLIR</t>
  </si>
  <si>
    <t>Cabo comando CM NV CU Sn HF HEPR SHF2 FR 90° 0,6/1kV 3x1x1,5mm² - Preto - Cód.: 59215446</t>
  </si>
  <si>
    <t xml:space="preserve"> 10 METROS</t>
  </si>
  <si>
    <t>2303027-1/002</t>
  </si>
  <si>
    <t>Cobertura de Cabo 140 CE NV HEPR/SHF2 FLEX 02 - Cinza</t>
  </si>
  <si>
    <t>2303056-2/002</t>
  </si>
  <si>
    <t>Cabo para transmissão de dados U/UTP Flexível Cat 6A 28AWG x 4P LSZH - Uso interno - Azul</t>
  </si>
  <si>
    <t xml:space="preserve"> APROXIMADAMENTE 1.000 METROS</t>
  </si>
  <si>
    <t>APROXIMADAMENTE 1.000 METROS</t>
  </si>
  <si>
    <t>2303058-1/001</t>
  </si>
  <si>
    <t>NEO ALUMÍN / BOREAL FIO</t>
  </si>
  <si>
    <t>Cabo de potência quadruplex 0,6/1kV 3x1x16mm² + 16mm² AL CA/XLPE - Preto, vermelho e cinza</t>
  </si>
  <si>
    <t xml:space="preserve"> 1,5 METROS</t>
  </si>
  <si>
    <t>2303058-1/002</t>
  </si>
  <si>
    <t>Cabo de potência triplex 0,6/1kV 2x1x25mm² + 25mm² AL CA/XLPE - Preto e cinza</t>
  </si>
  <si>
    <t>2303058-1/003</t>
  </si>
  <si>
    <t>Cabo de potência quadruplex 0,6/1kV 3x1x70mm² + 70mm² AL CA/XLPE - Preto, vermelho e cinza</t>
  </si>
  <si>
    <t>2303058-1/004</t>
  </si>
  <si>
    <t>Cabo de potência quadruplex 0,6/1kV 3x1x10mm² + 10mm² AL CA/XLPE - Preto, vermelho e cinza</t>
  </si>
  <si>
    <t>2303058-1/005</t>
  </si>
  <si>
    <t>Cabo de potência quadruplex 0,6/1kV 3x1x35mm² + 35mm² AL CA/XLPE - Preto, vermelho e cinza</t>
  </si>
  <si>
    <t>2303058-1/006</t>
  </si>
  <si>
    <t>Cabo de potência triplex 0,6/1kV 2x1x50mm² + 50mm² AL CA/XLPE - Preto e cinza</t>
  </si>
  <si>
    <t>2303058-1/007</t>
  </si>
  <si>
    <t>NEO ALUMÍN / CMR CONDUT</t>
  </si>
  <si>
    <t>Cabo de potência duplex 0,6/1kV 1x10mm² AL + 10mm² CA/XLPE - Preto</t>
  </si>
  <si>
    <t>2303058-1/008</t>
  </si>
  <si>
    <t>Cabo de potência triplex 0,6/1kV 2x25,00mm² AL + 25,00mm² CA/XLPE - Preto e cinza</t>
  </si>
  <si>
    <t>2303058-1/009</t>
  </si>
  <si>
    <t>Cabo de potência triplex 0,6/1kV 2x16,00mm² AL + 16,00mm² CA/XLPE - Preto e cinza</t>
  </si>
  <si>
    <t>2303058-1/010</t>
  </si>
  <si>
    <t>Cabo de potência quadruplex 0,6/1kV 3x50,00mm² AL + 50,00mm² CAL/XLPE - Preto, vermelho e cinza</t>
  </si>
  <si>
    <t>2303058-1/011</t>
  </si>
  <si>
    <t>Cabo de potência quadruplex 0,6/1kV 3x70,00mm² AL + 70,00mm² CAL/XLPE - Preto, vermelho e cinza</t>
  </si>
  <si>
    <t>2303058-1/012</t>
  </si>
  <si>
    <t>Cabo de potência triplex 0,6/1kV 2x35,00mm² AL + 35,00mm² CAL/XLPE - Preto e cinza</t>
  </si>
  <si>
    <t>2303060-0/001</t>
  </si>
  <si>
    <t>TUV RHEINL / REICON</t>
  </si>
  <si>
    <t>Cabo de potência Reisolar 1x6,00mm² 0,6/1kV c.a. 1,8kV c.c. Cu Sn/XLPE - Uso em sistema fotovoltaico - Vermelho</t>
  </si>
  <si>
    <t>2303151-0/001</t>
  </si>
  <si>
    <t>SEI BRASIL / SUMITOMO E</t>
  </si>
  <si>
    <t>Cordão óptico - Modelo: COA-BLI A/B-B-16-LSZH - Amarelo</t>
  </si>
  <si>
    <t xml:space="preserve"> 1300 METROS</t>
  </si>
  <si>
    <t>2303152-1/001</t>
  </si>
  <si>
    <t>ITAC / WIER</t>
  </si>
  <si>
    <t>Gerador de ozônio 110/220V, 60Hz, 0,82/0,42A, IPX41, Classe I - Modelo: OZPRO</t>
  </si>
  <si>
    <t>2303152-1/002</t>
  </si>
  <si>
    <t>2303159-1/003</t>
  </si>
  <si>
    <t>Conector Perfurante KARP Tipo-1 - Cabo Principal: 35 mm² Al Classe 2 / Cabo Derivação: 70 mm² Al Classe 2</t>
  </si>
  <si>
    <t>2303159-1/004</t>
  </si>
  <si>
    <t>Conector Perfurante KARP Tipo-1 - Cabo Principal: 70 mm² Al Classe 2 / Cabo Derivação: 70 mm² Al Classe 2</t>
  </si>
  <si>
    <t>2303175-0/001</t>
  </si>
  <si>
    <t xml:space="preserve"> 6 peças</t>
  </si>
  <si>
    <t>2303178-1/003</t>
  </si>
  <si>
    <t>CLS ENGENH / CLS ENGENH</t>
  </si>
  <si>
    <t>LUVA ISOLANTE DE BORRACHA 17.000V CLASSE 2 - TIPO II - TAMANHO: 10 ½ - DIREITA: 14097670 E ESQUERDA: 15359805</t>
  </si>
  <si>
    <t>1 PAR</t>
  </si>
  <si>
    <t>2303178-1/004</t>
  </si>
  <si>
    <t>1 UNIDADE</t>
  </si>
  <si>
    <t>2303179-0/001</t>
  </si>
  <si>
    <t>INTERTEK / EUROTEC SR</t>
  </si>
  <si>
    <t>Lavadora de louças comercial 380V, 60Hz, 9,99kW, 25A, IPX4, Classe I - Modelo: LP201-3</t>
  </si>
  <si>
    <t>2303186-1/001</t>
  </si>
  <si>
    <t>Conector Perfurante KARP Tipo-2 - Cabo principal: 50 mm² Al Classe 2 / Cabo derivação: 185 mm² Al Classe 2</t>
  </si>
  <si>
    <t>2303196-0/001</t>
  </si>
  <si>
    <t>UL DO BRAS / CLAMPER</t>
  </si>
  <si>
    <t>Clamper Light</t>
  </si>
  <si>
    <t xml:space="preserve"> 6 UNIDADES + 5 UNIDADES DA CARCAÇA</t>
  </si>
  <si>
    <t>2303196-0/002</t>
  </si>
  <si>
    <t>DPS Clamper Solar 1040V 40kA</t>
  </si>
  <si>
    <t>2303196-0/003</t>
  </si>
  <si>
    <t>Clamper Front 385V 45kA</t>
  </si>
  <si>
    <t>2303196-0/004</t>
  </si>
  <si>
    <t>2303210-0/003</t>
  </si>
  <si>
    <t>Kit Plástico de antena 60cm - Modelo: SOA 107-060</t>
  </si>
  <si>
    <t xml:space="preserve"> 1 Kit Plástico</t>
  </si>
  <si>
    <t>2303213-0/001</t>
  </si>
  <si>
    <t>FARCEL  / FARCEL</t>
  </si>
  <si>
    <t>Chave de Aferição - BTS de Sobrepor (20A / 30A)</t>
  </si>
  <si>
    <t>2303213-0/002</t>
  </si>
  <si>
    <t>Chave de Aferição - BTE de embutir (20A / 30A)</t>
  </si>
  <si>
    <t>2303221-0/001</t>
  </si>
  <si>
    <t>CABO FLEXÍVEL CORD-FLEX 450/750V  C5  BWF-B  1x2,50mm²  COBRE/PVC-A  - PRETO</t>
  </si>
  <si>
    <t>2303223-1/001</t>
  </si>
  <si>
    <t>MR CERTIFI / CETRO SOLU</t>
  </si>
  <si>
    <t>Seladora portátil a vácuo doméstica 220V, 60Hz, 350W, IPX0, Classe I - Modelo: SVD300ADZ300A</t>
  </si>
  <si>
    <t>2304014-0/001</t>
  </si>
  <si>
    <t>Cabo automotivo RK LMP 25,00mm² - Vermelho - Cód.: 7833080</t>
  </si>
  <si>
    <t>2304014-0/002</t>
  </si>
  <si>
    <t>Cabo automotivo RK LMP 70,00mm² - Vermelho - Cód.: 7833080</t>
  </si>
  <si>
    <t>2304022-0/001</t>
  </si>
  <si>
    <t>ABNT (SP) / GARTHEN</t>
  </si>
  <si>
    <t>Hidrolavadora de alta pressão 127V, 60Hz, 1400W, IPX5 - Modelo: GL 1400i-1</t>
  </si>
  <si>
    <t>2304022-0/002</t>
  </si>
  <si>
    <t>Hidrolavadora de Alta pressão 220V, 60Hz, 1800W, IPX5 - Modelo: GL 1800i-1</t>
  </si>
  <si>
    <t>2304038-2/001</t>
  </si>
  <si>
    <t>Modelador de cabelo 127-220V, 50-60Hz, 25W, IPX0, Classe II - Modelo: MD 004</t>
  </si>
  <si>
    <t>2 UNIDADES</t>
  </si>
  <si>
    <t>2304038-2/002</t>
  </si>
  <si>
    <t>2304040-0/001</t>
  </si>
  <si>
    <t>IMPERIAL M / IMPERIAL M</t>
  </si>
  <si>
    <t>Eletroduto Plano Pesado PEBD 3/4 x 2,5mm - Preto</t>
  </si>
  <si>
    <t>6 metros</t>
  </si>
  <si>
    <t>2304045-1/001</t>
  </si>
  <si>
    <t>Conector Perfurante KPB - Tipo 2 - Cabo principal: 10mm² Al / Cabo Derivação: 4mm² Cu</t>
  </si>
  <si>
    <t xml:space="preserve"> 2 LAÇOS COM 4 CONECTORES</t>
  </si>
  <si>
    <t>2304048-0/001</t>
  </si>
  <si>
    <t>TUV RHEINL / CABLENA</t>
  </si>
  <si>
    <t>Cabo de potência Cablenax flexível 2x2,50mm² 0,6/1kV Cobre/ PVC-A/ ST1 - Preto</t>
  </si>
  <si>
    <t>2304053-0/001</t>
  </si>
  <si>
    <t>TUV RHEINL / CONDUTTI</t>
  </si>
  <si>
    <t>Cabo de potência Duttisolar 6,00mm² 1,8kV cc - Uso em sistema fotovoltaico - Vermelho</t>
  </si>
  <si>
    <t xml:space="preserve"> 20 METROS</t>
  </si>
  <si>
    <t>2304058-0/001</t>
  </si>
  <si>
    <t>Cabo para transmissão de dados F/UTP Flex Cat. 6A 26AWGx4P LSZH - Preto</t>
  </si>
  <si>
    <t xml:space="preserve"> 800 METROS</t>
  </si>
  <si>
    <t>2304058-0/002</t>
  </si>
  <si>
    <t>Cabo de manobra F/UTP Flex Cat. 6A 26AWGx4P LSZH - Preto</t>
  </si>
  <si>
    <t xml:space="preserve"> 3 AMOSTRAS DE 0,50m + 3 AMOSTRAS DE 30m</t>
  </si>
  <si>
    <t>2304060-1/001</t>
  </si>
  <si>
    <t>Cabo para transmissão de dados U/UTP Flex Cat6 26AWGx4P CM - Vermelho</t>
  </si>
  <si>
    <t>2304060-1/002</t>
  </si>
  <si>
    <t>Cabo de manobra U/UTP Flex Cat6 26AWGx4P CM - Vermelho</t>
  </si>
  <si>
    <t xml:space="preserve"> 3 AMOSTRAS DE 0,50m + 3 AMOSTRAS DE 20m</t>
  </si>
  <si>
    <t>2304063-2/002</t>
  </si>
  <si>
    <t>FAMESP / FAMESP</t>
  </si>
  <si>
    <t>AMOSTRA 1: LUVA ISOLANTE DE BORRACHA 17.000V CLASSE 2 TIPO II - TAMANHO 10 - DIREITA: 003356    E ESQUERDA: 003355            AMOSTRA 2: LUVA ISOLANTE DE BORRACHA 17.000V CLASSE 2 TIPO II - TAMANHO 11 - DIREITA: 12125090    E ESQUERDA: 12125051           AMOSTRA 3: LUVA ISOLANTE DE BORRACHA 17.000V CLASSE 2 TIPO II - TAMANHO 10 - DIREITA: 18314177    E ESQUERDA: 18314142             AMOSTRA 4: LUVA ISOLANTE DE BORRACHA 17.000V CLASSE 2 TIPO II - TAMANHO 11 - DIREITA: 1326354    E ESQUERDA: 1326313</t>
  </si>
  <si>
    <t xml:space="preserve"> 4 PARES</t>
  </si>
  <si>
    <t>2304073-2/001</t>
  </si>
  <si>
    <t>TS4 CERTIF / LÍDER</t>
  </si>
  <si>
    <t>Banqueta doméstica de alumínio  3 degraus</t>
  </si>
  <si>
    <t xml:space="preserve"> 01 UNIDADE</t>
  </si>
  <si>
    <t>2304073-2/002</t>
  </si>
  <si>
    <t>Escada doméstica de alumínio 4 degraus</t>
  </si>
  <si>
    <t>2304073-2/003</t>
  </si>
  <si>
    <t>Escada doméstica de alumínio 9 degraus</t>
  </si>
  <si>
    <t>2304074-0/001</t>
  </si>
  <si>
    <t>CERTA / RDG PORTAS</t>
  </si>
  <si>
    <t>2304091-1/001</t>
  </si>
  <si>
    <t>FIBRA NOVA / FIBRA NOVA</t>
  </si>
  <si>
    <t>PRANCHA/ESCADA DE TRANSBORDO DE PASSAGEIROS ENTRE TRENS, ARTICULADO, COM CORRIMÃO (ET BI2414-9) CÓDIGO CPTM: 087435</t>
  </si>
  <si>
    <t>2304102-1/013</t>
  </si>
  <si>
    <t>BVQI (SP) / ARBAME</t>
  </si>
  <si>
    <t>Cabo flexível de perfil circular 450/750V Cobre/ IE4 (EPR)/ SE4 C5 90°C 2x1,50mm² - Preto - Cód.: I343830008</t>
  </si>
  <si>
    <t xml:space="preserve"> 30 METROS + 30 METROS DO FIO ELEMENTAR</t>
  </si>
  <si>
    <t>2304102-1/014</t>
  </si>
  <si>
    <t>Cabo flexível de perfil circular 300/500V Cobre/PVC-EB/PVC-ST10 105°C 3x1,50mm² - Preto - Cód.: I343790005</t>
  </si>
  <si>
    <t>2304102-1/015</t>
  </si>
  <si>
    <t>Cabo flexível de perfil plano 300/500V Cobre/PVC-EB/PVC-ST10 105°C 2x0,50mm² - Preto - Cód.: I343790006</t>
  </si>
  <si>
    <t>2304102-1/018</t>
  </si>
  <si>
    <t>Cabo flexível de perfil circular 300/300V Cobre/PVC-D/PVC-ST5 C5 70° 3x0,50mm² - Branco - Cód.: I343910002</t>
  </si>
  <si>
    <t>30 METROS + 30 METROS DO FIO ELEMENTAR</t>
  </si>
  <si>
    <t>2304102-1/019</t>
  </si>
  <si>
    <t>Cabo flexível de perfil plano 300/300V Cobre/PVC-D/PVC-ST5 C5 70°C 2x0,75mm² - Preto - Cód.: I343910003</t>
  </si>
  <si>
    <t>2304102-1/021</t>
  </si>
  <si>
    <t>_x000D_Cabo flexível circular 300/500V Cobre/CSP/CSP 105° C5 3x0,75mm²  - Preto - Cód.: I343830009</t>
  </si>
  <si>
    <t>2304102-1/022</t>
  </si>
  <si>
    <t>Cordão paralelo flexível 300/300V Cobre/CSP 105°C C5 2x0,75mm² - Preto - Cód.: 1343830010</t>
  </si>
  <si>
    <t>2304103-0/001</t>
  </si>
  <si>
    <t>WEG (SC) / Crielight</t>
  </si>
  <si>
    <t>Crielight - Policarbonato Polygal - Amostra A</t>
  </si>
  <si>
    <t xml:space="preserve"> 20 peças</t>
  </si>
  <si>
    <t>2304103-0/002</t>
  </si>
  <si>
    <t>WEG (SC) / Vick</t>
  </si>
  <si>
    <t>Vick - Policarbonato Polygal - Amostra B</t>
  </si>
  <si>
    <t>2304103-0/003</t>
  </si>
  <si>
    <t>WEG (SC) / Plastireal</t>
  </si>
  <si>
    <t>Plastireal - Policarbonato Palsun FR - Amostra C</t>
  </si>
  <si>
    <t>2304115-2/001</t>
  </si>
  <si>
    <t>MILANFLEX / MILANFLEX</t>
  </si>
  <si>
    <t>Cadeira alta para alimentação - Modelo: FNDE</t>
  </si>
  <si>
    <t>2304122-0/001</t>
  </si>
  <si>
    <t>INTERTEK / HOBART GMB</t>
  </si>
  <si>
    <t>Lavadora de louças comercial 380V, 60Hz, 15,5kW, IPX4, Classe I - Modelo: PROFI AMXXB-3</t>
  </si>
  <si>
    <t>2304125-2/001</t>
  </si>
  <si>
    <t>SOLUÇÃO CO / MILANFLEX</t>
  </si>
  <si>
    <t>2304127-0/001</t>
  </si>
  <si>
    <t>Cabo AVS SWS LMP 3,00mm² - Azul claro - Cód.: 7174015</t>
  </si>
  <si>
    <t>2304127-0/002</t>
  </si>
  <si>
    <t>Cabo AVS SWS LMP 5,00mm² - Branco - Cód.: 7178020</t>
  </si>
  <si>
    <t>2304127-0/003</t>
  </si>
  <si>
    <t>Cabo AVSS SWS LMP - Seção 0,30mm² - Azul - Cód.: 720110</t>
  </si>
  <si>
    <t>2304127-0/004</t>
  </si>
  <si>
    <t>Cabo AVSS SWS LMP 0,50mm² - Preto - Cód.: 7005045</t>
  </si>
  <si>
    <t>2304127-0/005</t>
  </si>
  <si>
    <t>Cabo AVSS SWS LMP 0,85mm² - Branco - Cód.: 7215020</t>
  </si>
  <si>
    <t>2304127-0/006</t>
  </si>
  <si>
    <t>Cabo AVSS SWS LMP 1,25mm² - Verde - Cód.: 7220070</t>
  </si>
  <si>
    <t>2304127-0/007</t>
  </si>
  <si>
    <t>Cabo AVSS SWS LMP 2,00mm² - Amarelo - Cód.: 7225001</t>
  </si>
  <si>
    <t>10 METROS</t>
  </si>
  <si>
    <t>2304127-0/008</t>
  </si>
  <si>
    <t>Cabo AVSSH SWS LMP 0,30mm² - Rosa - Cód.: 7217055</t>
  </si>
  <si>
    <t>2304127-0/009</t>
  </si>
  <si>
    <t>Cabo AVSSH SWS LMP 0,50mm² - Amarelo - Cód.: 7227001</t>
  </si>
  <si>
    <t>2304127-0/010</t>
  </si>
  <si>
    <t>Cabo AVSSH SWS LMP 0,75mm² - Violeta - Cód.: 7228090</t>
  </si>
  <si>
    <t>2304127-0/011</t>
  </si>
  <si>
    <t>Cabo AVSSH SWS LMP 1,25mm² - Marrom - Cód.: 7224025</t>
  </si>
  <si>
    <t>2304128-1/001</t>
  </si>
  <si>
    <t>Teadit / Teadit</t>
  </si>
  <si>
    <t>Tealon TF1570 - PTFE + Microesfera de vidro</t>
  </si>
  <si>
    <t xml:space="preserve"> 10 CORPOS DE PROVA</t>
  </si>
  <si>
    <t>2304128-1/002</t>
  </si>
  <si>
    <t>TF1510W - PTFE + Microesfera de vidro</t>
  </si>
  <si>
    <t>2304128-1/003</t>
  </si>
  <si>
    <t>Tealon TF1580 - PTFE + Sulfato de bário</t>
  </si>
  <si>
    <t>2304128-1/004</t>
  </si>
  <si>
    <t>Tealon TF1590 - PTFE + Sílica</t>
  </si>
  <si>
    <t>2304130-0/001</t>
  </si>
  <si>
    <t>INTERTEK / CONSERCAF</t>
  </si>
  <si>
    <t>Máquina de café linha tradicional 220V, 60Hz, 3000W, Classe I, IPX0 - Modelo: CIC20</t>
  </si>
  <si>
    <t>2304130-0/002</t>
  </si>
  <si>
    <t>Esterilizador elétrico 220V, 60Hz, 1000W, Classe I, IPX0 - Modelo: ET32</t>
  </si>
  <si>
    <t>2304141-0/001</t>
  </si>
  <si>
    <t>PCN DO BRA / BBC TÊXTIL</t>
  </si>
  <si>
    <t>Interruptor de Lençol Térmico, regulador digital BBD - Casal Queen - 220V - 60Hz - 128W - Classe II</t>
  </si>
  <si>
    <t>2304147-1/004</t>
  </si>
  <si>
    <t>Secador de cabelo 110-127V, 1900-2000W, 50-60Hz, Classe II, IPX0 - Modelo: HS312S Dragon 3000</t>
  </si>
  <si>
    <t>2304147-1/005</t>
  </si>
  <si>
    <t>2304156-1/002</t>
  </si>
  <si>
    <t>SISTEMA PR / SISTEMA PR</t>
  </si>
  <si>
    <t>Conjunto de aterramento com cabo 36kV</t>
  </si>
  <si>
    <t xml:space="preserve"> 01 Unidade</t>
  </si>
  <si>
    <t>2304156-1/009</t>
  </si>
  <si>
    <t>2304157-0/001</t>
  </si>
  <si>
    <t>Cabo Óptico Drop Compacto - Modelo: CFOAC-BLI A/B-CM-01-FO-CO-LSZH - Preto</t>
  </si>
  <si>
    <t>2304179-0/001</t>
  </si>
  <si>
    <t>BVQI (SP) / SCHNEIDER</t>
  </si>
  <si>
    <t>Tomada modular de embutir 2P+T 20A 250V - Linha Miluz - Alumínio - Cód.: S3B70352</t>
  </si>
  <si>
    <t>2304179-0/002</t>
  </si>
  <si>
    <t>Tomada modular de embutir 2P+T 10A 250V - Linha Miluz - Branco - Cód.: S3B60340</t>
  </si>
  <si>
    <t>2304179-0/003</t>
  </si>
  <si>
    <t>Interruptor intermediário modular de embutir 10A 250V - Linha Miluz - Branco - Cód.: S3B62050</t>
  </si>
  <si>
    <t>2304179-0/004</t>
  </si>
  <si>
    <t>Interruptor bipolar simples modular de embutir 10A 250V - Linha Miluz - Branco - Cód.: S3B62040</t>
  </si>
  <si>
    <t>2304179-0/005</t>
  </si>
  <si>
    <t>Tomada duplex modular de embutir 2x2P+T 10A 250V - Linha Orion - Grafite - Cód.: S70325194</t>
  </si>
  <si>
    <t>2304179-0/006</t>
  </si>
  <si>
    <t>Tomada modular de embutir 2x2P+T 10A 250V - Linha Orion - Grafite - Cód.: S71322194</t>
  </si>
  <si>
    <t>2304179-0/007</t>
  </si>
  <si>
    <t>Tomada modular de embutir 2P+T 20A 250V - Linha Decor - Grafite - Cód.: PRM04733</t>
  </si>
  <si>
    <t>2304179-0/008</t>
  </si>
  <si>
    <t>Tomada modular de embutir 2P+T 20A 250V - Linha Orion - Grafite - Cód.: S70203194</t>
  </si>
  <si>
    <t>2304179-0/009</t>
  </si>
  <si>
    <t>Interruptor simples modular de embutir 10A 250V - Linha Orion - Branco - Cód.: S71310104</t>
  </si>
  <si>
    <t>2304179-0/011</t>
  </si>
  <si>
    <t>Interruptor bipolar simples modular de embutir 25A 250V - Linha Orion - Branco - Cód.: S71313104</t>
  </si>
  <si>
    <t>2304179-0/013</t>
  </si>
  <si>
    <t>Interruptor bipolar simples modular de embutir 10A 250V - Linha Orion - Branco - Cód.: S70110204</t>
  </si>
  <si>
    <t>2304179-0/014</t>
  </si>
  <si>
    <t>Interruptor simples modular de embutir 10A 250V - Linha Miluz - Branco - Cód.: S3B72010</t>
  </si>
  <si>
    <t>2304179-0/015</t>
  </si>
  <si>
    <t>Interruptor bipolar simples modular de embutir 25A 250V - Linha Miluz - Branco - Modelo: S3B62440</t>
  </si>
  <si>
    <t>2304179-0/016</t>
  </si>
  <si>
    <t>Interruptor intermediário modular de embutir 10A 250V - Linha Decor - Branco - Cód.: PRM045171</t>
  </si>
  <si>
    <t>2304179-0/017</t>
  </si>
  <si>
    <t>Interruptor paralelo modular de embutir 10A 250V - Linha Decor - Branco - Cód.: PRM044021</t>
  </si>
  <si>
    <t>2304179-0/018</t>
  </si>
  <si>
    <t>Interruptor bipolar simples modular de embutir 25A 250V - Linha Lunare - Branco - Cód.: PRM450151</t>
  </si>
  <si>
    <t>2304179-0/019</t>
  </si>
  <si>
    <t>Interruptor paralelo modular de embutir 10A 250V - Linha Miluz - Grafite - Cód.: S3B62031</t>
  </si>
  <si>
    <t>2304179-0/020</t>
  </si>
  <si>
    <t>Interruptor simples modular de embutir 16A 250V - Linha Orion - Branco - Cód.: S70116104</t>
  </si>
  <si>
    <t>2304187-0/001</t>
  </si>
  <si>
    <t>BVQI (SP) / STECK (GUA</t>
  </si>
  <si>
    <t>Tomada modular de embutir Quasar com tampa 2P+T 10A 250V IP44 - Branco com tampa azul - Ref.: S8640</t>
  </si>
  <si>
    <t>2304187-0/002</t>
  </si>
  <si>
    <t>Tomada modular de embutir 2P+T 10A 250V - Linha Stella - Branco - Ref.: 868060</t>
  </si>
  <si>
    <t>2304187-0/003</t>
  </si>
  <si>
    <t>Tomada modular de embutir Quasar com tampa 2P+T 20A 250V IP44 - Branco com tampa azul - Ref.: S8641</t>
  </si>
  <si>
    <t>2304187-0/004</t>
  </si>
  <si>
    <t>Tomada modular de embutir 2P+T, 10A / 250V~, IP44 - Referência: S8640 - Processo nº BR32176051</t>
  </si>
  <si>
    <t>Tomada modular de embutir 2P+T 20A 250V - Linha Stella - Branco - Ref.: 868061</t>
  </si>
  <si>
    <t>2304187-0/005</t>
  </si>
  <si>
    <t>Interruptor bipolar paralelo modular de embutir 10A 250V - Linha Stella - Ref.: 868031</t>
  </si>
  <si>
    <t>2304187-0/008</t>
  </si>
  <si>
    <t>Interruptor paralelo modular de embutir 10A 250V - Linha Stella - Branco - Ref.: 868020</t>
  </si>
  <si>
    <t>2304187-0/009</t>
  </si>
  <si>
    <t>Interruptor pulsador simples modular de embutir 10A 250V - Linha Stella - Branco - Ref.: 868080</t>
  </si>
  <si>
    <t>2304187-0/010</t>
  </si>
  <si>
    <t>Interruptor simples modular de embutir 10A 250V - Linha Stella - Branco - Ref.: 868010</t>
  </si>
  <si>
    <t>2304197-0/001</t>
  </si>
  <si>
    <t>Tomada modular de embutir 2P+T 20A 250V - Linha S26 - Branco - Ref.: 2610427-030</t>
  </si>
  <si>
    <t>2304197-0/002</t>
  </si>
  <si>
    <t>Tomada modular de embutir 2P+T 10A 250V - Vermelho - Ref.: 19426-39</t>
  </si>
  <si>
    <t>12 UNIDADES</t>
  </si>
  <si>
    <t>2304197-0/003</t>
  </si>
  <si>
    <t>Interruptor pulsador simples modular de embutir 10A 250V - Branco - Ref.: 19151-30</t>
  </si>
  <si>
    <t>2304197-0/004</t>
  </si>
  <si>
    <t>Interruptor bipolar simples modular de embutir 25A 250V - Branco - Ref.: 19135-30</t>
  </si>
  <si>
    <t>2304197-0/005</t>
  </si>
  <si>
    <t>Interruptor simples modular de embutir 10A 250V - Linha S26 - Grafite - Ref.: 2610101-038</t>
  </si>
  <si>
    <t>2304197-0/006</t>
  </si>
  <si>
    <t>Interruptor bipolar simples modular de embutir 16A 250V - Linha S26 - Branco - Ref.: 2610133-030</t>
  </si>
  <si>
    <t>2304206-0/001</t>
  </si>
  <si>
    <t>Secador de cabelo 127V, 50-60Hz, 2400W, Classe II, IPX0 - Modelo: SEC.EXT.058</t>
  </si>
  <si>
    <t>2305003-0/001</t>
  </si>
  <si>
    <t>LEAR DO BR / LEAR DO BR</t>
  </si>
  <si>
    <t>Terminais crimpados com bitolas &lt;= 6,00 mm² (52 conexões)</t>
  </si>
  <si>
    <t>2305003-0/002</t>
  </si>
  <si>
    <t>Splices Soldados por Ultrassom (33 amostras)</t>
  </si>
  <si>
    <t>2305003-0/003</t>
  </si>
  <si>
    <t>Terminais crimpados com bitolas &gt; 6,00 mm² (5 conexões)</t>
  </si>
  <si>
    <t>CONFORME PLANILHA EM ANEXO</t>
  </si>
  <si>
    <t>2305009-1/001</t>
  </si>
  <si>
    <t>Cabo Argensilflex 1x0,75mm² 450/750V Cobre/ Silicone C5 - Branco</t>
  </si>
  <si>
    <t>2305009-1/004</t>
  </si>
  <si>
    <t>Plugue não desmontável 2P+T 20A 250V, saída 90°, com pinos não maciços - Equipado com cabo flexível de perfil circular 3x2,50mm² 500V - Branco com cabo preto</t>
  </si>
  <si>
    <t>2305009-1/005</t>
  </si>
  <si>
    <t>Plugue não desmontável 2P+T 10A 250V, saída 180°, com pinos não maciços - Equipado com cabo flexível de perfil circular 3x1,00mm² 500V - Branco com cabo preto</t>
  </si>
  <si>
    <t>Plugue não desmontável, 2P+T, 15A, 250V, equipado com pinos não maciços e cabo PP de perfil circular na seção 3x1,50 mm²</t>
  </si>
  <si>
    <t>2305009-1/006</t>
  </si>
  <si>
    <t>Plugue não desmontável 2P 10A 250V, saída 180°, com pinos não maciços - Equipado com cabo flexível de perfil circular 2x0,75mm² 500V - Branco com cabo preto</t>
  </si>
  <si>
    <t>2305009-1/007</t>
  </si>
  <si>
    <t>Plugue não desmontável 2P 20A 250V, saída 90°, com pinos não maciços - Equipado com cabo flexível de perfil circular 2x2,50mm² 500V - Branco com cabo preto</t>
  </si>
  <si>
    <t>2305015-0/001</t>
  </si>
  <si>
    <t>TE CONNECT / TE CONNECT</t>
  </si>
  <si>
    <t>Terminal IBF</t>
  </si>
  <si>
    <t xml:space="preserve"> 10 unidades</t>
  </si>
  <si>
    <t>2305021-0/001</t>
  </si>
  <si>
    <t>Cabo MVX90-TR ST7 Al Bloqueado 20/35kV - 1x240mm²  XLPE - TR -STF - Preto</t>
  </si>
  <si>
    <t>2305023-2/001</t>
  </si>
  <si>
    <t>TINTAS ALE / TINTAS ALE</t>
  </si>
  <si>
    <t>Alessi Spray Vermelho Massey - Agricola/50606 - Lote: 39097/B2</t>
  </si>
  <si>
    <t xml:space="preserve"> 400ml / 210g</t>
  </si>
  <si>
    <t>2305023-2/002</t>
  </si>
  <si>
    <t>Alessi Spray Verde Escuro - Uso geral/50645 - Lote: 38429/01</t>
  </si>
  <si>
    <t>2305023-2/003</t>
  </si>
  <si>
    <t>Alessi Spray Amarelo New Holland - Agricola /50601 - Lote: 39091/B1</t>
  </si>
  <si>
    <t>2305023-2/004</t>
  </si>
  <si>
    <t>Alessi Piso Fosco Amarelo Demarcação - Lote: 112612 - PA038A01406</t>
  </si>
  <si>
    <t xml:space="preserve"> 0,9L</t>
  </si>
  <si>
    <t>2305023-2/005</t>
  </si>
  <si>
    <t>Alessi Piso Fosco Vermelho - Lote: 115705 - PA038A012006</t>
  </si>
  <si>
    <t>2305023-2/006</t>
  </si>
  <si>
    <t>Alessi ESM. Seca Rápido, Verde Folha - Lote: 109225 PA029A13005</t>
  </si>
  <si>
    <t xml:space="preserve"> 3,6L</t>
  </si>
  <si>
    <t>2305023-2/007</t>
  </si>
  <si>
    <t>Alessi ESM. Seca Rápido, Amarelo - Lote: 114289 PA029A13005</t>
  </si>
  <si>
    <t>2305028-1/001</t>
  </si>
  <si>
    <t>CERTA / PORTAS IND</t>
  </si>
  <si>
    <t>Porta Corta Fogo P-120</t>
  </si>
  <si>
    <t>2305033-0/001</t>
  </si>
  <si>
    <t>RENIL DO B / RENIL DO B</t>
  </si>
  <si>
    <t>Escada de aço dobrável para elevador 2800mm x 7Kg</t>
  </si>
  <si>
    <t>2305037-0/001</t>
  </si>
  <si>
    <t>TUV RHEINL / MEGATRON</t>
  </si>
  <si>
    <t>Cabo de potência flexível 1x4,00mm² 0,6/1kV a.c - 1,8kV c.c Cobre Sn/LSZH - Uso em sistema fotovoltaico - Vermelho</t>
  </si>
  <si>
    <t>2305042-0/001</t>
  </si>
  <si>
    <t>INNOVA / INNOVA</t>
  </si>
  <si>
    <t>LUVA ISOLANTE DE BORRACHA 17.000V CLASSE 2 TIPO II TAMANHO: 9 ½  DIREITA:15322399 ESQUERDA:15322380                                                            LUVA ISOLANTE DE BORRACHA 17.000V CLASSE 2 TIPO II TAMANHO: 9 ½   DIREITA:15322397 ESQUERDA:15322390                                                   LUVA ISOLANTE DE BORRACHA 17.000V CLASSE 2 TIPO II TAMANHO:  9½DIREITA: 15322340 ESQUERDA: 15322315</t>
  </si>
  <si>
    <t xml:space="preserve"> 03 PARES</t>
  </si>
  <si>
    <t>2305042-0/002</t>
  </si>
  <si>
    <t>LUVA ISOLANTE DE BORRACHA 500V CLASSE 00 TIPO II TAMANHO: 9 ½  DIREITA: 15309926 ESQUERDA: 15309895                                                  LUVA ISOLANTE DE BORRACHA 500V CLASSE 00 TIPO II TAMANHO: 9 ½   DIREITA: 15309923 ESQUERDA: 15309880                                                   LUVA ISOLANTE DE BORRACHA 500V CLASSE 00 TIPO II TAMANHO: 9 ½  DIREITA: 15325697 ESQUERDA:15325666                                              LUVA ISOLANTE DE BORRACHA 500V CLASSE 00 TIPO II TAMANHO: 9 ½  DIREITA:15309924 ESQUERDA: 15309885                                          LUVA ISOLANTE DE BORRACHA  500V  CLASSE 00 TIPO II TAMANHO 9 ½ DIREITA: 15325702 ESQUERDA: 15325676</t>
  </si>
  <si>
    <t xml:space="preserve"> 05 PARES</t>
  </si>
  <si>
    <t>2305043-1/001</t>
  </si>
  <si>
    <t>Boreal Fio / Boreal Fio</t>
  </si>
  <si>
    <t>Cabo de potência I POWER 90°C 0,6/1kV 1x120,00mm² AL/ XLPE/ ST2 - Preto</t>
  </si>
  <si>
    <t xml:space="preserve"> 65 METROS + 15 METROS DE FIO ELEMENTAR</t>
  </si>
  <si>
    <t>2305046-1/003</t>
  </si>
  <si>
    <t>1 rolo de 20 metros</t>
  </si>
  <si>
    <t>2305048-2/001</t>
  </si>
  <si>
    <t>Cabo coaxial série 06 60% 75 Ohms - Branco - Lote: 052023</t>
  </si>
  <si>
    <t>MILENA</t>
  </si>
  <si>
    <t>2305048-2/002</t>
  </si>
  <si>
    <t>ASSOCIAÇÃO / BRASILSAT</t>
  </si>
  <si>
    <t>Cabo coaxial flexivel série RG-6 75 Ohms 60% - Branco - Lote: 958412</t>
  </si>
  <si>
    <t>2305048-2/003</t>
  </si>
  <si>
    <t>ASSOCIAÇÃO / AMPHENOL T</t>
  </si>
  <si>
    <t>Cabo destinado a sistemas de Circuito Fechado de TV (CFTV) T660-PVC - Branco - Lote: 112683</t>
  </si>
  <si>
    <t>2305048-2/004</t>
  </si>
  <si>
    <t>ASSOCIAÇÃO / SINUTA DO</t>
  </si>
  <si>
    <t>Cabo coaxial flexível série RG-6 Daxis EDO 370 - Branco - Lote: A22502/01</t>
  </si>
  <si>
    <t>2305048-2/005</t>
  </si>
  <si>
    <t>ASSOCIAÇÃO / TRINIDADE</t>
  </si>
  <si>
    <t>Cabo coaxial com conector F - Modelo: TRI STB NAGRA</t>
  </si>
  <si>
    <t>2305048-2/006</t>
  </si>
  <si>
    <t>Cabo Coaxial Flexível RG-6 75 OHMS 60%</t>
  </si>
  <si>
    <t>2305049-0/001</t>
  </si>
  <si>
    <t>DABELA  / DABELA</t>
  </si>
  <si>
    <t>Assento desportivo com encosto, tipo monobloco produzido em polipropileno copolímero de alta performance, injetado em alta pressão, com aditivos para proteção anti-UV e anti chamas V0 - Azul</t>
  </si>
  <si>
    <t>2305057-0/001</t>
  </si>
  <si>
    <t>BVQI (SP) / LAUDISIO</t>
  </si>
  <si>
    <t>Adaptador para conversão de sistemas 2P+T 10A 250V - Branco - Marca: Safeline - Ref.: SL-6001</t>
  </si>
  <si>
    <t>2305057-0/002</t>
  </si>
  <si>
    <t>Adaptador para conversão de sistemas reverso 2P+T 15A 250V - Branco - Marca: Safeline - Ref.: SL-6002</t>
  </si>
  <si>
    <t>2305057-0/003</t>
  </si>
  <si>
    <t>Adaptador múltiplo 3x2P 10A 250V - Branco - Marca: Safeline - Ref.: SL-6007</t>
  </si>
  <si>
    <t>2305057-0/004</t>
  </si>
  <si>
    <t>Adaptador múltiplo 3x2P+T 10A 250V - Branco - Marca: Safeline - Ref.: SL-6009</t>
  </si>
  <si>
    <t>2305057-0/005</t>
  </si>
  <si>
    <t>Adaptador múltiplo 4x2P+T 10A 250V - Branco - Marca: Safeline - Ref.: SL-6010</t>
  </si>
  <si>
    <t>2305057-0/006</t>
  </si>
  <si>
    <t>Adaptador múltiplo 4x2P+T 10A 250V - Branco - Marca: Safeline - Ref.: SL-6013</t>
  </si>
  <si>
    <t>2305057-0/007</t>
  </si>
  <si>
    <t>Adaptador múltiplo 4x2P 10A 250V - Branco - Marca: Safeline - Ref.: SL-6011</t>
  </si>
  <si>
    <t>2305057-0/008</t>
  </si>
  <si>
    <t>Adaptador múltiplo 4x2P 10A 250V - Branco - Marca: Safeline - Ref.: SL-6012</t>
  </si>
  <si>
    <t>2305057-0/009</t>
  </si>
  <si>
    <t>Adaptador para conversão de sistemas 2P 10A 250V - Branco - Marca: Safeline - Ref.: SL-6015</t>
  </si>
  <si>
    <t>2305057-0/010</t>
  </si>
  <si>
    <t>Adaptador para conversão de sistemas 2P 15A 250V - Branco - Marca: Safeline - Ref.: SL-6016</t>
  </si>
  <si>
    <t>2305068-0/001</t>
  </si>
  <si>
    <t>CABO FLEXÍVEL NAMBEIFLEX 450/750V C5 - BWF-B 1x6,0mm² COBRE/PVC-A - CÓD: DA-36/22 FRMF (FD455)  AZUL</t>
  </si>
  <si>
    <t xml:space="preserve"> 1.300 METROS</t>
  </si>
  <si>
    <t>2305070-0/001</t>
  </si>
  <si>
    <t>ITAC / KIMPEX</t>
  </si>
  <si>
    <t>Soprador elétrico de ar para uso animal 220V, 6,4A, 60Hz, Classe II, IPX0 - Modelo: Bells Plus - Cód.: KBBP222</t>
  </si>
  <si>
    <t>2305070-0/002</t>
  </si>
  <si>
    <t>Interruptor para Soprador elétrico de ar para uso animal 220V, 6,4A, 60Hz, Classe II, IPX0 - Modelo: Bells Plus - Cód.: KBBP222</t>
  </si>
  <si>
    <t>2305070-0/003</t>
  </si>
  <si>
    <t>Soprador elétrico de ar para uso animal 127V, 9,9A, 60Hz, Classe II, IPX0 - Modelo: Silêncio - Cód.: KBS211</t>
  </si>
  <si>
    <t>2305077-0/001</t>
  </si>
  <si>
    <t>ENDUTEX / ENDUTEX</t>
  </si>
  <si>
    <t>Lona - Referência: BRATEC 799</t>
  </si>
  <si>
    <t xml:space="preserve"> 25 CORPOS DE PROVA</t>
  </si>
  <si>
    <t>2305077-0/002</t>
  </si>
  <si>
    <t>2305084-0/001</t>
  </si>
  <si>
    <t>SINDICEL / DACOTA</t>
  </si>
  <si>
    <t>Cabo de potência multiplexado 1x1x10mm² + 10mm² 90°C 0,6/1kV AL / XLPE / Neutro CA - Azul e preto</t>
  </si>
  <si>
    <t>APROXIMADAMENTE 10 METROS</t>
  </si>
  <si>
    <t>2305084-0/002</t>
  </si>
  <si>
    <t>SINDICEL / NEOCABLE</t>
  </si>
  <si>
    <t>Cabo de potência multiplexado 1x1x10mm² + 10mm² 0,6/1kV AL / XLPE / CA - Preto</t>
  </si>
  <si>
    <t xml:space="preserve"> APROXIMADAMENTE 10 METROS</t>
  </si>
  <si>
    <t>2305084-0/003</t>
  </si>
  <si>
    <t>Cabo de potência multiplexado 1x1x10mm² + 10mm² 0,6/1kV AL / XLPE / CA - Preto e azul</t>
  </si>
  <si>
    <t>2305084-0/004</t>
  </si>
  <si>
    <t>SINDICEL / CMR</t>
  </si>
  <si>
    <t>Cabo de potência multiplexado 1x10,00mm² AL + 10,00mm² XLPE/CA 0,6/1kV - Preto e azul</t>
  </si>
  <si>
    <t>2305084-0/005</t>
  </si>
  <si>
    <t>SINDICEL / BLUCABOS</t>
  </si>
  <si>
    <t>Cabo de potência multiplexado 1x1x10,00mm² +10,00mm² AL / XLPE / CA 0,6/1kV - Preto e azul</t>
  </si>
  <si>
    <t>2305084-0/006</t>
  </si>
  <si>
    <t>Cabo de potência multiplexado 1x1x16,00mm² + 16,00mm² AL XLPE CA 0,6/1kV - Preto e azul</t>
  </si>
  <si>
    <t>2305084-0/007</t>
  </si>
  <si>
    <t>SINDICEL / ---</t>
  </si>
  <si>
    <t>Cabo de potência multiplexado 1x1x10,00mm² + 10,00mm² AL / XLPE 0,6/1kV - Preto</t>
  </si>
  <si>
    <t>2305084-0/008</t>
  </si>
  <si>
    <t>SINDICEL / ----</t>
  </si>
  <si>
    <t>Cabo de potência multiplexado 1x1x10,00mm² + 10,00mm² AL XLPE / CA 0,6/1kV - Preto</t>
  </si>
  <si>
    <t>2305084-0/009</t>
  </si>
  <si>
    <t>SINDICEL / ALUMI BRAS</t>
  </si>
  <si>
    <t>Cabo de potência multiplexado 1x1x10,00mm² AL + 10,00mm² CA / XLPE 0,6/1kV 90°C - Preto</t>
  </si>
  <si>
    <t>2305084-0/010</t>
  </si>
  <si>
    <t>Cabo de potência multiplexado 3x1x10,00mm² + 10,00mm² AL/XLPE/CA 0,6/1kV - Preto, azul, cinza e vermelho</t>
  </si>
  <si>
    <t>2305084-0/011</t>
  </si>
  <si>
    <t>Cabo de potência multiplexado 1x1x10,00mm² + 10,00mm² AL/XLPE 0,6/1kV - Preto</t>
  </si>
  <si>
    <t>2305087-0/001</t>
  </si>
  <si>
    <t>SAINT-GOBA / ISOVER</t>
  </si>
  <si>
    <t>Forro Mineralis Ecophon</t>
  </si>
  <si>
    <t>26 Corpos de Prova</t>
  </si>
  <si>
    <t>2305089-1/001</t>
  </si>
  <si>
    <t>POLI POSIT / POLI POSIT</t>
  </si>
  <si>
    <t>Polipropileno Reprocessado - Preto (Em grãos)  Lote:PO0847Clarios</t>
  </si>
  <si>
    <t xml:space="preserve"> 300g</t>
  </si>
  <si>
    <t>2305095-0/001</t>
  </si>
  <si>
    <t>IBELQ / PERMATTI</t>
  </si>
  <si>
    <t>Telha de PVC tipo Colonial</t>
  </si>
  <si>
    <t>2305097-0/001</t>
  </si>
  <si>
    <t>Painel de Fibras de Madeira (MDF) - Código: 1237/2261</t>
  </si>
  <si>
    <t xml:space="preserve"> 500G</t>
  </si>
  <si>
    <t>2305107-3/001</t>
  </si>
  <si>
    <t>LEIPLAST / LEIPLAST</t>
  </si>
  <si>
    <t>ESPAGUETE CORRUGADO 100% ANTI-CHAMAS -  1/2 OU 13mm</t>
  </si>
  <si>
    <t xml:space="preserve"> 03 PLACAS</t>
  </si>
  <si>
    <t>2305111-0/001</t>
  </si>
  <si>
    <t>AGL MOTORE / AGL MOTORE</t>
  </si>
  <si>
    <t>Eletrificador para Cerca Elétrica Modelo: EC500 - Classe II - IPX4 - Bifásico/Dou blephase - 127V/220V - 50-60Hz</t>
  </si>
  <si>
    <t>2305112-0/001</t>
  </si>
  <si>
    <t>Disjuntor termomagnético 1P 230/400V, 50/60Hz, 1000A, Classe 1 - Modelo: SDA - Correntes nominais: Série homogênea 1 - 6A, 10A, 16A, 20A, 25A, 32A, 40A, 50A e 63A (Curva C)</t>
  </si>
  <si>
    <t xml:space="preserve"> 1 UNIDADE DE CORRENTE NOMINAL</t>
  </si>
  <si>
    <t>2305112-0/002</t>
  </si>
  <si>
    <t>Disjuntor termomagnético 1P 230/400V, 50/60Hz, 3000A, Classe 1 - Modelo: SD - Correntes nominais: Série homogênea 1 - 2A e 4A (Curva B), Série homogênea 1 - 6A, 10A, 16A, 20A, 25A, 32A e 40A (Curva C), Série homogênea 2 - 50A e 63A (Curva C)</t>
  </si>
  <si>
    <t xml:space="preserve"> 1 UNIDADE DE CADA CORRENTE NOMINAL</t>
  </si>
  <si>
    <t>2305112-0/003</t>
  </si>
  <si>
    <t>Disjuntor termomagnético 1P 230/400V, 50/60Hz, 6000A, Classe 1 - Modelo: SDZ - Correntes nominais: Série homogênea 1 - 2A, 4A, 6A, 10A, 16A, 20A, 25A, 32A e 40A (Curva C), Série homogênea 2 - 50A e 63A (Curva C)</t>
  </si>
  <si>
    <t>2305113-0/001</t>
  </si>
  <si>
    <t>Painel de Fibras de Madeira (MDF) - Código: 1237/2234</t>
  </si>
  <si>
    <t>2305113-0/002</t>
  </si>
  <si>
    <t>Painel de Fibras de Madeira (MDF) - Código: 1237/2235</t>
  </si>
  <si>
    <t>2305114-0/001</t>
  </si>
  <si>
    <t>Cabo triplex 0,6/1kV 2x1x16mm² + 16mm² AL/ PE - Preto - Rastreabilidade: REP25565</t>
  </si>
  <si>
    <t>2305114-0/002</t>
  </si>
  <si>
    <t>Cabo Triplex 0,6/1kV 2x1x16mm² + 16mm² AL/ PE - Preto - Rastreabilidade: REP25445</t>
  </si>
  <si>
    <t>2305114-0/003</t>
  </si>
  <si>
    <t>Cabo Triplex 0,6/1kV 2x1x16mm² + 16mm² AL/ PE - Preto - Rastreabilidade: REP25564</t>
  </si>
  <si>
    <t>2305114-0/004</t>
  </si>
  <si>
    <t>Cabo Triplex 0,6/1kV 2x1x16mm² + 16mm² AL/ PE - Preto - Rastreabilidade: REP25489</t>
  </si>
  <si>
    <t>2305114-0/005</t>
  </si>
  <si>
    <t>Cabo Quadruplex 0,6/1kV 3x1x70mm² + 70mm² AL/  XLPE/ CAL - Preto, Cinza e Vermelho - Rastreabilidade: RN16660</t>
  </si>
  <si>
    <t>2305114-0/006</t>
  </si>
  <si>
    <t>Cabo Quadruplex 0,6/1kV 3x1x70mm² + 70mm² AL /XLPE /CAL - Preto, Cinza e Vermelho - Rastreabilidade: RN16648</t>
  </si>
  <si>
    <t>2305114-0/007</t>
  </si>
  <si>
    <t>Cabo Quadruplex 0,6/1kV 3x1x70mm² + 70mm² - AL /XLPE /CAL - Preto, Cinza e Vermelho - Rastreabilidade: RN16657</t>
  </si>
  <si>
    <t>2305114-0/008</t>
  </si>
  <si>
    <t>Cabo Quadruplex 0,6/1kV 3x1x70mm² + 70mm² AL /XLPE /CAL - Preto, Cinza e Vermelho - Rastreabilidade: RN16652</t>
  </si>
  <si>
    <t>2305115-0/001</t>
  </si>
  <si>
    <t>IBELQ / ITEC</t>
  </si>
  <si>
    <t>2305121-0/002</t>
  </si>
  <si>
    <t>Corpos de prova de poste fabricados em Fibra de Vidro (PRFV)</t>
  </si>
  <si>
    <t>10 placas de 250x250x1mm</t>
  </si>
  <si>
    <t>2305132-0/001</t>
  </si>
  <si>
    <t>Interruptor Simples 4x2 - 10A 250V - Branco - Linha: Infiniti Plus</t>
  </si>
  <si>
    <t xml:space="preserve"> 06 UNIDADES</t>
  </si>
  <si>
    <t>2305132-0/002</t>
  </si>
  <si>
    <t>Interruptor Simples 4x2 - 10A 250V - Branco - Linha: B3</t>
  </si>
  <si>
    <t>2305133-0/001</t>
  </si>
  <si>
    <t xml:space="preserve">  LUVA ISOLANTE DE BORRACHA 17.000V CLASSE 2 - TIPO II - TAMANHO: 11 - DIREITA: 19219665 E ESQUERDA: 19219657                                       LUVA ISOLANTE DE BORRACHA 17.000V CLASSE 2 - TIPO II - TAMANHO: 11 - DIREITA: 19219672 E ESQUERDA: 19219660                                            LUVA ISOLANTE DE BORRACHA 17.000V CLASSE 2 - TIPO II - TAMANHO: 11 - DIREITA: 19219667  E ESQUERDA: 19219651</t>
  </si>
  <si>
    <t>2305133-0/002</t>
  </si>
  <si>
    <t xml:space="preserve"> 11 UNIDADES</t>
  </si>
  <si>
    <t>2305136-0/001</t>
  </si>
  <si>
    <t>ILUMI / ILUMI</t>
  </si>
  <si>
    <t>Módulo interruptor  de embutir 25A 250V ILUMI - BRANCA</t>
  </si>
  <si>
    <t>2305148-0/001</t>
  </si>
  <si>
    <t>SIL FIOS E / SIL FIOS E</t>
  </si>
  <si>
    <t>Cabo flexível Atoxsil - Cobre - LSHF/A - 1x2,5mm²  450/750V - Classe 4 - Preto</t>
  </si>
  <si>
    <t>2305151-1/001</t>
  </si>
  <si>
    <t>MALCON MET / MALCON MET</t>
  </si>
  <si>
    <t>Parede estrutural com função de compartimentação espessura da parede 84mm - Recheio: manta RITWOOL 1260C 64KG/M3 com espessura total de 76mm</t>
  </si>
  <si>
    <t xml:space="preserve"> 1 Parede de 2,5 x 2,5 metros</t>
  </si>
  <si>
    <t>2305156-0/001</t>
  </si>
  <si>
    <t>TUV RHEINL / NAMBEI</t>
  </si>
  <si>
    <t>Cabo Flexível de potência  Nambeinax flex HEPR /SHF1 atox - Cobre - 90°C, 0,6/1,0kV 1x70,00mm² - Classe 5 - Verde</t>
  </si>
  <si>
    <t xml:space="preserve"> 60 METROS</t>
  </si>
  <si>
    <t>2305161-2/001</t>
  </si>
  <si>
    <t>NORTOX / DOW</t>
  </si>
  <si>
    <t>Composto PEAD - Lote: N18173</t>
  </si>
  <si>
    <t>10mg</t>
  </si>
  <si>
    <t>2305163-0/001</t>
  </si>
  <si>
    <t>LAM CHICOT / LAM CHICOT</t>
  </si>
  <si>
    <t>Plugue não desmontável 2P+T 3A 250V, saída 90°, com pinos não maciços, equipado com cabo PP 105°C 300/500V 3x0,50mm² - Preto</t>
  </si>
  <si>
    <t>2305163-0/002</t>
  </si>
  <si>
    <t>Plugue não desmontável 2P+T 10A 250V, saída 90°, com pinos não maciços, equipado com cabo PP 105°C 300/500V     3x1,00mm² - Preto</t>
  </si>
  <si>
    <t>2305163-0/003</t>
  </si>
  <si>
    <t>Plugue não desmontável 2P+T 16A 250V, saída 90°, com pinos não maciços, equipado com cabo PP 105°C 300/500V 3x1,50mm² - Preto</t>
  </si>
  <si>
    <t>2305171-1/001</t>
  </si>
  <si>
    <t>ELETROFLEX / ELETROFLEX</t>
  </si>
  <si>
    <t>Eletroduto de Polietileno Flexível, 3/4" x 3,0 mm - Preto</t>
  </si>
  <si>
    <t xml:space="preserve"> 05 METROS</t>
  </si>
  <si>
    <t>2305173-0/001</t>
  </si>
  <si>
    <t>SPERONE / SPERONE</t>
  </si>
  <si>
    <t>Tomada de embutir para aparelhos 2P+T - 10A - 250V , com rabicho , Branca,  Cód: TSG-10BR</t>
  </si>
  <si>
    <t xml:space="preserve"> 09 UNIDADES</t>
  </si>
  <si>
    <t>2305174-0/001</t>
  </si>
  <si>
    <t>MB PLASTIC / MB PLASTIC</t>
  </si>
  <si>
    <t>Saco plástico para Lixo - 15 Litros - Preto</t>
  </si>
  <si>
    <t xml:space="preserve"> 100 unidades</t>
  </si>
  <si>
    <t>2305174-0/002</t>
  </si>
  <si>
    <t>Saco plástico para Lixo - 30 Litros - Preto</t>
  </si>
  <si>
    <t>2305174-0/003</t>
  </si>
  <si>
    <t>Saco plástico para Lixo - 50 Litros - Preto</t>
  </si>
  <si>
    <t>2305174-0/004</t>
  </si>
  <si>
    <t>Saco plástico para Lixo - 100 Litros - Preto</t>
  </si>
  <si>
    <t>2305174-0/005</t>
  </si>
  <si>
    <t>Saco plástico para Lixo - 70 Litros - Preto</t>
  </si>
  <si>
    <t>2305174-0/006</t>
  </si>
  <si>
    <t>Saco plástico para Lixo - 110 Litros - Preto</t>
  </si>
  <si>
    <t>2305174-0/007</t>
  </si>
  <si>
    <t>Saco plástico para Lixo - 240 Litros - Preto</t>
  </si>
  <si>
    <t>2305175-0/001</t>
  </si>
  <si>
    <t>ORLA DISTR / ORLA DISTR</t>
  </si>
  <si>
    <t>2305175-0/002</t>
  </si>
  <si>
    <t>2305175-0/003</t>
  </si>
  <si>
    <t>2305175-0/004</t>
  </si>
  <si>
    <t>2305175-0/005</t>
  </si>
  <si>
    <t>2305175-0/006</t>
  </si>
  <si>
    <t>2305175-0/007</t>
  </si>
  <si>
    <t>100 unidades</t>
  </si>
  <si>
    <t>2305177-0/001</t>
  </si>
  <si>
    <t>Cabo de Fibra Óptica CFOAC-BLI-CM-01 SZH - Lote: 05632</t>
  </si>
  <si>
    <t xml:space="preserve"> 500 METROS</t>
  </si>
  <si>
    <t>2305179-0/002</t>
  </si>
  <si>
    <t>Cabo Anti-tracking Al tensão 15kV - seção 185mm²</t>
  </si>
  <si>
    <t>01 Laço com 2 conexões</t>
  </si>
  <si>
    <t>2306002-0/001</t>
  </si>
  <si>
    <t>ASSA ABLOY / ASSA ABLOY</t>
  </si>
  <si>
    <t>Fechadura digital Yale - Modelo YRD 226</t>
  </si>
  <si>
    <t>2306003-1/001</t>
  </si>
  <si>
    <t>Cabo CTRL-Flex Toxfree Blindado FC 5x2,5mm² CU/HEPR/SHF1 1000V - Preto - Cód.: 2161201BB - Lote: 0001596184</t>
  </si>
  <si>
    <t xml:space="preserve"> APROXIMADAMENTE 2 METROS</t>
  </si>
  <si>
    <t>2306036-0/004</t>
  </si>
  <si>
    <t>Plugue desmontável 2P 10A 250V, saída 180°, com pinos maciços - Branco - Ref.: 11.210 - Lote: 33790</t>
  </si>
  <si>
    <t>2306043-1/001</t>
  </si>
  <si>
    <t>COLUMBUS T / COLUMBUS T</t>
  </si>
  <si>
    <t>Abraçadeira 108x127x14mm</t>
  </si>
  <si>
    <t>2306043-1/002</t>
  </si>
  <si>
    <t>Abraçadeira 146x127x14mm</t>
  </si>
  <si>
    <t>S</t>
  </si>
  <si>
    <t>2306043-1/003</t>
  </si>
  <si>
    <t>Abraçadeira 152x171x14mm</t>
  </si>
  <si>
    <t>2306043-1/004</t>
  </si>
  <si>
    <t>Abraçadeira 197x216x14mm</t>
  </si>
  <si>
    <t>2306044-0/001</t>
  </si>
  <si>
    <t>HPPT DO BR / HPPT DO BR</t>
  </si>
  <si>
    <t>Tubo PVC - Amarelo - HPPT- 0071</t>
  </si>
  <si>
    <t>2306057-1/001</t>
  </si>
  <si>
    <t>Cabo Heproterm flex controle atóxico BFC 3x2,5mm² 1000V Cobre C5 HEPR/SHF1 - Preto - Cód.: 7T34045 - N° de série: 23FN903492</t>
  </si>
  <si>
    <t xml:space="preserve"> 4 CORPOS DE PROVA</t>
  </si>
  <si>
    <t>2306087-0/001</t>
  </si>
  <si>
    <t xml:space="preserve"> 1 unidade</t>
  </si>
  <si>
    <t>Mês/ano identificado: junho de 2023</t>
  </si>
  <si>
    <t>Vitoria</t>
  </si>
  <si>
    <t>Controle de envios</t>
  </si>
  <si>
    <t>Controle de revisões</t>
  </si>
  <si>
    <t>Milena</t>
  </si>
  <si>
    <t>Total de atrasos</t>
  </si>
  <si>
    <t>Procentagem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</si>
</sst>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\/mm\/yy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b/>
      <sz val="16"/>
      <color theme="1"/>
      <name val="Arial"/>
      <family val="2"/>
    </font>
    <font>
      <b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name val="Calibri"/>
      <family val="2"/>
      <scheme val="minor"/>
    </font>
    <font>
      <sz val="11"/>
      <name val="Arial"/>
      <family val="2"/>
    </font>
    <font>
      <sz val="11"/>
      <color rgb="FFFF0000"/>
      <name val="Arial"/>
      <family val="2"/>
    </font>
    <font>
      <b/>
      <sz val="11"/>
      <name val="Arial"/>
      <family val="2"/>
    </font>
    <font>
      <sz val="10"/>
      <color indexed="8"/>
      <name val="Arial"/>
      <family val="2"/>
    </font>
    <font>
      <sz val="10"/>
      <color rgb="FF000000"/>
      <name val="Arial"/>
      <family val="2"/>
    </font>
    <font>
      <b/>
      <sz val="10"/>
      <color rgb="FF000000"/>
      <name val="Arial"/>
      <family val="2"/>
    </font>
    <font>
      <b/>
      <sz val="11"/>
      <color rgb="FF000000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1"/>
      <color rgb="FF000000"/>
      <name val="Arial"/>
      <family val="2"/>
    </font>
    <font>
      <b/>
      <sz val="12"/>
      <color rgb="FF000000"/>
      <name val="Arial"/>
      <family val="2"/>
    </font>
    <font>
      <b/>
      <sz val="12"/>
      <color theme="1"/>
      <name val="Arial"/>
      <family val="2"/>
    </font>
  </fonts>
  <fills count="17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</fills>
  <borders count="2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theme="1" tint="0.34998626667073579"/>
      </left>
      <right style="thin">
        <color theme="1" tint="0.34998626667073579"/>
      </right>
      <top/>
      <bottom/>
      <diagonal/>
    </border>
    <border>
      <left style="thin">
        <color theme="1" tint="0.34998626667073579"/>
      </left>
      <right style="thin">
        <color theme="1" tint="0.34998626667073579"/>
      </right>
      <top style="thin">
        <color theme="1" tint="0.34998626667073579"/>
      </top>
      <bottom style="thin">
        <color theme="1" tint="0.34998626667073579"/>
      </bottom>
      <diagonal/>
    </border>
    <border>
      <left/>
      <right/>
      <top/>
      <bottom style="thin">
        <color theme="1" tint="0.34998626667073579"/>
      </bottom>
      <diagonal/>
    </border>
    <border>
      <left/>
      <right style="thin">
        <color theme="1" tint="0.34998626667073579"/>
      </right>
      <top/>
      <bottom/>
      <diagonal/>
    </border>
    <border>
      <left/>
      <right style="thin">
        <color theme="1" tint="0.34998626667073579"/>
      </right>
      <top style="thin">
        <color theme="1" tint="0.34998626667073579"/>
      </top>
      <bottom style="thin">
        <color theme="1" tint="0.34998626667073579"/>
      </bottom>
      <diagonal/>
    </border>
  </borders>
  <cellStyleXfs count="3">
    <xf numFmtId="0" fontId="0" fillId="0" borderId="0"/>
    <xf numFmtId="9" fontId="6" fillId="0" borderId="0" applyFont="0" applyFill="0" applyBorder="0" applyAlignment="0" applyProtection="0"/>
    <xf numFmtId="0" fontId="12" fillId="0" borderId="0">
      <alignment vertical="top"/>
    </xf>
  </cellStyleXfs>
  <cellXfs count="112">
    <xf numFmtId="0" fontId="0" fillId="0" borderId="0" xfId="0"/>
    <xf numFmtId="0" fontId="4" fillId="8" borderId="1" xfId="0" applyFont="1" applyFill="1" applyBorder="1" applyAlignment="1">
      <alignment horizontal="center" vertical="center"/>
    </xf>
    <xf numFmtId="0" fontId="4" fillId="5" borderId="1" xfId="0" applyFont="1" applyFill="1" applyBorder="1" applyAlignment="1">
      <alignment horizontal="center" vertical="center"/>
    </xf>
    <xf numFmtId="0" fontId="0" fillId="7" borderId="1" xfId="0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2" fillId="4" borderId="1" xfId="0" applyFont="1" applyFill="1" applyBorder="1" applyAlignment="1" applyProtection="1">
      <alignment horizontal="center" vertical="center"/>
      <protection hidden="1"/>
    </xf>
    <xf numFmtId="0" fontId="2" fillId="4" borderId="2" xfId="0" applyFont="1" applyFill="1" applyBorder="1" applyAlignment="1" applyProtection="1">
      <alignment horizontal="center" vertical="center"/>
      <protection hidden="1"/>
    </xf>
    <xf numFmtId="0" fontId="1" fillId="0" borderId="0" xfId="0" applyFont="1" applyAlignment="1" applyProtection="1">
      <alignment horizontal="center" vertical="center"/>
      <protection hidden="1"/>
    </xf>
    <xf numFmtId="0" fontId="1" fillId="6" borderId="1" xfId="0" applyFont="1" applyFill="1" applyBorder="1" applyAlignment="1" applyProtection="1">
      <alignment horizontal="center" vertical="center"/>
      <protection locked="0"/>
    </xf>
    <xf numFmtId="0" fontId="1" fillId="6" borderId="2" xfId="0" applyFont="1" applyFill="1" applyBorder="1" applyAlignment="1" applyProtection="1">
      <alignment horizontal="center" vertical="center"/>
      <protection hidden="1"/>
    </xf>
    <xf numFmtId="9" fontId="0" fillId="7" borderId="1" xfId="1" applyFont="1" applyFill="1" applyBorder="1" applyAlignment="1">
      <alignment horizontal="center" vertical="center"/>
    </xf>
    <xf numFmtId="9" fontId="0" fillId="9" borderId="1" xfId="1" applyFont="1" applyFill="1" applyBorder="1" applyAlignment="1">
      <alignment horizontal="center" vertical="center"/>
    </xf>
    <xf numFmtId="0" fontId="8" fillId="2" borderId="1" xfId="0" applyFont="1" applyFill="1" applyBorder="1" applyAlignment="1">
      <alignment horizontal="center" vertical="center"/>
    </xf>
    <xf numFmtId="0" fontId="9" fillId="6" borderId="1" xfId="0" applyFont="1" applyFill="1" applyBorder="1" applyAlignment="1" applyProtection="1">
      <alignment horizontal="center" vertical="center"/>
      <protection locked="0"/>
    </xf>
    <xf numFmtId="0" fontId="9" fillId="6" borderId="1" xfId="0" applyFont="1" applyFill="1" applyBorder="1" applyAlignment="1" applyProtection="1">
      <alignment horizontal="center" vertical="center"/>
      <protection hidden="1"/>
    </xf>
    <xf numFmtId="0" fontId="9" fillId="0" borderId="0" xfId="0" applyFont="1" applyAlignment="1" applyProtection="1">
      <alignment horizontal="center" vertical="center"/>
      <protection hidden="1"/>
    </xf>
    <xf numFmtId="0" fontId="10" fillId="6" borderId="1" xfId="0" applyFont="1" applyFill="1" applyBorder="1" applyAlignment="1" applyProtection="1">
      <alignment horizontal="center" vertical="center" wrapText="1"/>
      <protection locked="0"/>
    </xf>
    <xf numFmtId="0" fontId="11" fillId="4" borderId="9" xfId="0" applyFont="1" applyFill="1" applyBorder="1" applyAlignment="1" applyProtection="1">
      <alignment horizontal="center" vertical="center"/>
      <protection hidden="1"/>
    </xf>
    <xf numFmtId="0" fontId="11" fillId="4" borderId="6" xfId="0" applyFont="1" applyFill="1" applyBorder="1" applyAlignment="1" applyProtection="1">
      <alignment horizontal="center" vertical="center"/>
      <protection hidden="1"/>
    </xf>
    <xf numFmtId="0" fontId="9" fillId="6" borderId="7" xfId="0" applyFont="1" applyFill="1" applyBorder="1" applyAlignment="1" applyProtection="1">
      <alignment horizontal="center" vertical="center"/>
      <protection hidden="1"/>
    </xf>
    <xf numFmtId="9" fontId="9" fillId="6" borderId="14" xfId="1" applyFont="1" applyFill="1" applyBorder="1" applyAlignment="1" applyProtection="1">
      <alignment horizontal="center" vertical="center"/>
      <protection hidden="1"/>
    </xf>
    <xf numFmtId="0" fontId="10" fillId="6" borderId="1" xfId="0" applyFont="1" applyFill="1" applyBorder="1" applyAlignment="1" applyProtection="1">
      <alignment horizontal="center" vertical="center"/>
      <protection locked="0"/>
    </xf>
    <xf numFmtId="0" fontId="2" fillId="11" borderId="1" xfId="0" applyFont="1" applyFill="1" applyBorder="1" applyAlignment="1" applyProtection="1">
      <alignment horizontal="center" vertical="center"/>
      <protection hidden="1"/>
    </xf>
    <xf numFmtId="0" fontId="1" fillId="11" borderId="1" xfId="0" applyFont="1" applyFill="1" applyBorder="1" applyAlignment="1" applyProtection="1">
      <alignment horizontal="center" vertical="center"/>
      <protection hidden="1"/>
    </xf>
    <xf numFmtId="0" fontId="4" fillId="11" borderId="1" xfId="0" applyFont="1" applyFill="1" applyBorder="1" applyAlignment="1">
      <alignment horizontal="center" vertical="center"/>
    </xf>
    <xf numFmtId="0" fontId="0" fillId="12" borderId="1" xfId="0" applyFill="1" applyBorder="1" applyAlignment="1">
      <alignment horizontal="center" vertical="center"/>
    </xf>
    <xf numFmtId="0" fontId="1" fillId="12" borderId="1" xfId="0" applyFont="1" applyFill="1" applyBorder="1" applyAlignment="1" applyProtection="1">
      <alignment horizontal="center" vertical="center"/>
      <protection hidden="1"/>
    </xf>
    <xf numFmtId="0" fontId="13" fillId="13" borderId="15" xfId="2" applyFont="1" applyFill="1" applyBorder="1" applyAlignment="1">
      <alignment horizontal="center" vertical="center"/>
    </xf>
    <xf numFmtId="0" fontId="13" fillId="13" borderId="15" xfId="2" applyFont="1" applyFill="1" applyBorder="1" applyAlignment="1">
      <alignment horizontal="left" vertical="center"/>
    </xf>
    <xf numFmtId="14" fontId="13" fillId="13" borderId="15" xfId="2" applyNumberFormat="1" applyFont="1" applyFill="1" applyBorder="1" applyAlignment="1">
      <alignment horizontal="center" vertical="center"/>
    </xf>
    <xf numFmtId="0" fontId="13" fillId="13" borderId="18" xfId="2" applyFont="1" applyFill="1" applyBorder="1" applyAlignment="1">
      <alignment horizontal="center" vertical="center"/>
    </xf>
    <xf numFmtId="0" fontId="14" fillId="13" borderId="16" xfId="2" applyFont="1" applyFill="1" applyBorder="1" applyAlignment="1">
      <alignment horizontal="center" vertical="center"/>
    </xf>
    <xf numFmtId="0" fontId="14" fillId="13" borderId="16" xfId="2" applyFont="1" applyFill="1" applyBorder="1" applyAlignment="1">
      <alignment horizontal="center" vertical="center" readingOrder="1"/>
    </xf>
    <xf numFmtId="14" fontId="14" fillId="13" borderId="16" xfId="2" applyNumberFormat="1" applyFont="1" applyFill="1" applyBorder="1" applyAlignment="1">
      <alignment horizontal="center" vertical="center"/>
    </xf>
    <xf numFmtId="14" fontId="14" fillId="13" borderId="16" xfId="2" applyNumberFormat="1" applyFont="1" applyFill="1" applyBorder="1" applyAlignment="1">
      <alignment horizontal="center" vertical="center" readingOrder="1"/>
    </xf>
    <xf numFmtId="0" fontId="14" fillId="13" borderId="19" xfId="2" applyFont="1" applyFill="1" applyBorder="1" applyAlignment="1">
      <alignment horizontal="center" vertical="center"/>
    </xf>
    <xf numFmtId="164" fontId="13" fillId="13" borderId="15" xfId="2" applyNumberFormat="1" applyFont="1" applyFill="1" applyBorder="1" applyAlignment="1">
      <alignment horizontal="center" vertical="center"/>
    </xf>
    <xf numFmtId="14" fontId="13" fillId="13" borderId="15" xfId="2" applyNumberFormat="1" applyFont="1" applyFill="1" applyBorder="1" applyAlignment="1">
      <alignment horizontal="center" vertical="center" readingOrder="1"/>
    </xf>
    <xf numFmtId="0" fontId="16" fillId="10" borderId="0" xfId="0" applyFont="1" applyFill="1" applyAlignment="1">
      <alignment horizontal="center" vertical="center"/>
    </xf>
    <xf numFmtId="0" fontId="15" fillId="10" borderId="1" xfId="0" applyFont="1" applyFill="1" applyBorder="1" applyAlignment="1">
      <alignment horizontal="center" vertical="center"/>
    </xf>
    <xf numFmtId="0" fontId="16" fillId="14" borderId="1" xfId="0" applyFont="1" applyFill="1" applyBorder="1" applyAlignment="1">
      <alignment horizontal="center" vertical="center"/>
    </xf>
    <xf numFmtId="0" fontId="16" fillId="10" borderId="1" xfId="0" applyFont="1" applyFill="1" applyBorder="1" applyAlignment="1">
      <alignment horizontal="left" vertical="center"/>
    </xf>
    <xf numFmtId="0" fontId="15" fillId="10" borderId="0" xfId="0" applyFont="1" applyFill="1" applyAlignment="1">
      <alignment horizontal="center" vertical="center"/>
    </xf>
    <xf numFmtId="0" fontId="16" fillId="10" borderId="1" xfId="0" applyFont="1" applyFill="1" applyBorder="1" applyAlignment="1">
      <alignment horizontal="center" vertical="center"/>
    </xf>
    <xf numFmtId="0" fontId="2" fillId="4" borderId="3" xfId="0" applyFont="1" applyFill="1" applyBorder="1" applyAlignment="1" applyProtection="1">
      <alignment horizontal="center" vertical="center"/>
      <protection hidden="1"/>
    </xf>
    <xf numFmtId="0" fontId="2" fillId="4" borderId="7" xfId="0" applyFont="1" applyFill="1" applyBorder="1" applyAlignment="1" applyProtection="1">
      <alignment horizontal="center" vertical="center"/>
      <protection hidden="1"/>
    </xf>
    <xf numFmtId="0" fontId="0" fillId="9" borderId="1" xfId="0" applyFill="1" applyBorder="1" applyAlignment="1">
      <alignment horizontal="center" vertical="center"/>
    </xf>
    <xf numFmtId="0" fontId="14" fillId="13" borderId="17" xfId="2" applyFont="1" applyFill="1" applyBorder="1" applyAlignment="1">
      <alignment horizontal="left" vertical="center"/>
    </xf>
    <xf numFmtId="14" fontId="14" fillId="13" borderId="17" xfId="2" applyNumberFormat="1" applyFont="1" applyFill="1" applyBorder="1" applyAlignment="1">
      <alignment horizontal="left" vertical="center"/>
    </xf>
    <xf numFmtId="0" fontId="14" fillId="13" borderId="17" xfId="2" applyFont="1" applyFill="1" applyBorder="1" applyAlignment="1">
      <alignment horizontal="left" vertical="top"/>
    </xf>
    <xf numFmtId="0" fontId="1" fillId="0" borderId="0" xfId="0" applyFont="1" applyAlignment="1" applyProtection="1">
      <alignment vertical="center"/>
      <protection hidden="1"/>
    </xf>
    <xf numFmtId="0" fontId="9" fillId="0" borderId="0" xfId="0" applyFont="1" applyAlignment="1" applyProtection="1">
      <alignment vertical="center"/>
      <protection hidden="1"/>
    </xf>
    <xf numFmtId="0" fontId="13" fillId="13" borderId="15" xfId="2" applyFont="1" applyFill="1" applyBorder="1">
      <alignment vertical="top"/>
    </xf>
    <xf numFmtId="0" fontId="13" fillId="13" borderId="15" xfId="2" applyFont="1" applyFill="1" applyBorder="1" applyAlignment="1">
      <alignment horizontal="center" vertical="center" readingOrder="1"/>
    </xf>
    <xf numFmtId="0" fontId="18" fillId="13" borderId="0" xfId="2" applyFont="1" applyFill="1" applyAlignment="1">
      <alignment horizontal="center"/>
    </xf>
    <xf numFmtId="0" fontId="18" fillId="13" borderId="0" xfId="2" applyFont="1" applyFill="1" applyAlignment="1">
      <alignment horizontal="left"/>
    </xf>
    <xf numFmtId="0" fontId="17" fillId="13" borderId="0" xfId="2" applyFont="1" applyFill="1" applyAlignment="1">
      <alignment horizontal="left"/>
    </xf>
    <xf numFmtId="14" fontId="18" fillId="13" borderId="0" xfId="2" applyNumberFormat="1" applyFont="1" applyFill="1" applyAlignment="1">
      <alignment horizontal="center"/>
    </xf>
    <xf numFmtId="0" fontId="13" fillId="15" borderId="18" xfId="2" applyFont="1" applyFill="1" applyBorder="1" applyAlignment="1">
      <alignment horizontal="center" vertical="center"/>
    </xf>
    <xf numFmtId="0" fontId="13" fillId="15" borderId="15" xfId="2" applyFont="1" applyFill="1" applyBorder="1" applyAlignment="1">
      <alignment horizontal="left" vertical="center"/>
    </xf>
    <xf numFmtId="0" fontId="13" fillId="15" borderId="15" xfId="2" applyFont="1" applyFill="1" applyBorder="1" applyAlignment="1">
      <alignment horizontal="center" vertical="center"/>
    </xf>
    <xf numFmtId="14" fontId="13" fillId="15" borderId="15" xfId="2" applyNumberFormat="1" applyFont="1" applyFill="1" applyBorder="1" applyAlignment="1">
      <alignment horizontal="center" vertical="center"/>
    </xf>
    <xf numFmtId="0" fontId="13" fillId="15" borderId="15" xfId="2" applyFont="1" applyFill="1" applyBorder="1">
      <alignment vertical="top"/>
    </xf>
    <xf numFmtId="0" fontId="13" fillId="15" borderId="15" xfId="2" applyFont="1" applyFill="1" applyBorder="1" applyAlignment="1">
      <alignment horizontal="center" vertical="center" readingOrder="1"/>
    </xf>
    <xf numFmtId="164" fontId="13" fillId="15" borderId="15" xfId="2" applyNumberFormat="1" applyFont="1" applyFill="1" applyBorder="1" applyAlignment="1">
      <alignment horizontal="center" vertical="center"/>
    </xf>
    <xf numFmtId="1" fontId="1" fillId="0" borderId="3" xfId="0" applyNumberFormat="1" applyFont="1" applyBorder="1" applyAlignment="1" applyProtection="1">
      <alignment horizontal="center" vertical="center"/>
      <protection hidden="1"/>
    </xf>
    <xf numFmtId="14" fontId="18" fillId="10" borderId="0" xfId="2" applyNumberFormat="1" applyFont="1" applyFill="1" applyAlignment="1">
      <alignment horizontal="center"/>
    </xf>
    <xf numFmtId="14" fontId="14" fillId="10" borderId="17" xfId="2" applyNumberFormat="1" applyFont="1" applyFill="1" applyBorder="1" applyAlignment="1">
      <alignment horizontal="left" vertical="center"/>
    </xf>
    <xf numFmtId="14" fontId="14" fillId="10" borderId="16" xfId="2" applyNumberFormat="1" applyFont="1" applyFill="1" applyBorder="1" applyAlignment="1">
      <alignment horizontal="center" vertical="center" readingOrder="1"/>
    </xf>
    <xf numFmtId="14" fontId="13" fillId="10" borderId="15" xfId="2" applyNumberFormat="1" applyFont="1" applyFill="1" applyBorder="1" applyAlignment="1">
      <alignment horizontal="center" vertical="center"/>
    </xf>
    <xf numFmtId="0" fontId="1" fillId="6" borderId="3" xfId="0" applyFont="1" applyFill="1" applyBorder="1" applyAlignment="1" applyProtection="1">
      <alignment horizontal="center" vertical="center"/>
      <protection hidden="1"/>
    </xf>
    <xf numFmtId="0" fontId="9" fillId="6" borderId="13" xfId="0" applyFont="1" applyFill="1" applyBorder="1" applyAlignment="1" applyProtection="1">
      <alignment horizontal="center" vertical="center"/>
      <protection hidden="1"/>
    </xf>
    <xf numFmtId="0" fontId="1" fillId="6" borderId="11" xfId="0" applyFont="1" applyFill="1" applyBorder="1" applyAlignment="1" applyProtection="1">
      <alignment horizontal="center" vertical="center"/>
      <protection hidden="1"/>
    </xf>
    <xf numFmtId="0" fontId="1" fillId="6" borderId="7" xfId="0" applyFont="1" applyFill="1" applyBorder="1" applyAlignment="1" applyProtection="1">
      <alignment horizontal="center" vertical="center"/>
      <protection hidden="1"/>
    </xf>
    <xf numFmtId="0" fontId="1" fillId="6" borderId="12" xfId="0" applyFont="1" applyFill="1" applyBorder="1" applyAlignment="1" applyProtection="1">
      <alignment horizontal="center" vertical="center"/>
      <protection hidden="1"/>
    </xf>
    <xf numFmtId="9" fontId="1" fillId="6" borderId="14" xfId="1" applyFont="1" applyFill="1" applyBorder="1" applyAlignment="1" applyProtection="1">
      <alignment horizontal="center" vertical="center"/>
      <protection hidden="1"/>
    </xf>
    <xf numFmtId="9" fontId="1" fillId="6" borderId="6" xfId="1" applyFont="1" applyFill="1" applyBorder="1" applyAlignment="1" applyProtection="1">
      <alignment horizontal="center" vertical="center"/>
      <protection hidden="1"/>
    </xf>
    <xf numFmtId="0" fontId="11" fillId="11" borderId="1" xfId="0" applyFont="1" applyFill="1" applyBorder="1" applyAlignment="1" applyProtection="1">
      <alignment horizontal="center" vertical="center"/>
      <protection hidden="1"/>
    </xf>
    <xf numFmtId="0" fontId="9" fillId="16" borderId="1" xfId="0" applyFont="1" applyFill="1" applyBorder="1" applyAlignment="1" applyProtection="1">
      <alignment horizontal="center" vertical="center"/>
      <protection hidden="1"/>
    </xf>
    <xf numFmtId="0" fontId="2" fillId="4" borderId="4" xfId="0" applyFont="1" applyFill="1" applyBorder="1" applyAlignment="1" applyProtection="1">
      <alignment horizontal="center" vertical="center"/>
      <protection hidden="1"/>
    </xf>
    <xf numFmtId="0" fontId="2" fillId="4" borderId="5" xfId="0" applyFont="1" applyFill="1" applyBorder="1" applyAlignment="1" applyProtection="1">
      <alignment horizontal="center" vertical="center"/>
      <protection hidden="1"/>
    </xf>
    <xf numFmtId="0" fontId="2" fillId="11" borderId="2" xfId="0" applyFont="1" applyFill="1" applyBorder="1" applyAlignment="1" applyProtection="1">
      <alignment horizontal="center" vertical="center"/>
      <protection hidden="1"/>
    </xf>
    <xf numFmtId="0" fontId="2" fillId="11" borderId="11" xfId="0" applyFont="1" applyFill="1" applyBorder="1" applyAlignment="1" applyProtection="1">
      <alignment horizontal="center" vertical="center"/>
      <protection hidden="1"/>
    </xf>
    <xf numFmtId="0" fontId="2" fillId="11" borderId="3" xfId="0" applyFont="1" applyFill="1" applyBorder="1" applyAlignment="1" applyProtection="1">
      <alignment horizontal="center" vertical="center"/>
      <protection hidden="1"/>
    </xf>
    <xf numFmtId="0" fontId="1" fillId="0" borderId="10" xfId="0" applyFont="1" applyBorder="1" applyAlignment="1" applyProtection="1">
      <alignment horizontal="left" vertical="center"/>
      <protection hidden="1"/>
    </xf>
    <xf numFmtId="0" fontId="1" fillId="0" borderId="0" xfId="0" applyFont="1" applyAlignment="1" applyProtection="1">
      <alignment horizontal="left" vertical="center"/>
      <protection hidden="1"/>
    </xf>
    <xf numFmtId="0" fontId="1" fillId="6" borderId="9" xfId="0" applyFont="1" applyFill="1" applyBorder="1" applyAlignment="1" applyProtection="1">
      <alignment horizontal="center" vertical="center"/>
      <protection hidden="1"/>
    </xf>
    <xf numFmtId="0" fontId="3" fillId="4" borderId="1" xfId="0" applyFont="1" applyFill="1" applyBorder="1" applyAlignment="1" applyProtection="1">
      <alignment horizontal="center" vertical="center"/>
      <protection hidden="1"/>
    </xf>
    <xf numFmtId="0" fontId="2" fillId="4" borderId="7" xfId="0" applyFont="1" applyFill="1" applyBorder="1" applyAlignment="1" applyProtection="1">
      <alignment horizontal="center" vertical="center" textRotation="255"/>
      <protection hidden="1"/>
    </xf>
    <xf numFmtId="0" fontId="2" fillId="4" borderId="9" xfId="0" applyFont="1" applyFill="1" applyBorder="1" applyAlignment="1" applyProtection="1">
      <alignment horizontal="center" vertical="center" textRotation="255"/>
      <protection hidden="1"/>
    </xf>
    <xf numFmtId="0" fontId="2" fillId="4" borderId="12" xfId="0" applyFont="1" applyFill="1" applyBorder="1" applyAlignment="1" applyProtection="1">
      <alignment horizontal="center" vertical="center" textRotation="255"/>
      <protection hidden="1"/>
    </xf>
    <xf numFmtId="0" fontId="19" fillId="4" borderId="7" xfId="0" applyFont="1" applyFill="1" applyBorder="1" applyAlignment="1" applyProtection="1">
      <alignment horizontal="center" vertical="center"/>
      <protection hidden="1"/>
    </xf>
    <xf numFmtId="0" fontId="19" fillId="4" borderId="14" xfId="0" applyFont="1" applyFill="1" applyBorder="1" applyAlignment="1" applyProtection="1">
      <alignment horizontal="center" vertical="center"/>
      <protection hidden="1"/>
    </xf>
    <xf numFmtId="0" fontId="19" fillId="4" borderId="9" xfId="0" applyFont="1" applyFill="1" applyBorder="1" applyAlignment="1" applyProtection="1">
      <alignment horizontal="center" vertical="center"/>
      <protection hidden="1"/>
    </xf>
    <xf numFmtId="0" fontId="19" fillId="4" borderId="6" xfId="0" applyFont="1" applyFill="1" applyBorder="1" applyAlignment="1" applyProtection="1">
      <alignment horizontal="center" vertical="center"/>
      <protection hidden="1"/>
    </xf>
    <xf numFmtId="0" fontId="19" fillId="4" borderId="10" xfId="0" applyFont="1" applyFill="1" applyBorder="1" applyAlignment="1" applyProtection="1">
      <alignment horizontal="center" vertical="center"/>
      <protection hidden="1"/>
    </xf>
    <xf numFmtId="0" fontId="19" fillId="4" borderId="3" xfId="0" applyFont="1" applyFill="1" applyBorder="1" applyAlignment="1" applyProtection="1">
      <alignment horizontal="center" vertical="center"/>
      <protection hidden="1"/>
    </xf>
    <xf numFmtId="0" fontId="2" fillId="4" borderId="8" xfId="0" applyFont="1" applyFill="1" applyBorder="1" applyAlignment="1" applyProtection="1">
      <alignment horizontal="center" vertical="center"/>
      <protection hidden="1"/>
    </xf>
    <xf numFmtId="0" fontId="5" fillId="8" borderId="2" xfId="0" applyFont="1" applyFill="1" applyBorder="1" applyAlignment="1">
      <alignment horizontal="center" vertical="center"/>
    </xf>
    <xf numFmtId="0" fontId="5" fillId="8" borderId="11" xfId="0" applyFont="1" applyFill="1" applyBorder="1" applyAlignment="1">
      <alignment horizontal="center" vertical="center"/>
    </xf>
    <xf numFmtId="0" fontId="5" fillId="8" borderId="3" xfId="0" applyFont="1" applyFill="1" applyBorder="1" applyAlignment="1">
      <alignment horizontal="center" vertical="center"/>
    </xf>
    <xf numFmtId="0" fontId="0" fillId="7" borderId="4" xfId="0" applyFill="1" applyBorder="1" applyAlignment="1">
      <alignment horizontal="center" vertical="center"/>
    </xf>
    <xf numFmtId="0" fontId="0" fillId="7" borderId="5" xfId="0" applyFill="1" applyBorder="1" applyAlignment="1">
      <alignment horizontal="center" vertical="center"/>
    </xf>
    <xf numFmtId="0" fontId="4" fillId="11" borderId="2" xfId="0" applyFont="1" applyFill="1" applyBorder="1" applyAlignment="1">
      <alignment horizontal="center" vertical="center"/>
    </xf>
    <xf numFmtId="0" fontId="4" fillId="11" borderId="11" xfId="0" applyFont="1" applyFill="1" applyBorder="1" applyAlignment="1">
      <alignment horizontal="center" vertical="center"/>
    </xf>
    <xf numFmtId="0" fontId="4" fillId="11" borderId="3" xfId="0" applyFont="1" applyFill="1" applyBorder="1" applyAlignment="1">
      <alignment horizontal="center" vertical="center"/>
    </xf>
    <xf numFmtId="0" fontId="5" fillId="3" borderId="1" xfId="0" applyFont="1" applyFill="1" applyBorder="1" applyAlignment="1">
      <alignment horizontal="center" vertical="center"/>
    </xf>
    <xf numFmtId="0" fontId="0" fillId="9" borderId="1" xfId="0" applyFill="1" applyBorder="1" applyAlignment="1">
      <alignment horizontal="center" vertical="center"/>
    </xf>
    <xf numFmtId="0" fontId="5" fillId="5" borderId="2" xfId="0" applyFont="1" applyFill="1" applyBorder="1" applyAlignment="1">
      <alignment horizontal="center" vertical="center"/>
    </xf>
    <xf numFmtId="0" fontId="5" fillId="5" borderId="11" xfId="0" applyFont="1" applyFill="1" applyBorder="1" applyAlignment="1">
      <alignment horizontal="center" vertical="center"/>
    </xf>
    <xf numFmtId="0" fontId="5" fillId="5" borderId="3" xfId="0" applyFont="1" applyFill="1" applyBorder="1" applyAlignment="1">
      <alignment horizontal="center" vertical="center"/>
    </xf>
  </cellXfs>
  <cellStyles count="3">
    <cellStyle name="Normal" xfId="0" builtinId="0"/>
    <cellStyle name="Normal 2" xfId="2" xr:uid="{62BC676A-AE45-47FD-B0E6-6F9B754201F2}"/>
    <cellStyle name="Porcentagem" xfId="1" builtinId="5"/>
  </cellStyles>
  <dxfs count="1"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mruColors>
      <color rgb="FFFFFFCC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t-BR"/>
              <a:t>Controle de atrasos</a:t>
            </a:r>
          </a:p>
        </c:rich>
      </c:tx>
      <c:overlay val="0"/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Atrasos!$K$3</c:f>
              <c:strCache>
                <c:ptCount val="1"/>
                <c:pt idx="0">
                  <c:v>REP</c:v>
                </c:pt>
              </c:strCache>
            </c:strRef>
          </c:tx>
          <c:invertIfNegative val="0"/>
          <c:cat>
            <c:strLit>
              <c:ptCount val="2"/>
              <c:pt idx="0">
                <c:v>REP</c:v>
              </c:pt>
              <c:pt idx="1">
                <c:v>Técnicos</c:v>
              </c:pt>
            </c:strLit>
          </c:cat>
          <c:val>
            <c:numRef>
              <c:f>Atrasos!$L$3</c:f>
              <c:numCache>
                <c:formatCode>General</c:formatCode>
                <c:ptCount val="1"/>
                <c:pt idx="0">
                  <c:v>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5CE-42F6-8C85-63CCF2355438}"/>
            </c:ext>
          </c:extLst>
        </c:ser>
        <c:ser>
          <c:idx val="2"/>
          <c:order val="1"/>
          <c:tx>
            <c:strRef>
              <c:f>Atrasos!$K$5</c:f>
              <c:strCache>
                <c:ptCount val="1"/>
                <c:pt idx="0">
                  <c:v>Cabos</c:v>
                </c:pt>
              </c:strCache>
            </c:strRef>
          </c:tx>
          <c:invertIfNegative val="0"/>
          <c:cat>
            <c:strLit>
              <c:ptCount val="2"/>
              <c:pt idx="0">
                <c:v>REP</c:v>
              </c:pt>
              <c:pt idx="1">
                <c:v>Técnicos</c:v>
              </c:pt>
            </c:strLit>
          </c:cat>
          <c:val>
            <c:numRef>
              <c:f>Atrasos!$K$5:$L$5</c:f>
              <c:numCache>
                <c:formatCode>General</c:formatCode>
                <c:ptCount val="2"/>
                <c:pt idx="0">
                  <c:v>0</c:v>
                </c:pt>
                <c:pt idx="1">
                  <c:v>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5CE-42F6-8C85-63CCF2355438}"/>
            </c:ext>
          </c:extLst>
        </c:ser>
        <c:ser>
          <c:idx val="3"/>
          <c:order val="2"/>
          <c:tx>
            <c:strRef>
              <c:f>Atrasos!$K$7</c:f>
              <c:strCache>
                <c:ptCount val="1"/>
                <c:pt idx="0">
                  <c:v>Diversos</c:v>
                </c:pt>
              </c:strCache>
            </c:strRef>
          </c:tx>
          <c:invertIfNegative val="0"/>
          <c:cat>
            <c:strLit>
              <c:ptCount val="2"/>
              <c:pt idx="0">
                <c:v>REP</c:v>
              </c:pt>
              <c:pt idx="1">
                <c:v>Técnicos</c:v>
              </c:pt>
            </c:strLit>
          </c:cat>
          <c:val>
            <c:numRef>
              <c:f>Atrasos!$K$7:$L$7</c:f>
              <c:numCache>
                <c:formatCode>General</c:formatCode>
                <c:ptCount val="2"/>
                <c:pt idx="0">
                  <c:v>0</c:v>
                </c:pt>
                <c:pt idx="1">
                  <c:v>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5CE-42F6-8C85-63CCF2355438}"/>
            </c:ext>
          </c:extLst>
        </c:ser>
        <c:ser>
          <c:idx val="4"/>
          <c:order val="3"/>
          <c:tx>
            <c:strRef>
              <c:f>Atrasos!$K$9</c:f>
              <c:strCache>
                <c:ptCount val="1"/>
                <c:pt idx="0">
                  <c:v>Químico</c:v>
                </c:pt>
              </c:strCache>
            </c:strRef>
          </c:tx>
          <c:invertIfNegative val="0"/>
          <c:cat>
            <c:strLit>
              <c:ptCount val="2"/>
              <c:pt idx="0">
                <c:v>REP</c:v>
              </c:pt>
              <c:pt idx="1">
                <c:v>Técnicos</c:v>
              </c:pt>
            </c:strLit>
          </c:cat>
          <c:val>
            <c:numRef>
              <c:f>Atrasos!$K$9:$L$9</c:f>
              <c:numCache>
                <c:formatCode>General</c:formatCode>
                <c:ptCount val="2"/>
                <c:pt idx="0">
                  <c:v>0</c:v>
                </c:pt>
                <c:pt idx="1">
                  <c:v>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5CE-42F6-8C85-63CCF2355438}"/>
            </c:ext>
          </c:extLst>
        </c:ser>
        <c:ser>
          <c:idx val="5"/>
          <c:order val="4"/>
          <c:tx>
            <c:strRef>
              <c:f>Atrasos!$K$11</c:f>
              <c:strCache>
                <c:ptCount val="1"/>
                <c:pt idx="0">
                  <c:v>Fogo</c:v>
                </c:pt>
              </c:strCache>
            </c:strRef>
          </c:tx>
          <c:invertIfNegative val="0"/>
          <c:cat>
            <c:strLit>
              <c:ptCount val="2"/>
              <c:pt idx="0">
                <c:v>REP</c:v>
              </c:pt>
              <c:pt idx="1">
                <c:v>Técnicos</c:v>
              </c:pt>
            </c:strLit>
          </c:cat>
          <c:val>
            <c:numRef>
              <c:f>Atrasos!$K$11:$L$11</c:f>
              <c:numCache>
                <c:formatCode>General</c:formatCode>
                <c:ptCount val="2"/>
                <c:pt idx="0">
                  <c:v>0</c:v>
                </c:pt>
                <c:pt idx="1">
                  <c:v>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5CE-42F6-8C85-63CCF2355438}"/>
            </c:ext>
          </c:extLst>
        </c:ser>
        <c:ser>
          <c:idx val="6"/>
          <c:order val="5"/>
          <c:tx>
            <c:strRef>
              <c:f>Atrasos!$K$15</c:f>
              <c:strCache>
                <c:ptCount val="1"/>
                <c:pt idx="0">
                  <c:v>Plugues</c:v>
                </c:pt>
              </c:strCache>
            </c:strRef>
          </c:tx>
          <c:invertIfNegative val="0"/>
          <c:cat>
            <c:strLit>
              <c:ptCount val="2"/>
              <c:pt idx="0">
                <c:v>REP</c:v>
              </c:pt>
              <c:pt idx="1">
                <c:v>Técnicos</c:v>
              </c:pt>
            </c:strLit>
          </c:cat>
          <c:val>
            <c:numRef>
              <c:f>Atrasos!$K$15:$L$15</c:f>
              <c:numCache>
                <c:formatCode>General</c:formatCode>
                <c:ptCount val="2"/>
                <c:pt idx="0">
                  <c:v>0</c:v>
                </c:pt>
                <c:pt idx="1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5CE-42F6-8C85-63CCF2355438}"/>
            </c:ext>
          </c:extLst>
        </c:ser>
        <c:ser>
          <c:idx val="7"/>
          <c:order val="6"/>
          <c:tx>
            <c:strRef>
              <c:f>Atrasos!$K$17</c:f>
              <c:strCache>
                <c:ptCount val="1"/>
                <c:pt idx="0">
                  <c:v>Eletrodoméstico</c:v>
                </c:pt>
              </c:strCache>
            </c:strRef>
          </c:tx>
          <c:invertIfNegative val="0"/>
          <c:cat>
            <c:strLit>
              <c:ptCount val="2"/>
              <c:pt idx="0">
                <c:v>REP</c:v>
              </c:pt>
              <c:pt idx="1">
                <c:v>Técnicos</c:v>
              </c:pt>
            </c:strLit>
          </c:cat>
          <c:val>
            <c:numRef>
              <c:f>Atrasos!$K$17:$L$17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5CE-42F6-8C85-63CCF2355438}"/>
            </c:ext>
          </c:extLst>
        </c:ser>
        <c:ser>
          <c:idx val="1"/>
          <c:order val="7"/>
          <c:tx>
            <c:strRef>
              <c:f>Atrasos!$K$13</c:f>
              <c:strCache>
                <c:ptCount val="1"/>
                <c:pt idx="0">
                  <c:v>Construção Civil</c:v>
                </c:pt>
              </c:strCache>
            </c:strRef>
          </c:tx>
          <c:invertIfNegative val="0"/>
          <c:val>
            <c:numRef>
              <c:f>Atrasos!$L$13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2FF-4A4B-B03E-091A579D1C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96745344"/>
        <c:axId val="96746880"/>
      </c:barChart>
      <c:catAx>
        <c:axId val="96745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96746880"/>
        <c:crosses val="autoZero"/>
        <c:auto val="1"/>
        <c:lblAlgn val="ctr"/>
        <c:lblOffset val="100"/>
        <c:noMultiLvlLbl val="0"/>
      </c:catAx>
      <c:valAx>
        <c:axId val="967468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96745344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800" b="1">
                <a:solidFill>
                  <a:schemeClr val="tx1"/>
                </a:solidFill>
              </a:rPr>
              <a:t>Total de atrasos (2023)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Atrasos!$N$42</c:f>
              <c:strCache>
                <c:ptCount val="1"/>
                <c:pt idx="0">
                  <c:v>REP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Atrasos!$O$40:$AA$41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Atrasos!$O$42:$AA$42</c:f>
              <c:numCache>
                <c:formatCode>General</c:formatCode>
                <c:ptCount val="12"/>
                <c:pt idx="0">
                  <c:v>8</c:v>
                </c:pt>
                <c:pt idx="1">
                  <c:v>8</c:v>
                </c:pt>
                <c:pt idx="2">
                  <c:v>2</c:v>
                </c:pt>
                <c:pt idx="3">
                  <c:v>7</c:v>
                </c:pt>
                <c:pt idx="4">
                  <c:v>4</c:v>
                </c:pt>
                <c:pt idx="5">
                  <c:v>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08F-4DFD-A6C4-DFB2CA2BC628}"/>
            </c:ext>
          </c:extLst>
        </c:ser>
        <c:ser>
          <c:idx val="1"/>
          <c:order val="1"/>
          <c:tx>
            <c:strRef>
              <c:f>Atrasos!$N$43</c:f>
              <c:strCache>
                <c:ptCount val="1"/>
                <c:pt idx="0">
                  <c:v>Técnico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Atrasos!$O$40:$AA$41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Atrasos!$O$43:$AA$43</c:f>
              <c:numCache>
                <c:formatCode>General</c:formatCode>
                <c:ptCount val="12"/>
                <c:pt idx="0">
                  <c:v>33</c:v>
                </c:pt>
                <c:pt idx="1">
                  <c:v>25</c:v>
                </c:pt>
                <c:pt idx="2">
                  <c:v>32</c:v>
                </c:pt>
                <c:pt idx="3">
                  <c:v>54</c:v>
                </c:pt>
                <c:pt idx="4">
                  <c:v>74</c:v>
                </c:pt>
                <c:pt idx="5">
                  <c:v>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08F-4DFD-A6C4-DFB2CA2BC6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80946704"/>
        <c:axId val="480946048"/>
      </c:lineChart>
      <c:catAx>
        <c:axId val="4809467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80946048"/>
        <c:crosses val="autoZero"/>
        <c:auto val="1"/>
        <c:lblAlgn val="ctr"/>
        <c:lblOffset val="100"/>
        <c:noMultiLvlLbl val="0"/>
      </c:catAx>
      <c:valAx>
        <c:axId val="4809460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809467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Controle de revisões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Revisões!$A$1</c:f>
              <c:strCache>
                <c:ptCount val="1"/>
                <c:pt idx="0">
                  <c:v>Controle de revisões</c:v>
                </c:pt>
              </c:strCache>
            </c:strRef>
          </c:tx>
          <c:invertIfNegative val="0"/>
          <c:cat>
            <c:strRef>
              <c:f>Revisões!$A$2:$D$2</c:f>
              <c:strCache>
                <c:ptCount val="4"/>
                <c:pt idx="0">
                  <c:v>REP</c:v>
                </c:pt>
                <c:pt idx="1">
                  <c:v>Técnico</c:v>
                </c:pt>
                <c:pt idx="2">
                  <c:v>Comercial</c:v>
                </c:pt>
                <c:pt idx="3">
                  <c:v>Cliente</c:v>
                </c:pt>
              </c:strCache>
            </c:strRef>
          </c:cat>
          <c:val>
            <c:numRef>
              <c:f>Revisões!$A$3:$D$3</c:f>
              <c:numCache>
                <c:formatCode>General</c:formatCode>
                <c:ptCount val="4"/>
                <c:pt idx="0">
                  <c:v>9</c:v>
                </c:pt>
                <c:pt idx="1">
                  <c:v>14</c:v>
                </c:pt>
                <c:pt idx="2">
                  <c:v>7</c:v>
                </c:pt>
                <c:pt idx="3">
                  <c:v>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CA7-4E3B-BC80-85CB0DF7FE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2261120"/>
        <c:axId val="102262656"/>
      </c:barChart>
      <c:catAx>
        <c:axId val="102261120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102262656"/>
        <c:crosses val="autoZero"/>
        <c:auto val="1"/>
        <c:lblAlgn val="ctr"/>
        <c:lblOffset val="100"/>
        <c:noMultiLvlLbl val="0"/>
      </c:catAx>
      <c:valAx>
        <c:axId val="10226265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02261120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800" b="1">
                <a:solidFill>
                  <a:schemeClr val="tx1"/>
                </a:solidFill>
              </a:rPr>
              <a:t>Total de revisões (2023)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Revisões!$F$8</c:f>
              <c:strCache>
                <c:ptCount val="1"/>
                <c:pt idx="0">
                  <c:v>REP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Revisões!$H$6:$S$7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Revisões!$H$8:$S$8</c:f>
              <c:numCache>
                <c:formatCode>General</c:formatCode>
                <c:ptCount val="12"/>
                <c:pt idx="0">
                  <c:v>5</c:v>
                </c:pt>
                <c:pt idx="1">
                  <c:v>10</c:v>
                </c:pt>
                <c:pt idx="2">
                  <c:v>2</c:v>
                </c:pt>
                <c:pt idx="3">
                  <c:v>6</c:v>
                </c:pt>
                <c:pt idx="4">
                  <c:v>11</c:v>
                </c:pt>
                <c:pt idx="5">
                  <c:v>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868-42D7-89B2-97765CA580B3}"/>
            </c:ext>
          </c:extLst>
        </c:ser>
        <c:ser>
          <c:idx val="1"/>
          <c:order val="1"/>
          <c:tx>
            <c:strRef>
              <c:f>Revisões!$F$9</c:f>
              <c:strCache>
                <c:ptCount val="1"/>
                <c:pt idx="0">
                  <c:v>Técnico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Revisões!$H$6:$S$7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Revisões!$H$9:$S$9</c:f>
              <c:numCache>
                <c:formatCode>General</c:formatCode>
                <c:ptCount val="12"/>
                <c:pt idx="0">
                  <c:v>10</c:v>
                </c:pt>
                <c:pt idx="1">
                  <c:v>7</c:v>
                </c:pt>
                <c:pt idx="2">
                  <c:v>16</c:v>
                </c:pt>
                <c:pt idx="3">
                  <c:v>4</c:v>
                </c:pt>
                <c:pt idx="4">
                  <c:v>12</c:v>
                </c:pt>
                <c:pt idx="5">
                  <c:v>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868-42D7-89B2-97765CA580B3}"/>
            </c:ext>
          </c:extLst>
        </c:ser>
        <c:ser>
          <c:idx val="2"/>
          <c:order val="2"/>
          <c:tx>
            <c:strRef>
              <c:f>Revisões!$F$10</c:f>
              <c:strCache>
                <c:ptCount val="1"/>
                <c:pt idx="0">
                  <c:v>Comercial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Revisões!$H$6:$S$7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Revisões!$H$10:$S$10</c:f>
              <c:numCache>
                <c:formatCode>General</c:formatCode>
                <c:ptCount val="12"/>
                <c:pt idx="0">
                  <c:v>22</c:v>
                </c:pt>
                <c:pt idx="1">
                  <c:v>6</c:v>
                </c:pt>
                <c:pt idx="2">
                  <c:v>2</c:v>
                </c:pt>
                <c:pt idx="3">
                  <c:v>3</c:v>
                </c:pt>
                <c:pt idx="4">
                  <c:v>2</c:v>
                </c:pt>
                <c:pt idx="5">
                  <c:v>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868-42D7-89B2-97765CA580B3}"/>
            </c:ext>
          </c:extLst>
        </c:ser>
        <c:ser>
          <c:idx val="3"/>
          <c:order val="3"/>
          <c:tx>
            <c:strRef>
              <c:f>Revisões!$F$11</c:f>
              <c:strCache>
                <c:ptCount val="1"/>
                <c:pt idx="0">
                  <c:v>Cliente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Revisões!$H$6:$S$7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Revisões!$H$11:$S$11</c:f>
              <c:numCache>
                <c:formatCode>General</c:formatCode>
                <c:ptCount val="12"/>
                <c:pt idx="0">
                  <c:v>14</c:v>
                </c:pt>
                <c:pt idx="1">
                  <c:v>10</c:v>
                </c:pt>
                <c:pt idx="2">
                  <c:v>13</c:v>
                </c:pt>
                <c:pt idx="3">
                  <c:v>8</c:v>
                </c:pt>
                <c:pt idx="4">
                  <c:v>9</c:v>
                </c:pt>
                <c:pt idx="5">
                  <c:v>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7868-42D7-89B2-97765CA580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80013128"/>
        <c:axId val="480012144"/>
      </c:lineChart>
      <c:catAx>
        <c:axId val="4800131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80012144"/>
        <c:crosses val="autoZero"/>
        <c:auto val="1"/>
        <c:lblAlgn val="ctr"/>
        <c:lblOffset val="100"/>
        <c:noMultiLvlLbl val="0"/>
      </c:catAx>
      <c:valAx>
        <c:axId val="480012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80013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t-BR"/>
              <a:t>Controle de envios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Envios</c:v>
          </c:tx>
          <c:invertIfNegative val="0"/>
          <c:cat>
            <c:strRef>
              <c:f>Envios!$B$2:$F$2</c:f>
              <c:strCache>
                <c:ptCount val="5"/>
                <c:pt idx="0">
                  <c:v>Marcel</c:v>
                </c:pt>
                <c:pt idx="1">
                  <c:v>Elias</c:v>
                </c:pt>
                <c:pt idx="2">
                  <c:v>Vitoria</c:v>
                </c:pt>
                <c:pt idx="3">
                  <c:v>Bruna</c:v>
                </c:pt>
                <c:pt idx="4">
                  <c:v>Milena</c:v>
                </c:pt>
              </c:strCache>
            </c:strRef>
          </c:cat>
          <c:val>
            <c:numRef>
              <c:f>Envios!$B$3:$E$3</c:f>
              <c:numCache>
                <c:formatCode>General</c:formatCode>
                <c:ptCount val="4"/>
                <c:pt idx="0">
                  <c:v>60</c:v>
                </c:pt>
                <c:pt idx="1">
                  <c:v>60</c:v>
                </c:pt>
                <c:pt idx="2">
                  <c:v>78</c:v>
                </c:pt>
                <c:pt idx="3">
                  <c:v>101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C99-4F05-9FB1-D6EF6188EFFC}"/>
            </c:ext>
          </c:extLst>
        </c:ser>
        <c:ser>
          <c:idx val="1"/>
          <c:order val="1"/>
          <c:tx>
            <c:v>Revisões</c:v>
          </c:tx>
          <c:invertIfNegative val="0"/>
          <c:cat>
            <c:strRef>
              <c:f>Envios!$B$2:$F$2</c:f>
              <c:strCache>
                <c:ptCount val="5"/>
                <c:pt idx="0">
                  <c:v>Marcel</c:v>
                </c:pt>
                <c:pt idx="1">
                  <c:v>Elias</c:v>
                </c:pt>
                <c:pt idx="2">
                  <c:v>Vitoria</c:v>
                </c:pt>
                <c:pt idx="3">
                  <c:v>Bruna</c:v>
                </c:pt>
                <c:pt idx="4">
                  <c:v>Milena</c:v>
                </c:pt>
              </c:strCache>
            </c:strRef>
          </c:cat>
          <c:val>
            <c:numRef>
              <c:f>Envios!$B$4:$E$4</c:f>
              <c:numCache>
                <c:formatCode>General</c:formatCode>
                <c:ptCount val="4"/>
                <c:pt idx="0">
                  <c:v>3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C99-4F05-9FB1-D6EF6188EF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2301056"/>
        <c:axId val="102564992"/>
      </c:barChart>
      <c:catAx>
        <c:axId val="10230105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102564992"/>
        <c:crosses val="autoZero"/>
        <c:auto val="1"/>
        <c:lblAlgn val="ctr"/>
        <c:lblOffset val="100"/>
        <c:noMultiLvlLbl val="0"/>
      </c:catAx>
      <c:valAx>
        <c:axId val="10256499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02301056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800" b="1">
                <a:solidFill>
                  <a:schemeClr val="tx1"/>
                </a:solidFill>
              </a:rPr>
              <a:t>Total de envios (2023)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Envios!$I$8</c:f>
              <c:strCache>
                <c:ptCount val="1"/>
                <c:pt idx="0">
                  <c:v>Marcel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Envios!$K$6:$V$7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Envios!$K$8:$V$8</c:f>
              <c:numCache>
                <c:formatCode>General</c:formatCode>
                <c:ptCount val="12"/>
                <c:pt idx="0">
                  <c:v>11</c:v>
                </c:pt>
                <c:pt idx="1">
                  <c:v>29</c:v>
                </c:pt>
                <c:pt idx="2">
                  <c:v>46</c:v>
                </c:pt>
                <c:pt idx="3">
                  <c:v>28</c:v>
                </c:pt>
                <c:pt idx="4">
                  <c:v>127</c:v>
                </c:pt>
                <c:pt idx="5">
                  <c:v>60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528-40B4-BBE7-8BD0F4BE821C}"/>
            </c:ext>
          </c:extLst>
        </c:ser>
        <c:ser>
          <c:idx val="1"/>
          <c:order val="1"/>
          <c:tx>
            <c:strRef>
              <c:f>Envios!$I$9</c:f>
              <c:strCache>
                <c:ptCount val="1"/>
                <c:pt idx="0">
                  <c:v>Elias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Envios!$K$6:$V$7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Envios!$K$9:$V$9</c:f>
              <c:numCache>
                <c:formatCode>General</c:formatCode>
                <c:ptCount val="12"/>
                <c:pt idx="0">
                  <c:v>36</c:v>
                </c:pt>
                <c:pt idx="1">
                  <c:v>37</c:v>
                </c:pt>
                <c:pt idx="2">
                  <c:v>43</c:v>
                </c:pt>
                <c:pt idx="3">
                  <c:v>50</c:v>
                </c:pt>
                <c:pt idx="4">
                  <c:v>65</c:v>
                </c:pt>
                <c:pt idx="5">
                  <c:v>60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528-40B4-BBE7-8BD0F4BE821C}"/>
            </c:ext>
          </c:extLst>
        </c:ser>
        <c:ser>
          <c:idx val="2"/>
          <c:order val="2"/>
          <c:tx>
            <c:strRef>
              <c:f>Envios!$I$10</c:f>
              <c:strCache>
                <c:ptCount val="1"/>
                <c:pt idx="0">
                  <c:v>Vitoria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Envios!$K$6:$V$7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Envios!$K$10:$V$10</c:f>
              <c:numCache>
                <c:formatCode>General</c:formatCode>
                <c:ptCount val="12"/>
                <c:pt idx="5">
                  <c:v>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528-40B4-BBE7-8BD0F4BE821C}"/>
            </c:ext>
          </c:extLst>
        </c:ser>
        <c:ser>
          <c:idx val="3"/>
          <c:order val="3"/>
          <c:tx>
            <c:strRef>
              <c:f>Envios!$I$11</c:f>
              <c:strCache>
                <c:ptCount val="1"/>
                <c:pt idx="0">
                  <c:v>Bruna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Envios!$K$6:$V$7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Envios!$K$11:$V$11</c:f>
              <c:numCache>
                <c:formatCode>General</c:formatCode>
                <c:ptCount val="12"/>
                <c:pt idx="0">
                  <c:v>5</c:v>
                </c:pt>
                <c:pt idx="1">
                  <c:v>13</c:v>
                </c:pt>
                <c:pt idx="2">
                  <c:v>19</c:v>
                </c:pt>
                <c:pt idx="3">
                  <c:v>13</c:v>
                </c:pt>
                <c:pt idx="4">
                  <c:v>136</c:v>
                </c:pt>
                <c:pt idx="5">
                  <c:v>101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F528-40B4-BBE7-8BD0F4BE82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15750232"/>
        <c:axId val="515744000"/>
      </c:lineChart>
      <c:catAx>
        <c:axId val="5157502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15744000"/>
        <c:crosses val="autoZero"/>
        <c:auto val="1"/>
        <c:lblAlgn val="ctr"/>
        <c:lblOffset val="100"/>
        <c:noMultiLvlLbl val="0"/>
      </c:catAx>
      <c:valAx>
        <c:axId val="5157440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157502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Erros!$A$1</c:f>
              <c:strCache>
                <c:ptCount val="1"/>
                <c:pt idx="0">
                  <c:v>Controle de erros</c:v>
                </c:pt>
              </c:strCache>
            </c:strRef>
          </c:tx>
          <c:invertIfNegative val="0"/>
          <c:cat>
            <c:strRef>
              <c:f>Erros!$A$2:$H$2</c:f>
              <c:strCache>
                <c:ptCount val="8"/>
                <c:pt idx="0">
                  <c:v>Cabos</c:v>
                </c:pt>
                <c:pt idx="1">
                  <c:v>Diversos</c:v>
                </c:pt>
                <c:pt idx="2">
                  <c:v>Químico</c:v>
                </c:pt>
                <c:pt idx="3">
                  <c:v>Fogo</c:v>
                </c:pt>
                <c:pt idx="4">
                  <c:v>Construção Civil</c:v>
                </c:pt>
                <c:pt idx="5">
                  <c:v>Plugues</c:v>
                </c:pt>
                <c:pt idx="6">
                  <c:v>Eletrodoméstico</c:v>
                </c:pt>
                <c:pt idx="7">
                  <c:v>Comercial</c:v>
                </c:pt>
              </c:strCache>
            </c:strRef>
          </c:cat>
          <c:val>
            <c:numRef>
              <c:f>Erros!$A$3:$H$3</c:f>
              <c:numCache>
                <c:formatCode>General</c:formatCode>
                <c:ptCount val="8"/>
                <c:pt idx="0">
                  <c:v>4</c:v>
                </c:pt>
                <c:pt idx="1">
                  <c:v>2</c:v>
                </c:pt>
                <c:pt idx="2">
                  <c:v>4</c:v>
                </c:pt>
                <c:pt idx="3">
                  <c:v>1</c:v>
                </c:pt>
                <c:pt idx="4">
                  <c:v>2</c:v>
                </c:pt>
                <c:pt idx="5">
                  <c:v>1</c:v>
                </c:pt>
                <c:pt idx="6">
                  <c:v>25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7AD-4B2B-AAD7-67EA3E9BA0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2635392"/>
        <c:axId val="102636928"/>
      </c:barChart>
      <c:catAx>
        <c:axId val="102635392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102636928"/>
        <c:crosses val="autoZero"/>
        <c:auto val="1"/>
        <c:lblAlgn val="ctr"/>
        <c:lblOffset val="100"/>
        <c:noMultiLvlLbl val="0"/>
      </c:catAx>
      <c:valAx>
        <c:axId val="10263692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02635392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800" b="1">
                <a:solidFill>
                  <a:schemeClr val="tx1"/>
                </a:solidFill>
              </a:rPr>
              <a:t>Total de erros (2023)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Erros!$I$8</c:f>
              <c:strCache>
                <c:ptCount val="1"/>
                <c:pt idx="0">
                  <c:v>Somatória dos setores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Erros!$K$6:$V$7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Erros!$K$8:$V$8</c:f>
              <c:numCache>
                <c:formatCode>General</c:formatCode>
                <c:ptCount val="12"/>
                <c:pt idx="0">
                  <c:v>18</c:v>
                </c:pt>
                <c:pt idx="1">
                  <c:v>35</c:v>
                </c:pt>
                <c:pt idx="2">
                  <c:v>36</c:v>
                </c:pt>
                <c:pt idx="3">
                  <c:v>23</c:v>
                </c:pt>
                <c:pt idx="4">
                  <c:v>34</c:v>
                </c:pt>
                <c:pt idx="5">
                  <c:v>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B76-49F7-A204-8A223DAD9B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17659376"/>
        <c:axId val="517657408"/>
      </c:lineChart>
      <c:catAx>
        <c:axId val="5176593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17657408"/>
        <c:crosses val="autoZero"/>
        <c:auto val="1"/>
        <c:lblAlgn val="ctr"/>
        <c:lblOffset val="100"/>
        <c:noMultiLvlLbl val="0"/>
      </c:catAx>
      <c:valAx>
        <c:axId val="5176574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176593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62193</xdr:colOff>
      <xdr:row>0</xdr:row>
      <xdr:rowOff>67234</xdr:rowOff>
    </xdr:from>
    <xdr:to>
      <xdr:col>1</xdr:col>
      <xdr:colOff>454443</xdr:colOff>
      <xdr:row>0</xdr:row>
      <xdr:rowOff>279034</xdr:rowOff>
    </xdr:to>
    <xdr:sp macro="[0]!ImportarDados" textlink="">
      <xdr:nvSpPr>
        <xdr:cNvPr id="3" name="Retângulo 2">
          <a:extLst>
            <a:ext uri="{FF2B5EF4-FFF2-40B4-BE49-F238E27FC236}">
              <a16:creationId xmlns:a16="http://schemas.microsoft.com/office/drawing/2014/main" id="{C0199B84-BDF6-4156-B6E5-5F5E00BDE89D}"/>
            </a:ext>
          </a:extLst>
        </xdr:cNvPr>
        <xdr:cNvSpPr/>
      </xdr:nvSpPr>
      <xdr:spPr>
        <a:xfrm>
          <a:off x="62193" y="67234"/>
          <a:ext cx="1440000" cy="211800"/>
        </a:xfrm>
        <a:prstGeom prst="rect">
          <a:avLst/>
        </a:prstGeom>
        <a:solidFill>
          <a:schemeClr val="bg1">
            <a:lumMod val="95000"/>
          </a:schemeClr>
        </a:solidFill>
        <a:ln w="9525"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tx1">
                  <a:lumMod val="85000"/>
                  <a:lumOff val="15000"/>
                </a:schemeClr>
              </a:solidFill>
            </a:rPr>
            <a:t>Importar/atualizar</a:t>
          </a:r>
        </a:p>
      </xdr:txBody>
    </xdr:sp>
    <xdr:clientData/>
  </xdr:twoCellAnchor>
  <xdr:twoCellAnchor editAs="absolute">
    <xdr:from>
      <xdr:col>1</xdr:col>
      <xdr:colOff>644338</xdr:colOff>
      <xdr:row>0</xdr:row>
      <xdr:rowOff>67234</xdr:rowOff>
    </xdr:from>
    <xdr:to>
      <xdr:col>2</xdr:col>
      <xdr:colOff>1036588</xdr:colOff>
      <xdr:row>0</xdr:row>
      <xdr:rowOff>279034</xdr:rowOff>
    </xdr:to>
    <xdr:sp macro="[0]!btnLimpar" textlink="">
      <xdr:nvSpPr>
        <xdr:cNvPr id="5" name="Retângulo 4">
          <a:extLst>
            <a:ext uri="{FF2B5EF4-FFF2-40B4-BE49-F238E27FC236}">
              <a16:creationId xmlns:a16="http://schemas.microsoft.com/office/drawing/2014/main" id="{F554BDC6-1DFF-4CF1-B286-407DB8B1A954}"/>
            </a:ext>
          </a:extLst>
        </xdr:cNvPr>
        <xdr:cNvSpPr/>
      </xdr:nvSpPr>
      <xdr:spPr>
        <a:xfrm>
          <a:off x="1692088" y="67234"/>
          <a:ext cx="1440000" cy="211800"/>
        </a:xfrm>
        <a:prstGeom prst="rect">
          <a:avLst/>
        </a:prstGeom>
        <a:solidFill>
          <a:schemeClr val="bg1">
            <a:lumMod val="95000"/>
          </a:schemeClr>
        </a:solidFill>
        <a:ln w="9525"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tx1">
                  <a:lumMod val="85000"/>
                  <a:lumOff val="15000"/>
                </a:schemeClr>
              </a:solidFill>
            </a:rPr>
            <a:t>Limpar</a:t>
          </a:r>
        </a:p>
      </xdr:txBody>
    </xdr:sp>
    <xdr:clientData/>
  </xdr:twoCellAnchor>
  <xdr:twoCellAnchor editAs="absolute">
    <xdr:from>
      <xdr:col>2</xdr:col>
      <xdr:colOff>1226484</xdr:colOff>
      <xdr:row>0</xdr:row>
      <xdr:rowOff>67234</xdr:rowOff>
    </xdr:from>
    <xdr:to>
      <xdr:col>3</xdr:col>
      <xdr:colOff>1009134</xdr:colOff>
      <xdr:row>0</xdr:row>
      <xdr:rowOff>279034</xdr:rowOff>
    </xdr:to>
    <xdr:sp macro="[0]!LancarTudo" textlink="">
      <xdr:nvSpPr>
        <xdr:cNvPr id="6" name="Retângulo 5">
          <a:extLst>
            <a:ext uri="{FF2B5EF4-FFF2-40B4-BE49-F238E27FC236}">
              <a16:creationId xmlns:a16="http://schemas.microsoft.com/office/drawing/2014/main" id="{443C98D7-BCEE-40EF-AE82-05D0ADC22AF0}"/>
            </a:ext>
          </a:extLst>
        </xdr:cNvPr>
        <xdr:cNvSpPr/>
      </xdr:nvSpPr>
      <xdr:spPr>
        <a:xfrm>
          <a:off x="3321984" y="67234"/>
          <a:ext cx="1440000" cy="211800"/>
        </a:xfrm>
        <a:prstGeom prst="rect">
          <a:avLst/>
        </a:prstGeom>
        <a:solidFill>
          <a:schemeClr val="bg1">
            <a:lumMod val="95000"/>
          </a:schemeClr>
        </a:solidFill>
        <a:ln w="9525"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tx1">
                  <a:lumMod val="85000"/>
                  <a:lumOff val="15000"/>
                </a:schemeClr>
              </a:solidFill>
            </a:rPr>
            <a:t>Lançar no mês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240195</xdr:colOff>
      <xdr:row>0</xdr:row>
      <xdr:rowOff>27214</xdr:rowOff>
    </xdr:from>
    <xdr:to>
      <xdr:col>25</xdr:col>
      <xdr:colOff>0</xdr:colOff>
      <xdr:row>16</xdr:row>
      <xdr:rowOff>0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34016</xdr:colOff>
      <xdr:row>20</xdr:row>
      <xdr:rowOff>125184</xdr:rowOff>
    </xdr:from>
    <xdr:to>
      <xdr:col>24</xdr:col>
      <xdr:colOff>585107</xdr:colOff>
      <xdr:row>35</xdr:row>
      <xdr:rowOff>34636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9E6931DD-437B-4A84-88E5-66BA1B36C27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1085850</xdr:colOff>
      <xdr:row>5</xdr:row>
      <xdr:rowOff>9525</xdr:rowOff>
    </xdr:from>
    <xdr:to>
      <xdr:col>3</xdr:col>
      <xdr:colOff>514350</xdr:colOff>
      <xdr:row>19</xdr:row>
      <xdr:rowOff>85725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38100</xdr:colOff>
      <xdr:row>20</xdr:row>
      <xdr:rowOff>12700</xdr:rowOff>
    </xdr:from>
    <xdr:to>
      <xdr:col>5</xdr:col>
      <xdr:colOff>0</xdr:colOff>
      <xdr:row>34</xdr:row>
      <xdr:rowOff>152400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72B84B07-BD94-44FC-9010-E7BBD1A4832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634573</xdr:colOff>
      <xdr:row>4</xdr:row>
      <xdr:rowOff>163232</xdr:rowOff>
    </xdr:from>
    <xdr:to>
      <xdr:col>6</xdr:col>
      <xdr:colOff>639535</xdr:colOff>
      <xdr:row>19</xdr:row>
      <xdr:rowOff>48932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125455</xdr:colOff>
      <xdr:row>19</xdr:row>
      <xdr:rowOff>168476</xdr:rowOff>
    </xdr:from>
    <xdr:to>
      <xdr:col>7</xdr:col>
      <xdr:colOff>1228725</xdr:colOff>
      <xdr:row>35</xdr:row>
      <xdr:rowOff>32641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DD9D713E-43E0-4C39-A18B-D0984E4A7D5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333375</xdr:colOff>
      <xdr:row>5</xdr:row>
      <xdr:rowOff>3174</xdr:rowOff>
    </xdr:from>
    <xdr:to>
      <xdr:col>6</xdr:col>
      <xdr:colOff>971550</xdr:colOff>
      <xdr:row>28</xdr:row>
      <xdr:rowOff>122463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454397</xdr:colOff>
      <xdr:row>29</xdr:row>
      <xdr:rowOff>71718</xdr:rowOff>
    </xdr:from>
    <xdr:to>
      <xdr:col>8</xdr:col>
      <xdr:colOff>276225</xdr:colOff>
      <xdr:row>53</xdr:row>
      <xdr:rowOff>15688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B30FD495-7064-40F3-8088-227FA15235D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5C8A55-5B60-48F1-B2E2-45DCCBC4D28A}">
  <sheetPr codeName="Planilha5">
    <outlinePr summaryBelow="0" summaryRight="0"/>
    <pageSetUpPr autoPageBreaks="0"/>
  </sheetPr>
  <dimension ref="A1:AA2244"/>
  <sheetViews>
    <sheetView showGridLines="0" tabSelected="1" showOutlineSymbols="0" zoomScale="85" zoomScaleNormal="85" workbookViewId="0">
      <selection activeCell="A3" sqref="A3"/>
    </sheetView>
  </sheetViews>
  <sheetFormatPr defaultColWidth="11.7109375" defaultRowHeight="15" customHeight="1" x14ac:dyDescent="0.25"/>
  <cols>
    <col min="1" max="1" width="15.7109375" style="31" customWidth="1"/>
    <col min="2" max="2" width="15.7109375" style="29" customWidth="1"/>
    <col min="3" max="3" width="24.85546875" style="29" customWidth="1"/>
    <col min="4" max="6" width="15.7109375" style="28" customWidth="1"/>
    <col min="7" max="7" width="16.28515625" style="28" bestFit="1" customWidth="1"/>
    <col min="8" max="8" width="15.7109375" style="28" customWidth="1"/>
    <col min="9" max="9" width="26.42578125" style="28" customWidth="1"/>
    <col min="10" max="14" width="12.7109375" style="30" customWidth="1"/>
    <col min="15" max="15" width="10.7109375" style="28" customWidth="1"/>
    <col min="16" max="16" width="10.7109375" style="30" customWidth="1"/>
    <col min="17" max="18" width="11.7109375" style="30"/>
    <col min="19" max="20" width="11.7109375" style="28"/>
    <col min="21" max="22" width="11.7109375" style="30"/>
    <col min="23" max="27" width="11.7109375" style="28"/>
    <col min="28" max="16384" width="11.7109375" style="53"/>
  </cols>
  <sheetData>
    <row r="1" spans="1:27" s="55" customFormat="1" ht="24.75" customHeight="1" x14ac:dyDescent="0.25">
      <c r="E1" s="56"/>
      <c r="F1" s="56"/>
      <c r="G1" s="57" t="s">
        <v>923</v>
      </c>
      <c r="K1" s="58"/>
      <c r="L1" s="58"/>
      <c r="M1" s="58"/>
      <c r="N1" s="58"/>
      <c r="P1" s="58"/>
      <c r="Q1" s="58"/>
      <c r="R1" s="58"/>
      <c r="U1" s="58"/>
      <c r="V1" s="58"/>
    </row>
    <row r="2" spans="1:27" s="50" customFormat="1" ht="18" customHeight="1" x14ac:dyDescent="0.25">
      <c r="A2" s="48" t="s">
        <v>173</v>
      </c>
      <c r="B2" s="48"/>
      <c r="C2" s="48"/>
      <c r="D2" s="48"/>
      <c r="E2" s="48"/>
      <c r="F2" s="48"/>
      <c r="G2" s="48"/>
      <c r="H2" s="48"/>
      <c r="I2" s="48"/>
      <c r="J2" s="49"/>
      <c r="K2" s="49"/>
      <c r="L2" s="49"/>
      <c r="M2" s="49"/>
      <c r="N2" s="49"/>
      <c r="O2" s="48"/>
      <c r="P2" s="49"/>
      <c r="Q2" s="49"/>
      <c r="R2" s="49"/>
      <c r="S2" s="48"/>
      <c r="T2" s="48"/>
      <c r="U2" s="49"/>
      <c r="V2" s="49"/>
      <c r="W2" s="48"/>
      <c r="X2" s="48"/>
      <c r="Y2" s="48"/>
      <c r="Z2" s="48"/>
      <c r="AA2" s="48"/>
    </row>
    <row r="3" spans="1:27" s="32" customFormat="1" ht="15" customHeight="1" x14ac:dyDescent="0.25">
      <c r="A3" s="36" t="s">
        <v>59</v>
      </c>
      <c r="B3" s="32" t="s">
        <v>60</v>
      </c>
      <c r="C3" s="33" t="s">
        <v>61</v>
      </c>
      <c r="D3" s="33" t="s">
        <v>62</v>
      </c>
      <c r="E3" s="33" t="s">
        <v>63</v>
      </c>
      <c r="F3" s="33" t="s">
        <v>64</v>
      </c>
      <c r="G3" s="33" t="s">
        <v>65</v>
      </c>
      <c r="H3" s="32" t="s">
        <v>66</v>
      </c>
      <c r="I3" s="33" t="s">
        <v>67</v>
      </c>
      <c r="J3" s="34" t="s">
        <v>68</v>
      </c>
      <c r="K3" s="35" t="s">
        <v>69</v>
      </c>
      <c r="L3" s="34" t="s">
        <v>70</v>
      </c>
      <c r="M3" s="35" t="s">
        <v>71</v>
      </c>
      <c r="N3" s="35" t="s">
        <v>72</v>
      </c>
      <c r="O3" s="33" t="s">
        <v>155</v>
      </c>
      <c r="P3" s="34" t="s">
        <v>158</v>
      </c>
      <c r="Q3" s="35"/>
      <c r="R3" s="35"/>
      <c r="S3" s="33"/>
      <c r="T3" s="33"/>
      <c r="U3" s="35"/>
      <c r="V3" s="35"/>
      <c r="W3" s="33"/>
      <c r="X3" s="33"/>
    </row>
    <row r="5" spans="1:27" s="63" customFormat="1" ht="15" customHeight="1" x14ac:dyDescent="0.25">
      <c r="A5" s="59" t="s">
        <v>174</v>
      </c>
      <c r="B5" s="60" t="s">
        <v>175</v>
      </c>
      <c r="C5" s="60" t="s">
        <v>176</v>
      </c>
      <c r="D5" s="61" t="s">
        <v>73</v>
      </c>
      <c r="E5" s="61" t="s">
        <v>74</v>
      </c>
      <c r="F5" s="61" t="s">
        <v>75</v>
      </c>
      <c r="G5" s="61" t="s">
        <v>76</v>
      </c>
      <c r="H5" s="61" t="s">
        <v>77</v>
      </c>
      <c r="I5" s="61" t="s">
        <v>78</v>
      </c>
      <c r="J5" s="62">
        <v>45028</v>
      </c>
      <c r="K5" s="62">
        <v>45063</v>
      </c>
      <c r="L5" s="62">
        <v>45065</v>
      </c>
      <c r="M5" s="62">
        <v>45076</v>
      </c>
      <c r="N5" s="62">
        <v>45079</v>
      </c>
      <c r="O5" s="61" t="s">
        <v>156</v>
      </c>
      <c r="P5" s="62" t="s">
        <v>156</v>
      </c>
      <c r="Q5" s="62"/>
      <c r="R5" s="62"/>
      <c r="S5" s="61"/>
      <c r="T5" s="61"/>
      <c r="U5" s="62"/>
      <c r="V5" s="62"/>
      <c r="W5" s="61"/>
      <c r="X5" s="61"/>
      <c r="Y5" s="61"/>
      <c r="Z5" s="61"/>
      <c r="AA5" s="61"/>
    </row>
    <row r="6" spans="1:27" ht="15" customHeight="1" x14ac:dyDescent="0.25">
      <c r="A6" s="31" t="s">
        <v>177</v>
      </c>
      <c r="B6" s="29" t="s">
        <v>79</v>
      </c>
      <c r="C6" s="29" t="s">
        <v>178</v>
      </c>
      <c r="D6" s="28" t="s">
        <v>80</v>
      </c>
      <c r="E6" s="28" t="s">
        <v>74</v>
      </c>
      <c r="F6" s="28" t="s">
        <v>75</v>
      </c>
      <c r="G6" s="28" t="s">
        <v>81</v>
      </c>
      <c r="H6" s="28" t="s">
        <v>77</v>
      </c>
      <c r="I6" s="28" t="s">
        <v>82</v>
      </c>
      <c r="J6" s="30">
        <v>45076</v>
      </c>
      <c r="K6" s="30">
        <v>45085</v>
      </c>
      <c r="L6" s="30">
        <v>45090</v>
      </c>
      <c r="M6" s="30">
        <v>45092</v>
      </c>
      <c r="N6" s="30">
        <v>45092</v>
      </c>
      <c r="O6" s="28" t="s">
        <v>156</v>
      </c>
      <c r="P6" s="30" t="s">
        <v>157</v>
      </c>
    </row>
    <row r="7" spans="1:27" s="63" customFormat="1" ht="15" customHeight="1" x14ac:dyDescent="0.25">
      <c r="A7" s="59" t="s">
        <v>179</v>
      </c>
      <c r="B7" s="60" t="s">
        <v>180</v>
      </c>
      <c r="C7" s="60" t="s">
        <v>181</v>
      </c>
      <c r="D7" s="61" t="s">
        <v>83</v>
      </c>
      <c r="E7" s="61" t="s">
        <v>74</v>
      </c>
      <c r="F7" s="61" t="s">
        <v>75</v>
      </c>
      <c r="G7" s="64" t="s">
        <v>76</v>
      </c>
      <c r="H7" s="61" t="s">
        <v>84</v>
      </c>
      <c r="I7" s="61" t="s">
        <v>78</v>
      </c>
      <c r="J7" s="62">
        <v>45058</v>
      </c>
      <c r="K7" s="62">
        <v>45082</v>
      </c>
      <c r="L7" s="62">
        <v>45084</v>
      </c>
      <c r="M7" s="62">
        <v>45096</v>
      </c>
      <c r="N7" s="62">
        <v>45096</v>
      </c>
      <c r="O7" s="61" t="s">
        <v>156</v>
      </c>
      <c r="P7" s="62" t="s">
        <v>156</v>
      </c>
      <c r="Q7" s="62"/>
      <c r="R7" s="62"/>
      <c r="S7" s="65"/>
      <c r="T7" s="65"/>
      <c r="U7" s="62"/>
      <c r="V7" s="62"/>
      <c r="W7" s="65"/>
      <c r="X7" s="65"/>
      <c r="Y7" s="61"/>
      <c r="Z7" s="61"/>
      <c r="AA7" s="61" t="str">
        <f>IFERROR(
IF(AND(X7="Não",Y7="Sim"),"REP",
IF(AND(X7="Sim",Y7="Não"),"Técnico",
IF(AND(X7="Sim",Y7="Sim"),"Ambos",""))),
"")</f>
        <v/>
      </c>
    </row>
    <row r="8" spans="1:27" s="63" customFormat="1" ht="15" customHeight="1" x14ac:dyDescent="0.25">
      <c r="A8" s="59" t="s">
        <v>179</v>
      </c>
      <c r="B8" s="60" t="s">
        <v>180</v>
      </c>
      <c r="C8" s="60" t="s">
        <v>181</v>
      </c>
      <c r="D8" s="61" t="s">
        <v>83</v>
      </c>
      <c r="E8" s="61" t="s">
        <v>74</v>
      </c>
      <c r="F8" s="61" t="s">
        <v>75</v>
      </c>
      <c r="G8" s="61" t="s">
        <v>76</v>
      </c>
      <c r="H8" s="61" t="s">
        <v>84</v>
      </c>
      <c r="I8" s="61" t="s">
        <v>82</v>
      </c>
      <c r="J8" s="62">
        <v>45058</v>
      </c>
      <c r="K8" s="62">
        <v>45082</v>
      </c>
      <c r="L8" s="62">
        <v>45084</v>
      </c>
      <c r="M8" s="62">
        <v>45083</v>
      </c>
      <c r="N8" s="62">
        <v>45096</v>
      </c>
      <c r="O8" s="61" t="s">
        <v>156</v>
      </c>
      <c r="P8" s="62" t="s">
        <v>156</v>
      </c>
      <c r="Q8" s="62"/>
      <c r="R8" s="62"/>
      <c r="S8" s="61"/>
      <c r="T8" s="61"/>
      <c r="U8" s="62"/>
      <c r="V8" s="62"/>
      <c r="W8" s="61"/>
      <c r="X8" s="61"/>
      <c r="Y8" s="61"/>
      <c r="Z8" s="61"/>
      <c r="AA8" s="61" t="str">
        <f t="shared" ref="AA8:AA71" si="0">IFERROR(
IF(AND(X8="Não",Y8="Sim"),"REP",
IF(AND(X8="Sim",Y8="Não"),"Técnico",
IF(AND(X8="Sim",Y8="Sim"),"Ambos",""))),
"")</f>
        <v/>
      </c>
    </row>
    <row r="9" spans="1:27" s="63" customFormat="1" ht="15" customHeight="1" x14ac:dyDescent="0.25">
      <c r="A9" s="59" t="s">
        <v>182</v>
      </c>
      <c r="B9" s="60" t="s">
        <v>180</v>
      </c>
      <c r="C9" s="60" t="s">
        <v>183</v>
      </c>
      <c r="D9" s="61" t="s">
        <v>83</v>
      </c>
      <c r="E9" s="61" t="s">
        <v>74</v>
      </c>
      <c r="F9" s="61" t="s">
        <v>75</v>
      </c>
      <c r="G9" s="64" t="s">
        <v>76</v>
      </c>
      <c r="H9" s="61" t="s">
        <v>84</v>
      </c>
      <c r="I9" s="61" t="s">
        <v>78</v>
      </c>
      <c r="J9" s="62">
        <v>45058</v>
      </c>
      <c r="K9" s="62">
        <v>45082</v>
      </c>
      <c r="L9" s="62">
        <v>45084</v>
      </c>
      <c r="M9" s="62">
        <v>45096</v>
      </c>
      <c r="N9" s="62">
        <v>45096</v>
      </c>
      <c r="O9" s="61" t="s">
        <v>156</v>
      </c>
      <c r="P9" s="62" t="s">
        <v>156</v>
      </c>
      <c r="Q9" s="62"/>
      <c r="R9" s="62"/>
      <c r="S9" s="65"/>
      <c r="T9" s="65"/>
      <c r="U9" s="62"/>
      <c r="V9" s="62"/>
      <c r="W9" s="65"/>
      <c r="X9" s="65"/>
      <c r="Y9" s="61"/>
      <c r="Z9" s="61"/>
      <c r="AA9" s="61" t="str">
        <f t="shared" si="0"/>
        <v/>
      </c>
    </row>
    <row r="10" spans="1:27" s="63" customFormat="1" ht="15" customHeight="1" x14ac:dyDescent="0.25">
      <c r="A10" s="59" t="s">
        <v>182</v>
      </c>
      <c r="B10" s="60" t="s">
        <v>180</v>
      </c>
      <c r="C10" s="60" t="s">
        <v>183</v>
      </c>
      <c r="D10" s="61" t="s">
        <v>83</v>
      </c>
      <c r="E10" s="61" t="s">
        <v>74</v>
      </c>
      <c r="F10" s="61" t="s">
        <v>75</v>
      </c>
      <c r="G10" s="61" t="s">
        <v>76</v>
      </c>
      <c r="H10" s="61" t="s">
        <v>84</v>
      </c>
      <c r="I10" s="61" t="s">
        <v>82</v>
      </c>
      <c r="J10" s="62">
        <v>45058</v>
      </c>
      <c r="K10" s="62">
        <v>45082</v>
      </c>
      <c r="L10" s="62">
        <v>45084</v>
      </c>
      <c r="M10" s="62">
        <v>45083</v>
      </c>
      <c r="N10" s="62">
        <v>45096</v>
      </c>
      <c r="O10" s="61" t="s">
        <v>156</v>
      </c>
      <c r="P10" s="62" t="s">
        <v>156</v>
      </c>
      <c r="Q10" s="62"/>
      <c r="R10" s="62"/>
      <c r="S10" s="61"/>
      <c r="T10" s="61"/>
      <c r="U10" s="62"/>
      <c r="V10" s="62"/>
      <c r="W10" s="61"/>
      <c r="X10" s="61"/>
      <c r="Y10" s="61"/>
      <c r="Z10" s="61"/>
      <c r="AA10" s="61" t="str">
        <f t="shared" si="0"/>
        <v/>
      </c>
    </row>
    <row r="11" spans="1:27" ht="15" customHeight="1" x14ac:dyDescent="0.25">
      <c r="A11" s="31" t="s">
        <v>184</v>
      </c>
      <c r="B11" s="29" t="s">
        <v>185</v>
      </c>
      <c r="C11" s="29" t="s">
        <v>186</v>
      </c>
      <c r="D11" s="28" t="s">
        <v>85</v>
      </c>
      <c r="E11" s="28" t="s">
        <v>86</v>
      </c>
      <c r="F11" s="28" t="s">
        <v>75</v>
      </c>
      <c r="G11" s="54" t="s">
        <v>76</v>
      </c>
      <c r="H11" s="28" t="s">
        <v>77</v>
      </c>
      <c r="I11" s="28" t="s">
        <v>87</v>
      </c>
      <c r="J11" s="30">
        <v>44914</v>
      </c>
      <c r="K11" s="30">
        <v>45132</v>
      </c>
      <c r="L11" s="30">
        <v>45134</v>
      </c>
      <c r="M11" s="30">
        <v>44973</v>
      </c>
      <c r="N11" s="30">
        <v>45104</v>
      </c>
      <c r="O11" s="28" t="s">
        <v>157</v>
      </c>
      <c r="P11" s="30" t="s">
        <v>157</v>
      </c>
      <c r="S11" s="37"/>
      <c r="T11" s="37"/>
      <c r="W11" s="37"/>
      <c r="X11" s="37"/>
      <c r="AA11" s="28" t="str">
        <f t="shared" si="0"/>
        <v/>
      </c>
    </row>
    <row r="12" spans="1:27" s="63" customFormat="1" ht="15" customHeight="1" x14ac:dyDescent="0.25">
      <c r="A12" s="59" t="s">
        <v>187</v>
      </c>
      <c r="B12" s="60" t="s">
        <v>188</v>
      </c>
      <c r="C12" s="60" t="s">
        <v>189</v>
      </c>
      <c r="D12" s="61" t="s">
        <v>88</v>
      </c>
      <c r="E12" s="61" t="s">
        <v>74</v>
      </c>
      <c r="F12" s="61" t="s">
        <v>75</v>
      </c>
      <c r="G12" s="61" t="s">
        <v>76</v>
      </c>
      <c r="H12" s="61" t="s">
        <v>77</v>
      </c>
      <c r="I12" s="61" t="s">
        <v>78</v>
      </c>
      <c r="J12" s="62">
        <v>45089</v>
      </c>
      <c r="K12" s="62">
        <v>45107</v>
      </c>
      <c r="L12" s="62">
        <v>45100</v>
      </c>
      <c r="M12" s="62">
        <v>45097</v>
      </c>
      <c r="N12" s="62">
        <v>45103</v>
      </c>
      <c r="O12" s="61" t="s">
        <v>157</v>
      </c>
      <c r="P12" s="62" t="s">
        <v>156</v>
      </c>
      <c r="Q12" s="62"/>
      <c r="R12" s="62"/>
      <c r="S12" s="61"/>
      <c r="T12" s="61"/>
      <c r="U12" s="62"/>
      <c r="V12" s="62"/>
      <c r="W12" s="61"/>
      <c r="X12" s="61"/>
      <c r="Y12" s="61"/>
      <c r="Z12" s="61"/>
      <c r="AA12" s="61" t="str">
        <f t="shared" si="0"/>
        <v/>
      </c>
    </row>
    <row r="13" spans="1:27" s="63" customFormat="1" ht="15" customHeight="1" x14ac:dyDescent="0.25">
      <c r="A13" s="59" t="s">
        <v>190</v>
      </c>
      <c r="B13" s="60" t="s">
        <v>188</v>
      </c>
      <c r="C13" s="60" t="s">
        <v>191</v>
      </c>
      <c r="D13" s="61" t="s">
        <v>88</v>
      </c>
      <c r="E13" s="61" t="s">
        <v>74</v>
      </c>
      <c r="F13" s="61" t="s">
        <v>75</v>
      </c>
      <c r="G13" s="64" t="s">
        <v>76</v>
      </c>
      <c r="H13" s="61" t="s">
        <v>77</v>
      </c>
      <c r="I13" s="61" t="s">
        <v>78</v>
      </c>
      <c r="J13" s="62">
        <v>45089</v>
      </c>
      <c r="K13" s="62">
        <v>45107</v>
      </c>
      <c r="L13" s="62">
        <v>45100</v>
      </c>
      <c r="M13" s="62">
        <v>45098</v>
      </c>
      <c r="N13" s="62">
        <v>45103</v>
      </c>
      <c r="O13" s="61" t="s">
        <v>157</v>
      </c>
      <c r="P13" s="62" t="s">
        <v>156</v>
      </c>
      <c r="Q13" s="62"/>
      <c r="R13" s="62"/>
      <c r="S13" s="65"/>
      <c r="T13" s="65"/>
      <c r="U13" s="62"/>
      <c r="V13" s="62"/>
      <c r="W13" s="65"/>
      <c r="X13" s="65"/>
      <c r="Y13" s="61"/>
      <c r="Z13" s="61"/>
      <c r="AA13" s="61" t="str">
        <f t="shared" si="0"/>
        <v/>
      </c>
    </row>
    <row r="14" spans="1:27" ht="15" customHeight="1" x14ac:dyDescent="0.25">
      <c r="A14" s="31" t="s">
        <v>192</v>
      </c>
      <c r="B14" s="29" t="s">
        <v>89</v>
      </c>
      <c r="C14" s="29" t="s">
        <v>193</v>
      </c>
      <c r="D14" s="28" t="s">
        <v>90</v>
      </c>
      <c r="E14" s="28" t="s">
        <v>91</v>
      </c>
      <c r="F14" s="28" t="s">
        <v>75</v>
      </c>
      <c r="G14" s="28" t="s">
        <v>81</v>
      </c>
      <c r="H14" s="28" t="s">
        <v>92</v>
      </c>
      <c r="I14" s="28" t="s">
        <v>78</v>
      </c>
      <c r="J14" s="30">
        <v>45075</v>
      </c>
      <c r="K14" s="30">
        <v>45082</v>
      </c>
      <c r="L14" s="30">
        <v>45083</v>
      </c>
      <c r="M14" s="30">
        <v>45078</v>
      </c>
      <c r="N14" s="30">
        <v>45082</v>
      </c>
      <c r="O14" s="28" t="s">
        <v>157</v>
      </c>
      <c r="P14" s="30" t="s">
        <v>157</v>
      </c>
      <c r="AA14" s="28" t="str">
        <f t="shared" si="0"/>
        <v/>
      </c>
    </row>
    <row r="15" spans="1:27" ht="15" customHeight="1" x14ac:dyDescent="0.25">
      <c r="A15" s="31" t="s">
        <v>194</v>
      </c>
      <c r="B15" s="29" t="s">
        <v>89</v>
      </c>
      <c r="C15" s="29" t="s">
        <v>195</v>
      </c>
      <c r="D15" s="28" t="s">
        <v>90</v>
      </c>
      <c r="E15" s="28" t="s">
        <v>91</v>
      </c>
      <c r="F15" s="28" t="s">
        <v>75</v>
      </c>
      <c r="G15" s="54" t="s">
        <v>81</v>
      </c>
      <c r="H15" s="28" t="s">
        <v>92</v>
      </c>
      <c r="I15" s="28" t="s">
        <v>78</v>
      </c>
      <c r="J15" s="30">
        <v>45075</v>
      </c>
      <c r="K15" s="30">
        <v>45082</v>
      </c>
      <c r="L15" s="30">
        <v>45083</v>
      </c>
      <c r="M15" s="30">
        <v>45078</v>
      </c>
      <c r="N15" s="30">
        <v>45082</v>
      </c>
      <c r="O15" s="28" t="s">
        <v>157</v>
      </c>
      <c r="P15" s="30" t="s">
        <v>157</v>
      </c>
      <c r="S15" s="37"/>
      <c r="T15" s="37"/>
      <c r="W15" s="37"/>
      <c r="X15" s="37"/>
      <c r="AA15" s="28" t="str">
        <f t="shared" si="0"/>
        <v/>
      </c>
    </row>
    <row r="16" spans="1:27" ht="15" customHeight="1" x14ac:dyDescent="0.25">
      <c r="A16" s="31" t="s">
        <v>196</v>
      </c>
      <c r="B16" s="29" t="s">
        <v>89</v>
      </c>
      <c r="C16" s="29" t="s">
        <v>197</v>
      </c>
      <c r="D16" s="28" t="s">
        <v>90</v>
      </c>
      <c r="E16" s="28" t="s">
        <v>91</v>
      </c>
      <c r="F16" s="28" t="s">
        <v>75</v>
      </c>
      <c r="G16" s="28" t="s">
        <v>81</v>
      </c>
      <c r="H16" s="28" t="s">
        <v>92</v>
      </c>
      <c r="I16" s="28" t="s">
        <v>78</v>
      </c>
      <c r="J16" s="30">
        <v>45075</v>
      </c>
      <c r="K16" s="30">
        <v>45082</v>
      </c>
      <c r="L16" s="30">
        <v>45083</v>
      </c>
      <c r="M16" s="30">
        <v>45078</v>
      </c>
      <c r="N16" s="30">
        <v>45082</v>
      </c>
      <c r="O16" s="28" t="s">
        <v>157</v>
      </c>
      <c r="P16" s="30" t="s">
        <v>157</v>
      </c>
      <c r="AA16" s="28" t="str">
        <f t="shared" si="0"/>
        <v/>
      </c>
    </row>
    <row r="17" spans="1:27" ht="15" customHeight="1" x14ac:dyDescent="0.25">
      <c r="A17" s="31" t="s">
        <v>198</v>
      </c>
      <c r="B17" s="29" t="s">
        <v>89</v>
      </c>
      <c r="C17" s="29" t="s">
        <v>199</v>
      </c>
      <c r="D17" s="28" t="s">
        <v>90</v>
      </c>
      <c r="E17" s="28" t="s">
        <v>91</v>
      </c>
      <c r="F17" s="28" t="s">
        <v>75</v>
      </c>
      <c r="G17" s="54" t="s">
        <v>81</v>
      </c>
      <c r="H17" s="28" t="s">
        <v>92</v>
      </c>
      <c r="I17" s="28" t="s">
        <v>78</v>
      </c>
      <c r="J17" s="30">
        <v>45075</v>
      </c>
      <c r="K17" s="30">
        <v>45082</v>
      </c>
      <c r="L17" s="30">
        <v>45083</v>
      </c>
      <c r="M17" s="30">
        <v>45078</v>
      </c>
      <c r="N17" s="30">
        <v>45082</v>
      </c>
      <c r="O17" s="28" t="s">
        <v>157</v>
      </c>
      <c r="P17" s="30" t="s">
        <v>157</v>
      </c>
      <c r="S17" s="37"/>
      <c r="T17" s="37"/>
      <c r="W17" s="37"/>
      <c r="X17" s="37"/>
      <c r="AA17" s="28" t="str">
        <f t="shared" si="0"/>
        <v/>
      </c>
    </row>
    <row r="18" spans="1:27" ht="15" customHeight="1" x14ac:dyDescent="0.25">
      <c r="A18" s="31" t="s">
        <v>200</v>
      </c>
      <c r="B18" s="29" t="s">
        <v>89</v>
      </c>
      <c r="C18" s="29" t="s">
        <v>201</v>
      </c>
      <c r="D18" s="28" t="s">
        <v>90</v>
      </c>
      <c r="E18" s="28" t="s">
        <v>91</v>
      </c>
      <c r="F18" s="28" t="s">
        <v>75</v>
      </c>
      <c r="G18" s="28" t="s">
        <v>81</v>
      </c>
      <c r="H18" s="28" t="s">
        <v>92</v>
      </c>
      <c r="I18" s="28" t="s">
        <v>78</v>
      </c>
      <c r="J18" s="30">
        <v>45075</v>
      </c>
      <c r="K18" s="30">
        <v>45082</v>
      </c>
      <c r="L18" s="30">
        <v>45083</v>
      </c>
      <c r="M18" s="30">
        <v>45078</v>
      </c>
      <c r="N18" s="30">
        <v>45082</v>
      </c>
      <c r="O18" s="28" t="s">
        <v>157</v>
      </c>
      <c r="P18" s="30" t="s">
        <v>157</v>
      </c>
      <c r="AA18" s="28" t="str">
        <f t="shared" si="0"/>
        <v/>
      </c>
    </row>
    <row r="19" spans="1:27" ht="15" customHeight="1" x14ac:dyDescent="0.25">
      <c r="A19" s="31" t="s">
        <v>202</v>
      </c>
      <c r="B19" s="29" t="s">
        <v>89</v>
      </c>
      <c r="C19" s="29" t="s">
        <v>203</v>
      </c>
      <c r="D19" s="28" t="s">
        <v>90</v>
      </c>
      <c r="E19" s="28" t="s">
        <v>91</v>
      </c>
      <c r="F19" s="28" t="s">
        <v>75</v>
      </c>
      <c r="G19" s="54" t="s">
        <v>81</v>
      </c>
      <c r="H19" s="28" t="s">
        <v>92</v>
      </c>
      <c r="I19" s="28" t="s">
        <v>78</v>
      </c>
      <c r="J19" s="30">
        <v>45075</v>
      </c>
      <c r="K19" s="30">
        <v>45082</v>
      </c>
      <c r="L19" s="30">
        <v>45083</v>
      </c>
      <c r="M19" s="30">
        <v>45078</v>
      </c>
      <c r="N19" s="30">
        <v>45082</v>
      </c>
      <c r="O19" s="28" t="s">
        <v>157</v>
      </c>
      <c r="P19" s="30" t="s">
        <v>157</v>
      </c>
      <c r="S19" s="37"/>
      <c r="T19" s="37"/>
      <c r="W19" s="37"/>
      <c r="X19" s="37"/>
      <c r="AA19" s="28" t="str">
        <f t="shared" si="0"/>
        <v/>
      </c>
    </row>
    <row r="20" spans="1:27" ht="15" customHeight="1" x14ac:dyDescent="0.25">
      <c r="A20" s="31" t="s">
        <v>204</v>
      </c>
      <c r="B20" s="29" t="s">
        <v>89</v>
      </c>
      <c r="C20" s="29" t="s">
        <v>205</v>
      </c>
      <c r="D20" s="28" t="s">
        <v>90</v>
      </c>
      <c r="E20" s="28" t="s">
        <v>91</v>
      </c>
      <c r="F20" s="28" t="s">
        <v>75</v>
      </c>
      <c r="G20" s="28" t="s">
        <v>81</v>
      </c>
      <c r="H20" s="28" t="s">
        <v>92</v>
      </c>
      <c r="I20" s="28" t="s">
        <v>78</v>
      </c>
      <c r="J20" s="30">
        <v>45075</v>
      </c>
      <c r="K20" s="30">
        <v>45082</v>
      </c>
      <c r="L20" s="30">
        <v>45083</v>
      </c>
      <c r="M20" s="30">
        <v>45078</v>
      </c>
      <c r="N20" s="30">
        <v>45082</v>
      </c>
      <c r="O20" s="28" t="s">
        <v>157</v>
      </c>
      <c r="P20" s="30" t="s">
        <v>157</v>
      </c>
      <c r="AA20" s="28" t="str">
        <f t="shared" si="0"/>
        <v/>
      </c>
    </row>
    <row r="21" spans="1:27" ht="15" customHeight="1" x14ac:dyDescent="0.25">
      <c r="A21" s="31" t="s">
        <v>206</v>
      </c>
      <c r="B21" s="29" t="s">
        <v>89</v>
      </c>
      <c r="C21" s="29" t="s">
        <v>207</v>
      </c>
      <c r="D21" s="28" t="s">
        <v>90</v>
      </c>
      <c r="E21" s="28" t="s">
        <v>91</v>
      </c>
      <c r="F21" s="28" t="s">
        <v>75</v>
      </c>
      <c r="G21" s="54" t="s">
        <v>81</v>
      </c>
      <c r="H21" s="28" t="s">
        <v>92</v>
      </c>
      <c r="I21" s="28" t="s">
        <v>78</v>
      </c>
      <c r="J21" s="30">
        <v>45075</v>
      </c>
      <c r="K21" s="30">
        <v>45082</v>
      </c>
      <c r="L21" s="30">
        <v>45083</v>
      </c>
      <c r="M21" s="30">
        <v>45079</v>
      </c>
      <c r="N21" s="30">
        <v>45083</v>
      </c>
      <c r="O21" s="28" t="s">
        <v>157</v>
      </c>
      <c r="P21" s="30" t="s">
        <v>157</v>
      </c>
      <c r="S21" s="37"/>
      <c r="T21" s="37"/>
      <c r="W21" s="37"/>
      <c r="X21" s="37"/>
      <c r="AA21" s="28" t="str">
        <f t="shared" si="0"/>
        <v/>
      </c>
    </row>
    <row r="22" spans="1:27" ht="15" customHeight="1" x14ac:dyDescent="0.25">
      <c r="A22" s="31" t="s">
        <v>208</v>
      </c>
      <c r="B22" s="29" t="s">
        <v>89</v>
      </c>
      <c r="C22" s="29" t="s">
        <v>209</v>
      </c>
      <c r="D22" s="28" t="s">
        <v>90</v>
      </c>
      <c r="E22" s="28" t="s">
        <v>91</v>
      </c>
      <c r="F22" s="28" t="s">
        <v>75</v>
      </c>
      <c r="G22" s="28" t="s">
        <v>81</v>
      </c>
      <c r="H22" s="28" t="s">
        <v>92</v>
      </c>
      <c r="I22" s="28" t="s">
        <v>78</v>
      </c>
      <c r="J22" s="30">
        <v>45075</v>
      </c>
      <c r="K22" s="30">
        <v>45082</v>
      </c>
      <c r="L22" s="30">
        <v>45083</v>
      </c>
      <c r="M22" s="30">
        <v>45079</v>
      </c>
      <c r="N22" s="30">
        <v>45083</v>
      </c>
      <c r="O22" s="28" t="s">
        <v>157</v>
      </c>
      <c r="P22" s="30" t="s">
        <v>157</v>
      </c>
      <c r="AA22" s="28" t="str">
        <f t="shared" si="0"/>
        <v/>
      </c>
    </row>
    <row r="23" spans="1:27" ht="15" customHeight="1" x14ac:dyDescent="0.25">
      <c r="A23" s="31" t="s">
        <v>210</v>
      </c>
      <c r="B23" s="29" t="s">
        <v>89</v>
      </c>
      <c r="C23" s="29" t="s">
        <v>211</v>
      </c>
      <c r="D23" s="28" t="s">
        <v>90</v>
      </c>
      <c r="E23" s="28" t="s">
        <v>91</v>
      </c>
      <c r="F23" s="28" t="s">
        <v>75</v>
      </c>
      <c r="G23" s="54" t="s">
        <v>81</v>
      </c>
      <c r="H23" s="28" t="s">
        <v>92</v>
      </c>
      <c r="I23" s="28" t="s">
        <v>78</v>
      </c>
      <c r="J23" s="30">
        <v>45075</v>
      </c>
      <c r="K23" s="30">
        <v>45082</v>
      </c>
      <c r="L23" s="30">
        <v>45083</v>
      </c>
      <c r="M23" s="30">
        <v>45079</v>
      </c>
      <c r="N23" s="30">
        <v>45083</v>
      </c>
      <c r="O23" s="28" t="s">
        <v>157</v>
      </c>
      <c r="P23" s="30" t="s">
        <v>157</v>
      </c>
      <c r="S23" s="37"/>
      <c r="T23" s="37"/>
      <c r="W23" s="37"/>
      <c r="X23" s="37"/>
      <c r="AA23" s="28" t="str">
        <f t="shared" si="0"/>
        <v/>
      </c>
    </row>
    <row r="24" spans="1:27" ht="15" customHeight="1" x14ac:dyDescent="0.25">
      <c r="A24" s="31" t="s">
        <v>212</v>
      </c>
      <c r="B24" s="29" t="s">
        <v>89</v>
      </c>
      <c r="C24" s="29" t="s">
        <v>213</v>
      </c>
      <c r="D24" s="28" t="s">
        <v>90</v>
      </c>
      <c r="E24" s="28" t="s">
        <v>91</v>
      </c>
      <c r="F24" s="28" t="s">
        <v>75</v>
      </c>
      <c r="G24" s="28" t="s">
        <v>81</v>
      </c>
      <c r="H24" s="28" t="s">
        <v>92</v>
      </c>
      <c r="I24" s="28" t="s">
        <v>78</v>
      </c>
      <c r="J24" s="30">
        <v>45075</v>
      </c>
      <c r="K24" s="30">
        <v>45082</v>
      </c>
      <c r="L24" s="30">
        <v>45083</v>
      </c>
      <c r="M24" s="30">
        <v>45079</v>
      </c>
      <c r="N24" s="30">
        <v>45083</v>
      </c>
      <c r="O24" s="28" t="s">
        <v>157</v>
      </c>
      <c r="P24" s="30" t="s">
        <v>157</v>
      </c>
      <c r="AA24" s="28" t="str">
        <f t="shared" si="0"/>
        <v/>
      </c>
    </row>
    <row r="25" spans="1:27" ht="15" customHeight="1" x14ac:dyDescent="0.25">
      <c r="A25" s="31" t="s">
        <v>214</v>
      </c>
      <c r="B25" s="29" t="s">
        <v>89</v>
      </c>
      <c r="C25" s="29" t="s">
        <v>215</v>
      </c>
      <c r="D25" s="28" t="s">
        <v>90</v>
      </c>
      <c r="E25" s="28" t="s">
        <v>91</v>
      </c>
      <c r="F25" s="28" t="s">
        <v>75</v>
      </c>
      <c r="G25" s="54" t="s">
        <v>81</v>
      </c>
      <c r="H25" s="28" t="s">
        <v>93</v>
      </c>
      <c r="I25" s="28" t="s">
        <v>78</v>
      </c>
      <c r="J25" s="30">
        <v>45082</v>
      </c>
      <c r="K25" s="30">
        <v>45090</v>
      </c>
      <c r="L25" s="30">
        <v>45091</v>
      </c>
      <c r="M25" s="30">
        <v>45090</v>
      </c>
      <c r="N25" s="30">
        <v>45091</v>
      </c>
      <c r="O25" s="28" t="s">
        <v>157</v>
      </c>
      <c r="P25" s="30" t="s">
        <v>157</v>
      </c>
      <c r="S25" s="37"/>
      <c r="T25" s="37"/>
      <c r="W25" s="37"/>
      <c r="X25" s="37"/>
      <c r="AA25" s="28" t="str">
        <f t="shared" si="0"/>
        <v/>
      </c>
    </row>
    <row r="26" spans="1:27" ht="15" customHeight="1" x14ac:dyDescent="0.25">
      <c r="A26" s="31" t="s">
        <v>216</v>
      </c>
      <c r="B26" s="29" t="s">
        <v>89</v>
      </c>
      <c r="C26" s="29" t="s">
        <v>217</v>
      </c>
      <c r="D26" s="28" t="s">
        <v>90</v>
      </c>
      <c r="E26" s="28" t="s">
        <v>91</v>
      </c>
      <c r="F26" s="28" t="s">
        <v>75</v>
      </c>
      <c r="G26" s="28" t="s">
        <v>81</v>
      </c>
      <c r="H26" s="28" t="s">
        <v>93</v>
      </c>
      <c r="I26" s="28" t="s">
        <v>78</v>
      </c>
      <c r="J26" s="30">
        <v>45082</v>
      </c>
      <c r="K26" s="30">
        <v>45090</v>
      </c>
      <c r="L26" s="30">
        <v>45091</v>
      </c>
      <c r="M26" s="30">
        <v>45090</v>
      </c>
      <c r="N26" s="30">
        <v>45091</v>
      </c>
      <c r="O26" s="28" t="s">
        <v>157</v>
      </c>
      <c r="P26" s="30" t="s">
        <v>157</v>
      </c>
      <c r="AA26" s="28" t="str">
        <f t="shared" si="0"/>
        <v/>
      </c>
    </row>
    <row r="27" spans="1:27" ht="15" customHeight="1" x14ac:dyDescent="0.25">
      <c r="A27" s="31" t="s">
        <v>218</v>
      </c>
      <c r="B27" s="29" t="s">
        <v>89</v>
      </c>
      <c r="C27" s="29" t="s">
        <v>219</v>
      </c>
      <c r="D27" s="28" t="s">
        <v>90</v>
      </c>
      <c r="E27" s="28" t="s">
        <v>91</v>
      </c>
      <c r="F27" s="28" t="s">
        <v>75</v>
      </c>
      <c r="G27" s="54" t="s">
        <v>81</v>
      </c>
      <c r="H27" s="28" t="s">
        <v>93</v>
      </c>
      <c r="I27" s="28" t="s">
        <v>78</v>
      </c>
      <c r="J27" s="30">
        <v>45082</v>
      </c>
      <c r="K27" s="30">
        <v>45090</v>
      </c>
      <c r="L27" s="30">
        <v>45091</v>
      </c>
      <c r="M27" s="30">
        <v>45090</v>
      </c>
      <c r="N27" s="30">
        <v>45091</v>
      </c>
      <c r="O27" s="28" t="s">
        <v>157</v>
      </c>
      <c r="P27" s="30" t="s">
        <v>157</v>
      </c>
      <c r="S27" s="37"/>
      <c r="T27" s="37"/>
      <c r="W27" s="37"/>
      <c r="X27" s="37"/>
      <c r="AA27" s="28" t="str">
        <f t="shared" si="0"/>
        <v/>
      </c>
    </row>
    <row r="28" spans="1:27" ht="15" customHeight="1" x14ac:dyDescent="0.25">
      <c r="A28" s="31" t="s">
        <v>220</v>
      </c>
      <c r="B28" s="29" t="s">
        <v>89</v>
      </c>
      <c r="C28" s="29" t="s">
        <v>221</v>
      </c>
      <c r="D28" s="28" t="s">
        <v>90</v>
      </c>
      <c r="E28" s="28" t="s">
        <v>91</v>
      </c>
      <c r="F28" s="28" t="s">
        <v>75</v>
      </c>
      <c r="G28" s="28" t="s">
        <v>81</v>
      </c>
      <c r="H28" s="28" t="s">
        <v>93</v>
      </c>
      <c r="I28" s="28" t="s">
        <v>78</v>
      </c>
      <c r="J28" s="30">
        <v>45082</v>
      </c>
      <c r="K28" s="30">
        <v>45090</v>
      </c>
      <c r="L28" s="30">
        <v>45091</v>
      </c>
      <c r="M28" s="30">
        <v>45085</v>
      </c>
      <c r="N28" s="30">
        <v>45091</v>
      </c>
      <c r="O28" s="28" t="s">
        <v>157</v>
      </c>
      <c r="P28" s="30" t="s">
        <v>157</v>
      </c>
      <c r="AA28" s="28" t="str">
        <f t="shared" si="0"/>
        <v/>
      </c>
    </row>
    <row r="29" spans="1:27" ht="15" customHeight="1" x14ac:dyDescent="0.25">
      <c r="A29" s="31" t="s">
        <v>222</v>
      </c>
      <c r="B29" s="29" t="s">
        <v>89</v>
      </c>
      <c r="C29" s="29" t="s">
        <v>223</v>
      </c>
      <c r="D29" s="28" t="s">
        <v>90</v>
      </c>
      <c r="E29" s="28" t="s">
        <v>91</v>
      </c>
      <c r="F29" s="28" t="s">
        <v>75</v>
      </c>
      <c r="G29" s="54" t="s">
        <v>81</v>
      </c>
      <c r="H29" s="28" t="s">
        <v>93</v>
      </c>
      <c r="I29" s="28" t="s">
        <v>78</v>
      </c>
      <c r="J29" s="30">
        <v>45082</v>
      </c>
      <c r="K29" s="30">
        <v>45090</v>
      </c>
      <c r="L29" s="30">
        <v>45091</v>
      </c>
      <c r="M29" s="30">
        <v>45085</v>
      </c>
      <c r="N29" s="30">
        <v>45091</v>
      </c>
      <c r="O29" s="28" t="s">
        <v>157</v>
      </c>
      <c r="P29" s="30" t="s">
        <v>157</v>
      </c>
      <c r="S29" s="37"/>
      <c r="T29" s="37"/>
      <c r="W29" s="37"/>
      <c r="X29" s="37"/>
      <c r="AA29" s="28" t="str">
        <f t="shared" si="0"/>
        <v/>
      </c>
    </row>
    <row r="30" spans="1:27" ht="15" customHeight="1" x14ac:dyDescent="0.25">
      <c r="A30" s="31" t="s">
        <v>224</v>
      </c>
      <c r="B30" s="29" t="s">
        <v>89</v>
      </c>
      <c r="C30" s="29" t="s">
        <v>225</v>
      </c>
      <c r="D30" s="28" t="s">
        <v>90</v>
      </c>
      <c r="E30" s="28" t="s">
        <v>91</v>
      </c>
      <c r="F30" s="28" t="s">
        <v>75</v>
      </c>
      <c r="G30" s="28" t="s">
        <v>81</v>
      </c>
      <c r="H30" s="28" t="s">
        <v>93</v>
      </c>
      <c r="I30" s="28" t="s">
        <v>78</v>
      </c>
      <c r="J30" s="30">
        <v>45082</v>
      </c>
      <c r="K30" s="30">
        <v>45090</v>
      </c>
      <c r="L30" s="30">
        <v>45091</v>
      </c>
      <c r="M30" s="30">
        <v>45085</v>
      </c>
      <c r="N30" s="30">
        <v>45091</v>
      </c>
      <c r="O30" s="28" t="s">
        <v>157</v>
      </c>
      <c r="P30" s="30" t="s">
        <v>157</v>
      </c>
      <c r="AA30" s="28" t="str">
        <f t="shared" si="0"/>
        <v/>
      </c>
    </row>
    <row r="31" spans="1:27" ht="15" customHeight="1" x14ac:dyDescent="0.25">
      <c r="A31" s="31" t="s">
        <v>226</v>
      </c>
      <c r="B31" s="29" t="s">
        <v>89</v>
      </c>
      <c r="C31" s="29" t="s">
        <v>227</v>
      </c>
      <c r="D31" s="28" t="s">
        <v>90</v>
      </c>
      <c r="E31" s="28" t="s">
        <v>91</v>
      </c>
      <c r="F31" s="28" t="s">
        <v>75</v>
      </c>
      <c r="G31" s="54" t="s">
        <v>81</v>
      </c>
      <c r="H31" s="28" t="s">
        <v>93</v>
      </c>
      <c r="I31" s="28" t="s">
        <v>78</v>
      </c>
      <c r="J31" s="30">
        <v>45082</v>
      </c>
      <c r="K31" s="30">
        <v>45090</v>
      </c>
      <c r="L31" s="30">
        <v>45091</v>
      </c>
      <c r="M31" s="30">
        <v>45085</v>
      </c>
      <c r="N31" s="30">
        <v>45091</v>
      </c>
      <c r="O31" s="28" t="s">
        <v>157</v>
      </c>
      <c r="P31" s="30" t="s">
        <v>157</v>
      </c>
      <c r="S31" s="37"/>
      <c r="T31" s="37"/>
      <c r="W31" s="37"/>
      <c r="X31" s="37"/>
      <c r="AA31" s="28" t="str">
        <f t="shared" si="0"/>
        <v/>
      </c>
    </row>
    <row r="32" spans="1:27" ht="15" customHeight="1" x14ac:dyDescent="0.25">
      <c r="A32" s="31" t="s">
        <v>228</v>
      </c>
      <c r="B32" s="29" t="s">
        <v>89</v>
      </c>
      <c r="C32" s="29" t="s">
        <v>229</v>
      </c>
      <c r="D32" s="28" t="s">
        <v>90</v>
      </c>
      <c r="E32" s="28" t="s">
        <v>91</v>
      </c>
      <c r="F32" s="28" t="s">
        <v>75</v>
      </c>
      <c r="G32" s="28" t="s">
        <v>81</v>
      </c>
      <c r="H32" s="28" t="s">
        <v>93</v>
      </c>
      <c r="I32" s="28" t="s">
        <v>78</v>
      </c>
      <c r="J32" s="30">
        <v>45082</v>
      </c>
      <c r="K32" s="30">
        <v>45090</v>
      </c>
      <c r="L32" s="30">
        <v>45091</v>
      </c>
      <c r="M32" s="30">
        <v>45085</v>
      </c>
      <c r="N32" s="30">
        <v>45091</v>
      </c>
      <c r="O32" s="28" t="s">
        <v>157</v>
      </c>
      <c r="P32" s="30" t="s">
        <v>157</v>
      </c>
      <c r="AA32" s="28" t="str">
        <f t="shared" si="0"/>
        <v/>
      </c>
    </row>
    <row r="33" spans="1:27" ht="15" customHeight="1" x14ac:dyDescent="0.25">
      <c r="A33" s="31" t="s">
        <v>230</v>
      </c>
      <c r="B33" s="29" t="s">
        <v>89</v>
      </c>
      <c r="C33" s="29" t="s">
        <v>231</v>
      </c>
      <c r="D33" s="28" t="s">
        <v>90</v>
      </c>
      <c r="E33" s="28" t="s">
        <v>91</v>
      </c>
      <c r="F33" s="28" t="s">
        <v>75</v>
      </c>
      <c r="G33" s="54" t="s">
        <v>81</v>
      </c>
      <c r="H33" s="28" t="s">
        <v>93</v>
      </c>
      <c r="I33" s="28" t="s">
        <v>78</v>
      </c>
      <c r="J33" s="30">
        <v>45082</v>
      </c>
      <c r="K33" s="30">
        <v>45090</v>
      </c>
      <c r="L33" s="30">
        <v>45091</v>
      </c>
      <c r="M33" s="30">
        <v>45085</v>
      </c>
      <c r="N33" s="30">
        <v>45091</v>
      </c>
      <c r="O33" s="28" t="s">
        <v>157</v>
      </c>
      <c r="P33" s="30" t="s">
        <v>157</v>
      </c>
      <c r="S33" s="37"/>
      <c r="T33" s="37"/>
      <c r="W33" s="37"/>
      <c r="X33" s="37"/>
      <c r="AA33" s="28" t="str">
        <f t="shared" si="0"/>
        <v/>
      </c>
    </row>
    <row r="34" spans="1:27" ht="15" customHeight="1" x14ac:dyDescent="0.25">
      <c r="A34" s="31" t="s">
        <v>232</v>
      </c>
      <c r="B34" s="29" t="s">
        <v>89</v>
      </c>
      <c r="C34" s="29" t="s">
        <v>233</v>
      </c>
      <c r="D34" s="28" t="s">
        <v>90</v>
      </c>
      <c r="E34" s="28" t="s">
        <v>91</v>
      </c>
      <c r="F34" s="28" t="s">
        <v>75</v>
      </c>
      <c r="G34" s="28" t="s">
        <v>76</v>
      </c>
      <c r="H34" s="28" t="s">
        <v>92</v>
      </c>
      <c r="I34" s="28" t="s">
        <v>82</v>
      </c>
      <c r="J34" s="30">
        <v>45093</v>
      </c>
      <c r="K34" s="30">
        <v>45097</v>
      </c>
      <c r="L34" s="30">
        <v>45099</v>
      </c>
      <c r="M34" s="30">
        <v>45098</v>
      </c>
      <c r="N34" s="30">
        <v>45099</v>
      </c>
      <c r="O34" s="28" t="s">
        <v>156</v>
      </c>
      <c r="P34" s="30" t="s">
        <v>157</v>
      </c>
      <c r="AA34" s="28" t="str">
        <f>IFERROR(
IF(AND(X34="Não",Y34="Sim"),"REP",
IF(AND(X34="Sim",Y34="Não"),"Técnico",
IF(AND(X34="Sim",Y34="Sim"),"Ambos",""))),
"")</f>
        <v/>
      </c>
    </row>
    <row r="35" spans="1:27" ht="15" customHeight="1" x14ac:dyDescent="0.25">
      <c r="A35" s="31" t="s">
        <v>234</v>
      </c>
      <c r="B35" s="29" t="s">
        <v>89</v>
      </c>
      <c r="C35" s="29" t="s">
        <v>235</v>
      </c>
      <c r="D35" s="28" t="s">
        <v>90</v>
      </c>
      <c r="E35" s="28" t="s">
        <v>91</v>
      </c>
      <c r="F35" s="28" t="s">
        <v>75</v>
      </c>
      <c r="G35" s="54" t="s">
        <v>76</v>
      </c>
      <c r="H35" s="28" t="s">
        <v>92</v>
      </c>
      <c r="I35" s="28" t="s">
        <v>82</v>
      </c>
      <c r="J35" s="30">
        <v>45097</v>
      </c>
      <c r="K35" s="30">
        <v>45100</v>
      </c>
      <c r="L35" s="30">
        <v>45104</v>
      </c>
      <c r="M35" s="30">
        <v>45098</v>
      </c>
      <c r="N35" s="30">
        <v>45099</v>
      </c>
      <c r="O35" s="28" t="s">
        <v>157</v>
      </c>
      <c r="P35" s="30" t="s">
        <v>157</v>
      </c>
      <c r="S35" s="37"/>
      <c r="T35" s="37"/>
      <c r="W35" s="37"/>
      <c r="X35" s="37"/>
      <c r="AA35" s="28" t="str">
        <f t="shared" si="0"/>
        <v/>
      </c>
    </row>
    <row r="36" spans="1:27" ht="15" customHeight="1" x14ac:dyDescent="0.25">
      <c r="A36" s="31" t="s">
        <v>236</v>
      </c>
      <c r="B36" s="29" t="s">
        <v>89</v>
      </c>
      <c r="C36" s="29" t="s">
        <v>237</v>
      </c>
      <c r="D36" s="28" t="s">
        <v>90</v>
      </c>
      <c r="E36" s="28" t="s">
        <v>91</v>
      </c>
      <c r="F36" s="28" t="s">
        <v>75</v>
      </c>
      <c r="G36" s="28" t="s">
        <v>76</v>
      </c>
      <c r="H36" s="28" t="s">
        <v>92</v>
      </c>
      <c r="I36" s="28" t="s">
        <v>82</v>
      </c>
      <c r="J36" s="30">
        <v>45097</v>
      </c>
      <c r="K36" s="30">
        <v>45100</v>
      </c>
      <c r="L36" s="30">
        <v>45104</v>
      </c>
      <c r="M36" s="30">
        <v>45098</v>
      </c>
      <c r="N36" s="30">
        <v>45099</v>
      </c>
      <c r="O36" s="28" t="s">
        <v>157</v>
      </c>
      <c r="P36" s="30" t="s">
        <v>157</v>
      </c>
      <c r="AA36" s="28" t="str">
        <f t="shared" si="0"/>
        <v/>
      </c>
    </row>
    <row r="37" spans="1:27" s="63" customFormat="1" ht="15" customHeight="1" x14ac:dyDescent="0.25">
      <c r="A37" s="59" t="s">
        <v>238</v>
      </c>
      <c r="B37" s="60" t="s">
        <v>239</v>
      </c>
      <c r="C37" s="60" t="s">
        <v>240</v>
      </c>
      <c r="D37" s="61" t="s">
        <v>85</v>
      </c>
      <c r="E37" s="61" t="s">
        <v>86</v>
      </c>
      <c r="F37" s="61" t="s">
        <v>75</v>
      </c>
      <c r="G37" s="64" t="s">
        <v>76</v>
      </c>
      <c r="H37" s="61" t="s">
        <v>84</v>
      </c>
      <c r="I37" s="61" t="s">
        <v>94</v>
      </c>
      <c r="J37" s="62">
        <v>45021</v>
      </c>
      <c r="K37" s="62">
        <v>45079</v>
      </c>
      <c r="L37" s="62">
        <v>45083</v>
      </c>
      <c r="M37" s="62">
        <v>45082</v>
      </c>
      <c r="N37" s="62">
        <v>45093</v>
      </c>
      <c r="O37" s="61" t="s">
        <v>156</v>
      </c>
      <c r="P37" s="62" t="s">
        <v>156</v>
      </c>
      <c r="Q37" s="62"/>
      <c r="R37" s="62"/>
      <c r="S37" s="65"/>
      <c r="T37" s="65"/>
      <c r="U37" s="62"/>
      <c r="V37" s="62"/>
      <c r="W37" s="65"/>
      <c r="X37" s="65"/>
      <c r="Y37" s="61"/>
      <c r="Z37" s="61"/>
      <c r="AA37" s="61" t="str">
        <f t="shared" si="0"/>
        <v/>
      </c>
    </row>
    <row r="38" spans="1:27" s="63" customFormat="1" ht="15" customHeight="1" x14ac:dyDescent="0.25">
      <c r="A38" s="59" t="s">
        <v>238</v>
      </c>
      <c r="B38" s="60" t="s">
        <v>239</v>
      </c>
      <c r="C38" s="60" t="s">
        <v>240</v>
      </c>
      <c r="D38" s="61" t="s">
        <v>85</v>
      </c>
      <c r="E38" s="61" t="s">
        <v>86</v>
      </c>
      <c r="F38" s="61" t="s">
        <v>75</v>
      </c>
      <c r="G38" s="61" t="s">
        <v>76</v>
      </c>
      <c r="H38" s="61" t="s">
        <v>84</v>
      </c>
      <c r="I38" s="61" t="s">
        <v>87</v>
      </c>
      <c r="J38" s="62">
        <v>45021</v>
      </c>
      <c r="K38" s="62">
        <v>45079</v>
      </c>
      <c r="L38" s="62">
        <v>45083</v>
      </c>
      <c r="M38" s="62">
        <v>45089</v>
      </c>
      <c r="N38" s="62">
        <v>45093</v>
      </c>
      <c r="O38" s="61" t="s">
        <v>156</v>
      </c>
      <c r="P38" s="62" t="s">
        <v>156</v>
      </c>
      <c r="Q38" s="62"/>
      <c r="R38" s="62"/>
      <c r="S38" s="61"/>
      <c r="T38" s="61"/>
      <c r="U38" s="62"/>
      <c r="V38" s="62"/>
      <c r="W38" s="61"/>
      <c r="X38" s="61"/>
      <c r="Y38" s="61"/>
      <c r="Z38" s="61"/>
      <c r="AA38" s="61" t="str">
        <f t="shared" si="0"/>
        <v/>
      </c>
    </row>
    <row r="39" spans="1:27" s="63" customFormat="1" ht="15" customHeight="1" x14ac:dyDescent="0.25">
      <c r="A39" s="59" t="s">
        <v>241</v>
      </c>
      <c r="B39" s="60" t="s">
        <v>242</v>
      </c>
      <c r="C39" s="60" t="s">
        <v>243</v>
      </c>
      <c r="D39" s="61" t="s">
        <v>244</v>
      </c>
      <c r="E39" s="61" t="s">
        <v>74</v>
      </c>
      <c r="F39" s="61" t="s">
        <v>75</v>
      </c>
      <c r="G39" s="64" t="s">
        <v>76</v>
      </c>
      <c r="H39" s="61" t="s">
        <v>77</v>
      </c>
      <c r="I39" s="61" t="s">
        <v>82</v>
      </c>
      <c r="J39" s="62">
        <v>45036</v>
      </c>
      <c r="K39" s="62">
        <v>45063</v>
      </c>
      <c r="L39" s="62">
        <v>45065</v>
      </c>
      <c r="M39" s="62">
        <v>45078</v>
      </c>
      <c r="N39" s="62">
        <v>45078</v>
      </c>
      <c r="O39" s="61" t="s">
        <v>156</v>
      </c>
      <c r="P39" s="62" t="s">
        <v>156</v>
      </c>
      <c r="Q39" s="62"/>
      <c r="R39" s="62"/>
      <c r="S39" s="65"/>
      <c r="T39" s="65"/>
      <c r="U39" s="62"/>
      <c r="V39" s="62"/>
      <c r="W39" s="65"/>
      <c r="X39" s="65"/>
      <c r="Y39" s="61"/>
      <c r="Z39" s="61"/>
      <c r="AA39" s="61" t="str">
        <f t="shared" si="0"/>
        <v/>
      </c>
    </row>
    <row r="40" spans="1:27" ht="15" customHeight="1" x14ac:dyDescent="0.25">
      <c r="A40" s="31" t="s">
        <v>245</v>
      </c>
      <c r="B40" s="29" t="s">
        <v>95</v>
      </c>
      <c r="C40" s="29" t="s">
        <v>246</v>
      </c>
      <c r="D40" s="28" t="s">
        <v>73</v>
      </c>
      <c r="E40" s="28" t="s">
        <v>74</v>
      </c>
      <c r="F40" s="28" t="s">
        <v>75</v>
      </c>
      <c r="G40" s="28" t="s">
        <v>74</v>
      </c>
      <c r="H40" s="28" t="s">
        <v>84</v>
      </c>
      <c r="I40" s="28" t="s">
        <v>78</v>
      </c>
      <c r="J40" s="30">
        <v>45002</v>
      </c>
      <c r="K40" s="30">
        <v>45098</v>
      </c>
      <c r="L40" s="30">
        <v>45100</v>
      </c>
      <c r="M40" s="30">
        <v>45089</v>
      </c>
      <c r="N40" s="30">
        <v>45100</v>
      </c>
      <c r="O40" s="28" t="s">
        <v>157</v>
      </c>
      <c r="P40" s="30" t="s">
        <v>157</v>
      </c>
      <c r="AA40" s="28" t="str">
        <f t="shared" si="0"/>
        <v/>
      </c>
    </row>
    <row r="41" spans="1:27" ht="15" customHeight="1" x14ac:dyDescent="0.25">
      <c r="A41" s="31" t="s">
        <v>247</v>
      </c>
      <c r="B41" s="29" t="s">
        <v>248</v>
      </c>
      <c r="C41" s="29" t="s">
        <v>249</v>
      </c>
      <c r="D41" s="28" t="s">
        <v>250</v>
      </c>
      <c r="E41" s="28" t="s">
        <v>74</v>
      </c>
      <c r="F41" s="28" t="s">
        <v>75</v>
      </c>
      <c r="G41" s="54" t="s">
        <v>76</v>
      </c>
      <c r="H41" s="28" t="s">
        <v>84</v>
      </c>
      <c r="I41" s="28" t="s">
        <v>78</v>
      </c>
      <c r="J41" s="30">
        <v>44978</v>
      </c>
      <c r="K41" s="30">
        <v>45096</v>
      </c>
      <c r="L41" s="30">
        <v>45098</v>
      </c>
      <c r="M41" s="30">
        <v>45091</v>
      </c>
      <c r="N41" s="30">
        <v>45096</v>
      </c>
      <c r="O41" s="28" t="s">
        <v>157</v>
      </c>
      <c r="P41" s="30" t="s">
        <v>157</v>
      </c>
      <c r="S41" s="37"/>
      <c r="T41" s="37"/>
      <c r="W41" s="37"/>
      <c r="X41" s="37"/>
      <c r="AA41" s="28" t="str">
        <f t="shared" si="0"/>
        <v/>
      </c>
    </row>
    <row r="42" spans="1:27" s="63" customFormat="1" ht="15" customHeight="1" x14ac:dyDescent="0.25">
      <c r="A42" s="59" t="s">
        <v>251</v>
      </c>
      <c r="B42" s="60" t="s">
        <v>252</v>
      </c>
      <c r="C42" s="60" t="s">
        <v>253</v>
      </c>
      <c r="D42" s="61" t="s">
        <v>254</v>
      </c>
      <c r="E42" s="61" t="s">
        <v>81</v>
      </c>
      <c r="F42" s="61" t="s">
        <v>75</v>
      </c>
      <c r="G42" s="61" t="s">
        <v>96</v>
      </c>
      <c r="H42" s="61" t="s">
        <v>84</v>
      </c>
      <c r="I42" s="61" t="s">
        <v>94</v>
      </c>
      <c r="J42" s="62">
        <v>45075</v>
      </c>
      <c r="K42" s="62">
        <v>45091</v>
      </c>
      <c r="L42" s="62">
        <v>45093</v>
      </c>
      <c r="M42" s="62">
        <v>45097</v>
      </c>
      <c r="N42" s="62">
        <v>45097</v>
      </c>
      <c r="O42" s="61" t="s">
        <v>156</v>
      </c>
      <c r="P42" s="62" t="s">
        <v>156</v>
      </c>
      <c r="Q42" s="62"/>
      <c r="R42" s="62"/>
      <c r="S42" s="61"/>
      <c r="T42" s="61"/>
      <c r="U42" s="62"/>
      <c r="V42" s="62"/>
      <c r="W42" s="61"/>
      <c r="X42" s="61"/>
      <c r="Y42" s="61"/>
      <c r="Z42" s="61"/>
      <c r="AA42" s="61" t="str">
        <f t="shared" si="0"/>
        <v/>
      </c>
    </row>
    <row r="43" spans="1:27" s="63" customFormat="1" ht="15" customHeight="1" x14ac:dyDescent="0.25">
      <c r="A43" s="59" t="s">
        <v>251</v>
      </c>
      <c r="B43" s="60" t="s">
        <v>255</v>
      </c>
      <c r="C43" s="60" t="s">
        <v>253</v>
      </c>
      <c r="D43" s="61" t="s">
        <v>254</v>
      </c>
      <c r="E43" s="61" t="s">
        <v>81</v>
      </c>
      <c r="F43" s="61" t="s">
        <v>75</v>
      </c>
      <c r="G43" s="64" t="s">
        <v>96</v>
      </c>
      <c r="H43" s="61" t="s">
        <v>84</v>
      </c>
      <c r="I43" s="61" t="s">
        <v>82</v>
      </c>
      <c r="J43" s="62">
        <v>45075</v>
      </c>
      <c r="K43" s="62">
        <v>45091</v>
      </c>
      <c r="L43" s="62">
        <v>45093</v>
      </c>
      <c r="M43" s="62">
        <v>45097</v>
      </c>
      <c r="N43" s="62">
        <v>45097</v>
      </c>
      <c r="O43" s="61" t="s">
        <v>156</v>
      </c>
      <c r="P43" s="62" t="s">
        <v>156</v>
      </c>
      <c r="Q43" s="62"/>
      <c r="R43" s="62"/>
      <c r="S43" s="65"/>
      <c r="T43" s="65"/>
      <c r="U43" s="62"/>
      <c r="V43" s="62"/>
      <c r="W43" s="65"/>
      <c r="X43" s="65"/>
      <c r="Y43" s="61"/>
      <c r="Z43" s="61"/>
      <c r="AA43" s="61" t="str">
        <f t="shared" si="0"/>
        <v/>
      </c>
    </row>
    <row r="44" spans="1:27" ht="15" customHeight="1" x14ac:dyDescent="0.25">
      <c r="A44" s="31" t="s">
        <v>256</v>
      </c>
      <c r="B44" s="29" t="s">
        <v>257</v>
      </c>
      <c r="C44" s="29" t="s">
        <v>258</v>
      </c>
      <c r="D44" s="28" t="s">
        <v>259</v>
      </c>
      <c r="E44" s="28" t="s">
        <v>74</v>
      </c>
      <c r="F44" s="28" t="s">
        <v>75</v>
      </c>
      <c r="G44" s="28" t="s">
        <v>76</v>
      </c>
      <c r="H44" s="28" t="s">
        <v>84</v>
      </c>
      <c r="I44" s="28" t="s">
        <v>82</v>
      </c>
      <c r="J44" s="30">
        <v>45090</v>
      </c>
      <c r="K44" s="30">
        <v>45103</v>
      </c>
      <c r="L44" s="30">
        <v>45105</v>
      </c>
      <c r="M44" s="30">
        <v>45100</v>
      </c>
      <c r="N44" s="30">
        <v>45105</v>
      </c>
      <c r="O44" s="28" t="s">
        <v>157</v>
      </c>
      <c r="P44" s="30" t="s">
        <v>157</v>
      </c>
      <c r="AA44" s="28" t="str">
        <f t="shared" si="0"/>
        <v/>
      </c>
    </row>
    <row r="45" spans="1:27" ht="15" customHeight="1" x14ac:dyDescent="0.25">
      <c r="A45" s="31" t="s">
        <v>260</v>
      </c>
      <c r="B45" s="29" t="s">
        <v>261</v>
      </c>
      <c r="C45" s="29" t="s">
        <v>262</v>
      </c>
      <c r="D45" s="28" t="s">
        <v>263</v>
      </c>
      <c r="E45" s="28" t="s">
        <v>91</v>
      </c>
      <c r="F45" s="28" t="s">
        <v>75</v>
      </c>
      <c r="G45" s="54" t="s">
        <v>76</v>
      </c>
      <c r="H45" s="28" t="s">
        <v>93</v>
      </c>
      <c r="I45" s="28" t="s">
        <v>78</v>
      </c>
      <c r="J45" s="30">
        <v>45044</v>
      </c>
      <c r="K45" s="30">
        <v>45077</v>
      </c>
      <c r="L45" s="30">
        <v>45079</v>
      </c>
      <c r="M45" s="30">
        <v>45069</v>
      </c>
      <c r="N45" s="30">
        <v>45078</v>
      </c>
      <c r="O45" s="28" t="s">
        <v>157</v>
      </c>
      <c r="P45" s="30" t="s">
        <v>157</v>
      </c>
      <c r="S45" s="37"/>
      <c r="T45" s="37"/>
      <c r="W45" s="37"/>
      <c r="X45" s="37"/>
      <c r="AA45" s="28" t="str">
        <f t="shared" si="0"/>
        <v/>
      </c>
    </row>
    <row r="46" spans="1:27" s="63" customFormat="1" ht="15" customHeight="1" x14ac:dyDescent="0.25">
      <c r="A46" s="59" t="s">
        <v>264</v>
      </c>
      <c r="B46" s="60" t="s">
        <v>261</v>
      </c>
      <c r="C46" s="60" t="s">
        <v>265</v>
      </c>
      <c r="D46" s="61" t="s">
        <v>266</v>
      </c>
      <c r="E46" s="61" t="s">
        <v>91</v>
      </c>
      <c r="F46" s="61" t="s">
        <v>75</v>
      </c>
      <c r="G46" s="61" t="s">
        <v>76</v>
      </c>
      <c r="H46" s="61" t="s">
        <v>77</v>
      </c>
      <c r="I46" s="61" t="s">
        <v>78</v>
      </c>
      <c r="J46" s="62">
        <v>45044</v>
      </c>
      <c r="K46" s="62">
        <v>45077</v>
      </c>
      <c r="L46" s="62">
        <v>45079</v>
      </c>
      <c r="M46" s="62">
        <v>45082</v>
      </c>
      <c r="N46" s="62">
        <v>45090</v>
      </c>
      <c r="O46" s="61" t="s">
        <v>156</v>
      </c>
      <c r="P46" s="62" t="s">
        <v>156</v>
      </c>
      <c r="Q46" s="62"/>
      <c r="R46" s="62"/>
      <c r="S46" s="61"/>
      <c r="T46" s="61"/>
      <c r="U46" s="62"/>
      <c r="V46" s="62"/>
      <c r="W46" s="61"/>
      <c r="X46" s="61"/>
      <c r="Y46" s="61"/>
      <c r="Z46" s="61"/>
      <c r="AA46" s="61" t="str">
        <f t="shared" si="0"/>
        <v/>
      </c>
    </row>
    <row r="47" spans="1:27" s="63" customFormat="1" ht="15" customHeight="1" x14ac:dyDescent="0.25">
      <c r="A47" s="59" t="s">
        <v>267</v>
      </c>
      <c r="B47" s="60" t="s">
        <v>261</v>
      </c>
      <c r="C47" s="60" t="s">
        <v>268</v>
      </c>
      <c r="D47" s="61" t="s">
        <v>97</v>
      </c>
      <c r="E47" s="61" t="s">
        <v>91</v>
      </c>
      <c r="F47" s="61" t="s">
        <v>75</v>
      </c>
      <c r="G47" s="64" t="s">
        <v>76</v>
      </c>
      <c r="H47" s="61" t="s">
        <v>77</v>
      </c>
      <c r="I47" s="61" t="s">
        <v>82</v>
      </c>
      <c r="J47" s="62">
        <v>45044</v>
      </c>
      <c r="K47" s="62">
        <v>45077</v>
      </c>
      <c r="L47" s="62">
        <v>45079</v>
      </c>
      <c r="M47" s="62">
        <v>45082</v>
      </c>
      <c r="N47" s="62">
        <v>45085</v>
      </c>
      <c r="O47" s="61" t="s">
        <v>156</v>
      </c>
      <c r="P47" s="62" t="s">
        <v>156</v>
      </c>
      <c r="Q47" s="62"/>
      <c r="R47" s="62"/>
      <c r="S47" s="65"/>
      <c r="T47" s="65"/>
      <c r="U47" s="62"/>
      <c r="V47" s="62"/>
      <c r="W47" s="65"/>
      <c r="X47" s="65"/>
      <c r="Y47" s="61"/>
      <c r="Z47" s="61"/>
      <c r="AA47" s="61" t="str">
        <f t="shared" si="0"/>
        <v/>
      </c>
    </row>
    <row r="48" spans="1:27" s="63" customFormat="1" ht="15" customHeight="1" x14ac:dyDescent="0.25">
      <c r="A48" s="59" t="s">
        <v>269</v>
      </c>
      <c r="B48" s="60" t="s">
        <v>261</v>
      </c>
      <c r="C48" s="60" t="s">
        <v>270</v>
      </c>
      <c r="D48" s="61" t="s">
        <v>271</v>
      </c>
      <c r="E48" s="61" t="s">
        <v>91</v>
      </c>
      <c r="F48" s="61" t="s">
        <v>75</v>
      </c>
      <c r="G48" s="61" t="s">
        <v>76</v>
      </c>
      <c r="H48" s="61" t="s">
        <v>77</v>
      </c>
      <c r="I48" s="61" t="s">
        <v>78</v>
      </c>
      <c r="J48" s="62">
        <v>45044</v>
      </c>
      <c r="K48" s="62">
        <v>45077</v>
      </c>
      <c r="L48" s="62">
        <v>45079</v>
      </c>
      <c r="M48" s="62">
        <v>45085</v>
      </c>
      <c r="N48" s="62">
        <v>45085</v>
      </c>
      <c r="O48" s="61" t="s">
        <v>156</v>
      </c>
      <c r="P48" s="62" t="s">
        <v>156</v>
      </c>
      <c r="Q48" s="62"/>
      <c r="R48" s="62"/>
      <c r="S48" s="61"/>
      <c r="T48" s="61"/>
      <c r="U48" s="62"/>
      <c r="V48" s="62"/>
      <c r="W48" s="61"/>
      <c r="X48" s="61"/>
      <c r="Y48" s="61"/>
      <c r="Z48" s="61"/>
      <c r="AA48" s="61" t="str">
        <f t="shared" si="0"/>
        <v/>
      </c>
    </row>
    <row r="49" spans="1:27" ht="15" customHeight="1" x14ac:dyDescent="0.25">
      <c r="A49" s="31" t="s">
        <v>272</v>
      </c>
      <c r="B49" s="29" t="s">
        <v>273</v>
      </c>
      <c r="C49" s="29" t="s">
        <v>274</v>
      </c>
      <c r="D49" s="28" t="s">
        <v>98</v>
      </c>
      <c r="E49" s="28" t="s">
        <v>86</v>
      </c>
      <c r="F49" s="28" t="s">
        <v>75</v>
      </c>
      <c r="G49" s="54" t="s">
        <v>76</v>
      </c>
      <c r="H49" s="28" t="s">
        <v>77</v>
      </c>
      <c r="I49" s="28" t="s">
        <v>78</v>
      </c>
      <c r="J49" s="30">
        <v>44991</v>
      </c>
      <c r="K49" s="30">
        <v>45089</v>
      </c>
      <c r="L49" s="30">
        <v>45091</v>
      </c>
      <c r="M49" s="30">
        <v>45068</v>
      </c>
      <c r="N49" s="30">
        <v>45092</v>
      </c>
      <c r="O49" s="28" t="s">
        <v>157</v>
      </c>
      <c r="P49" s="30" t="s">
        <v>157</v>
      </c>
      <c r="S49" s="37"/>
      <c r="T49" s="37"/>
      <c r="W49" s="37"/>
      <c r="X49" s="37"/>
      <c r="AA49" s="28" t="str">
        <f t="shared" si="0"/>
        <v/>
      </c>
    </row>
    <row r="50" spans="1:27" ht="15" customHeight="1" x14ac:dyDescent="0.25">
      <c r="A50" s="31" t="s">
        <v>272</v>
      </c>
      <c r="B50" s="29" t="s">
        <v>273</v>
      </c>
      <c r="C50" s="29" t="s">
        <v>274</v>
      </c>
      <c r="D50" s="28" t="s">
        <v>98</v>
      </c>
      <c r="E50" s="28" t="s">
        <v>86</v>
      </c>
      <c r="F50" s="28" t="s">
        <v>75</v>
      </c>
      <c r="G50" s="28" t="s">
        <v>76</v>
      </c>
      <c r="H50" s="28" t="s">
        <v>77</v>
      </c>
      <c r="I50" s="28" t="s">
        <v>82</v>
      </c>
      <c r="J50" s="30">
        <v>44991</v>
      </c>
      <c r="K50" s="30">
        <v>45089</v>
      </c>
      <c r="L50" s="30">
        <v>45091</v>
      </c>
      <c r="M50" s="30">
        <v>45090</v>
      </c>
      <c r="N50" s="30">
        <v>45092</v>
      </c>
      <c r="O50" s="28" t="s">
        <v>156</v>
      </c>
      <c r="P50" s="30" t="s">
        <v>157</v>
      </c>
      <c r="AA50" s="28" t="str">
        <f t="shared" si="0"/>
        <v/>
      </c>
    </row>
    <row r="51" spans="1:27" s="63" customFormat="1" ht="15" customHeight="1" x14ac:dyDescent="0.25">
      <c r="A51" s="59" t="s">
        <v>275</v>
      </c>
      <c r="B51" s="60" t="s">
        <v>276</v>
      </c>
      <c r="C51" s="60" t="s">
        <v>277</v>
      </c>
      <c r="D51" s="61" t="s">
        <v>99</v>
      </c>
      <c r="E51" s="61" t="s">
        <v>96</v>
      </c>
      <c r="F51" s="61" t="s">
        <v>75</v>
      </c>
      <c r="G51" s="64" t="s">
        <v>76</v>
      </c>
      <c r="H51" s="61" t="s">
        <v>77</v>
      </c>
      <c r="I51" s="61" t="s">
        <v>94</v>
      </c>
      <c r="J51" s="62">
        <v>45064</v>
      </c>
      <c r="K51" s="62">
        <v>45092</v>
      </c>
      <c r="L51" s="62">
        <v>45096</v>
      </c>
      <c r="M51" s="62">
        <v>45098</v>
      </c>
      <c r="N51" s="62">
        <v>45100</v>
      </c>
      <c r="O51" s="61" t="s">
        <v>156</v>
      </c>
      <c r="P51" s="62" t="s">
        <v>156</v>
      </c>
      <c r="Q51" s="62"/>
      <c r="R51" s="62"/>
      <c r="S51" s="65"/>
      <c r="T51" s="65"/>
      <c r="U51" s="62"/>
      <c r="V51" s="62"/>
      <c r="W51" s="65"/>
      <c r="X51" s="65"/>
      <c r="Y51" s="61"/>
      <c r="Z51" s="61"/>
      <c r="AA51" s="61" t="str">
        <f t="shared" si="0"/>
        <v/>
      </c>
    </row>
    <row r="52" spans="1:27" s="63" customFormat="1" ht="15" customHeight="1" x14ac:dyDescent="0.25">
      <c r="A52" s="59" t="s">
        <v>275</v>
      </c>
      <c r="B52" s="60" t="s">
        <v>276</v>
      </c>
      <c r="C52" s="60" t="s">
        <v>277</v>
      </c>
      <c r="D52" s="61" t="s">
        <v>99</v>
      </c>
      <c r="E52" s="61" t="s">
        <v>96</v>
      </c>
      <c r="F52" s="61" t="s">
        <v>75</v>
      </c>
      <c r="G52" s="61" t="s">
        <v>76</v>
      </c>
      <c r="H52" s="61" t="s">
        <v>77</v>
      </c>
      <c r="I52" s="61" t="s">
        <v>100</v>
      </c>
      <c r="J52" s="62">
        <v>45064</v>
      </c>
      <c r="K52" s="62">
        <v>45092</v>
      </c>
      <c r="L52" s="62">
        <v>45096</v>
      </c>
      <c r="M52" s="62">
        <v>45097</v>
      </c>
      <c r="N52" s="62">
        <v>45100</v>
      </c>
      <c r="O52" s="61" t="s">
        <v>156</v>
      </c>
      <c r="P52" s="62" t="s">
        <v>156</v>
      </c>
      <c r="Q52" s="62"/>
      <c r="R52" s="62"/>
      <c r="S52" s="61"/>
      <c r="T52" s="61"/>
      <c r="U52" s="62"/>
      <c r="V52" s="62"/>
      <c r="W52" s="61"/>
      <c r="X52" s="61"/>
      <c r="Y52" s="61"/>
      <c r="Z52" s="61"/>
      <c r="AA52" s="61" t="str">
        <f t="shared" si="0"/>
        <v/>
      </c>
    </row>
    <row r="53" spans="1:27" s="63" customFormat="1" ht="15" customHeight="1" x14ac:dyDescent="0.25">
      <c r="A53" s="59" t="s">
        <v>278</v>
      </c>
      <c r="B53" s="60" t="s">
        <v>279</v>
      </c>
      <c r="C53" s="60" t="s">
        <v>280</v>
      </c>
      <c r="D53" s="61" t="s">
        <v>281</v>
      </c>
      <c r="E53" s="61" t="s">
        <v>91</v>
      </c>
      <c r="F53" s="61" t="s">
        <v>75</v>
      </c>
      <c r="G53" s="64" t="s">
        <v>74</v>
      </c>
      <c r="H53" s="61" t="s">
        <v>77</v>
      </c>
      <c r="I53" s="61" t="s">
        <v>78</v>
      </c>
      <c r="J53" s="62">
        <v>45061</v>
      </c>
      <c r="K53" s="62">
        <v>45089</v>
      </c>
      <c r="L53" s="62">
        <v>45091</v>
      </c>
      <c r="M53" s="62">
        <v>45094</v>
      </c>
      <c r="N53" s="62">
        <v>45097</v>
      </c>
      <c r="O53" s="61" t="s">
        <v>156</v>
      </c>
      <c r="P53" s="62" t="s">
        <v>156</v>
      </c>
      <c r="Q53" s="62"/>
      <c r="R53" s="62"/>
      <c r="S53" s="65"/>
      <c r="T53" s="65"/>
      <c r="U53" s="62"/>
      <c r="V53" s="62"/>
      <c r="W53" s="65"/>
      <c r="X53" s="65"/>
      <c r="Y53" s="61"/>
      <c r="Z53" s="61"/>
      <c r="AA53" s="61" t="str">
        <f t="shared" si="0"/>
        <v/>
      </c>
    </row>
    <row r="54" spans="1:27" ht="15" customHeight="1" x14ac:dyDescent="0.25">
      <c r="A54" s="31" t="s">
        <v>282</v>
      </c>
      <c r="B54" s="29" t="s">
        <v>283</v>
      </c>
      <c r="C54" s="29" t="s">
        <v>284</v>
      </c>
      <c r="D54" s="28" t="s">
        <v>285</v>
      </c>
      <c r="E54" s="28" t="s">
        <v>96</v>
      </c>
      <c r="F54" s="28" t="s">
        <v>75</v>
      </c>
      <c r="G54" s="28" t="s">
        <v>76</v>
      </c>
      <c r="H54" s="28" t="s">
        <v>92</v>
      </c>
      <c r="I54" s="28" t="s">
        <v>94</v>
      </c>
      <c r="J54" s="30">
        <v>45071</v>
      </c>
      <c r="K54" s="30">
        <v>45096</v>
      </c>
      <c r="L54" s="30">
        <v>45098</v>
      </c>
      <c r="M54" s="30">
        <v>45099</v>
      </c>
      <c r="N54" s="30">
        <v>45100</v>
      </c>
      <c r="O54" s="28" t="s">
        <v>156</v>
      </c>
      <c r="P54" s="30" t="s">
        <v>157</v>
      </c>
      <c r="AA54" s="28" t="str">
        <f t="shared" si="0"/>
        <v/>
      </c>
    </row>
    <row r="55" spans="1:27" ht="15" customHeight="1" x14ac:dyDescent="0.25">
      <c r="A55" s="31" t="s">
        <v>282</v>
      </c>
      <c r="B55" s="29" t="s">
        <v>283</v>
      </c>
      <c r="C55" s="29" t="s">
        <v>284</v>
      </c>
      <c r="D55" s="28" t="s">
        <v>285</v>
      </c>
      <c r="E55" s="28" t="s">
        <v>96</v>
      </c>
      <c r="F55" s="28" t="s">
        <v>75</v>
      </c>
      <c r="G55" s="54" t="s">
        <v>76</v>
      </c>
      <c r="H55" s="28" t="s">
        <v>92</v>
      </c>
      <c r="I55" s="28" t="s">
        <v>82</v>
      </c>
      <c r="J55" s="30">
        <v>45071</v>
      </c>
      <c r="K55" s="30">
        <v>45096</v>
      </c>
      <c r="L55" s="30">
        <v>45098</v>
      </c>
      <c r="M55" s="30">
        <v>45098</v>
      </c>
      <c r="N55" s="30">
        <v>45100</v>
      </c>
      <c r="O55" s="28" t="s">
        <v>156</v>
      </c>
      <c r="P55" s="30" t="s">
        <v>157</v>
      </c>
      <c r="S55" s="37"/>
      <c r="T55" s="37"/>
      <c r="W55" s="37"/>
      <c r="X55" s="37"/>
      <c r="AA55" s="28" t="str">
        <f t="shared" si="0"/>
        <v/>
      </c>
    </row>
    <row r="56" spans="1:27" ht="15" customHeight="1" x14ac:dyDescent="0.25">
      <c r="A56" s="31" t="s">
        <v>286</v>
      </c>
      <c r="B56" s="29" t="s">
        <v>287</v>
      </c>
      <c r="C56" s="29" t="s">
        <v>288</v>
      </c>
      <c r="D56" s="28" t="s">
        <v>88</v>
      </c>
      <c r="E56" s="28" t="s">
        <v>91</v>
      </c>
      <c r="F56" s="28" t="s">
        <v>75</v>
      </c>
      <c r="G56" s="28" t="s">
        <v>76</v>
      </c>
      <c r="H56" s="28" t="s">
        <v>93</v>
      </c>
      <c r="I56" s="28" t="s">
        <v>101</v>
      </c>
      <c r="J56" s="30">
        <v>45063</v>
      </c>
      <c r="K56" s="30">
        <v>45105</v>
      </c>
      <c r="L56" s="30">
        <v>45107</v>
      </c>
      <c r="M56" s="30">
        <v>45099</v>
      </c>
      <c r="N56" s="30">
        <v>45103</v>
      </c>
      <c r="O56" s="28" t="s">
        <v>157</v>
      </c>
      <c r="P56" s="30" t="s">
        <v>157</v>
      </c>
      <c r="AA56" s="28" t="str">
        <f t="shared" si="0"/>
        <v/>
      </c>
    </row>
    <row r="57" spans="1:27" ht="15" customHeight="1" x14ac:dyDescent="0.25">
      <c r="A57" s="31" t="s">
        <v>289</v>
      </c>
      <c r="B57" s="29" t="s">
        <v>287</v>
      </c>
      <c r="C57" s="29" t="s">
        <v>290</v>
      </c>
      <c r="D57" s="28" t="s">
        <v>88</v>
      </c>
      <c r="E57" s="28" t="s">
        <v>91</v>
      </c>
      <c r="F57" s="28" t="s">
        <v>75</v>
      </c>
      <c r="G57" s="54" t="s">
        <v>76</v>
      </c>
      <c r="H57" s="28" t="s">
        <v>93</v>
      </c>
      <c r="I57" s="28" t="s">
        <v>101</v>
      </c>
      <c r="J57" s="30">
        <v>45063</v>
      </c>
      <c r="K57" s="30">
        <v>45105</v>
      </c>
      <c r="L57" s="30">
        <v>45107</v>
      </c>
      <c r="M57" s="30">
        <v>45103</v>
      </c>
      <c r="N57" s="30">
        <v>45104</v>
      </c>
      <c r="O57" s="28" t="s">
        <v>157</v>
      </c>
      <c r="P57" s="30" t="s">
        <v>157</v>
      </c>
      <c r="S57" s="37"/>
      <c r="T57" s="37"/>
      <c r="W57" s="37"/>
      <c r="X57" s="37"/>
      <c r="AA57" s="28" t="str">
        <f t="shared" si="0"/>
        <v/>
      </c>
    </row>
    <row r="58" spans="1:27" s="63" customFormat="1" ht="15" customHeight="1" x14ac:dyDescent="0.25">
      <c r="A58" s="59" t="s">
        <v>291</v>
      </c>
      <c r="B58" s="60" t="s">
        <v>292</v>
      </c>
      <c r="C58" s="60" t="s">
        <v>293</v>
      </c>
      <c r="D58" s="61" t="s">
        <v>294</v>
      </c>
      <c r="E58" s="61" t="s">
        <v>86</v>
      </c>
      <c r="F58" s="61" t="s">
        <v>75</v>
      </c>
      <c r="G58" s="61" t="s">
        <v>76</v>
      </c>
      <c r="H58" s="61" t="s">
        <v>77</v>
      </c>
      <c r="I58" s="61" t="s">
        <v>87</v>
      </c>
      <c r="J58" s="62">
        <v>45016</v>
      </c>
      <c r="K58" s="62">
        <v>45071</v>
      </c>
      <c r="L58" s="62">
        <v>45075</v>
      </c>
      <c r="M58" s="62">
        <v>45079</v>
      </c>
      <c r="N58" s="62">
        <v>45082</v>
      </c>
      <c r="O58" s="61" t="s">
        <v>156</v>
      </c>
      <c r="P58" s="62" t="s">
        <v>156</v>
      </c>
      <c r="Q58" s="62"/>
      <c r="R58" s="62"/>
      <c r="S58" s="61"/>
      <c r="T58" s="61"/>
      <c r="U58" s="62"/>
      <c r="V58" s="62"/>
      <c r="W58" s="61"/>
      <c r="X58" s="61"/>
      <c r="Y58" s="61"/>
      <c r="Z58" s="61"/>
      <c r="AA58" s="61" t="str">
        <f t="shared" si="0"/>
        <v/>
      </c>
    </row>
    <row r="59" spans="1:27" ht="15" customHeight="1" x14ac:dyDescent="0.25">
      <c r="A59" s="31" t="s">
        <v>295</v>
      </c>
      <c r="B59" s="29" t="s">
        <v>296</v>
      </c>
      <c r="C59" s="29" t="s">
        <v>297</v>
      </c>
      <c r="D59" s="28" t="s">
        <v>88</v>
      </c>
      <c r="E59" s="28" t="s">
        <v>96</v>
      </c>
      <c r="F59" s="28" t="s">
        <v>75</v>
      </c>
      <c r="G59" s="54" t="s">
        <v>76</v>
      </c>
      <c r="H59" s="28" t="s">
        <v>93</v>
      </c>
      <c r="I59" s="28" t="s">
        <v>101</v>
      </c>
      <c r="J59" s="30">
        <v>45044</v>
      </c>
      <c r="K59" s="30">
        <v>45092</v>
      </c>
      <c r="L59" s="30">
        <v>45096</v>
      </c>
      <c r="M59" s="30">
        <v>45089</v>
      </c>
      <c r="N59" s="30">
        <v>45092</v>
      </c>
      <c r="O59" s="28" t="s">
        <v>157</v>
      </c>
      <c r="P59" s="30" t="s">
        <v>157</v>
      </c>
      <c r="S59" s="37"/>
      <c r="T59" s="37"/>
      <c r="W59" s="37"/>
      <c r="X59" s="37"/>
      <c r="AA59" s="28" t="str">
        <f t="shared" si="0"/>
        <v/>
      </c>
    </row>
    <row r="60" spans="1:27" ht="15" customHeight="1" x14ac:dyDescent="0.25">
      <c r="A60" s="31" t="s">
        <v>298</v>
      </c>
      <c r="B60" s="29" t="s">
        <v>296</v>
      </c>
      <c r="C60" s="29" t="s">
        <v>299</v>
      </c>
      <c r="D60" s="28" t="s">
        <v>88</v>
      </c>
      <c r="E60" s="28" t="s">
        <v>96</v>
      </c>
      <c r="F60" s="28" t="s">
        <v>75</v>
      </c>
      <c r="G60" s="28" t="s">
        <v>76</v>
      </c>
      <c r="H60" s="28" t="s">
        <v>93</v>
      </c>
      <c r="I60" s="28" t="s">
        <v>101</v>
      </c>
      <c r="J60" s="30">
        <v>45044</v>
      </c>
      <c r="K60" s="30">
        <v>45092</v>
      </c>
      <c r="L60" s="30">
        <v>45096</v>
      </c>
      <c r="M60" s="30">
        <v>45085</v>
      </c>
      <c r="N60" s="30">
        <v>45089</v>
      </c>
      <c r="O60" s="28" t="s">
        <v>157</v>
      </c>
      <c r="P60" s="30" t="s">
        <v>157</v>
      </c>
      <c r="AA60" s="28" t="str">
        <f t="shared" si="0"/>
        <v/>
      </c>
    </row>
    <row r="61" spans="1:27" ht="15" customHeight="1" x14ac:dyDescent="0.25">
      <c r="A61" s="31" t="s">
        <v>300</v>
      </c>
      <c r="B61" s="29" t="s">
        <v>296</v>
      </c>
      <c r="C61" s="29" t="s">
        <v>297</v>
      </c>
      <c r="D61" s="28" t="s">
        <v>88</v>
      </c>
      <c r="E61" s="28" t="s">
        <v>96</v>
      </c>
      <c r="F61" s="28" t="s">
        <v>75</v>
      </c>
      <c r="G61" s="54" t="s">
        <v>76</v>
      </c>
      <c r="H61" s="28" t="s">
        <v>93</v>
      </c>
      <c r="I61" s="28" t="s">
        <v>101</v>
      </c>
      <c r="J61" s="30">
        <v>45044</v>
      </c>
      <c r="K61" s="30">
        <v>45092</v>
      </c>
      <c r="L61" s="30">
        <v>45096</v>
      </c>
      <c r="M61" s="30">
        <v>45089</v>
      </c>
      <c r="N61" s="30">
        <v>45092</v>
      </c>
      <c r="O61" s="28" t="s">
        <v>157</v>
      </c>
      <c r="P61" s="30" t="s">
        <v>157</v>
      </c>
      <c r="S61" s="37"/>
      <c r="T61" s="37"/>
      <c r="W61" s="37"/>
      <c r="X61" s="37"/>
      <c r="AA61" s="28" t="str">
        <f t="shared" si="0"/>
        <v/>
      </c>
    </row>
    <row r="62" spans="1:27" ht="15" customHeight="1" x14ac:dyDescent="0.25">
      <c r="A62" s="31" t="s">
        <v>301</v>
      </c>
      <c r="B62" s="29" t="s">
        <v>296</v>
      </c>
      <c r="C62" s="29" t="s">
        <v>302</v>
      </c>
      <c r="D62" s="28" t="s">
        <v>88</v>
      </c>
      <c r="E62" s="28" t="s">
        <v>96</v>
      </c>
      <c r="F62" s="28" t="s">
        <v>75</v>
      </c>
      <c r="G62" s="28" t="s">
        <v>76</v>
      </c>
      <c r="H62" s="28" t="s">
        <v>93</v>
      </c>
      <c r="I62" s="28" t="s">
        <v>101</v>
      </c>
      <c r="J62" s="30">
        <v>45044</v>
      </c>
      <c r="K62" s="30">
        <v>45092</v>
      </c>
      <c r="L62" s="30">
        <v>45096</v>
      </c>
      <c r="M62" s="30">
        <v>45084</v>
      </c>
      <c r="N62" s="30">
        <v>45085</v>
      </c>
      <c r="O62" s="28" t="s">
        <v>157</v>
      </c>
      <c r="P62" s="30" t="s">
        <v>157</v>
      </c>
      <c r="AA62" s="28" t="str">
        <f t="shared" si="0"/>
        <v/>
      </c>
    </row>
    <row r="63" spans="1:27" s="63" customFormat="1" ht="15" customHeight="1" x14ac:dyDescent="0.25">
      <c r="A63" s="59" t="s">
        <v>303</v>
      </c>
      <c r="B63" s="60" t="s">
        <v>95</v>
      </c>
      <c r="C63" s="60" t="s">
        <v>304</v>
      </c>
      <c r="D63" s="61"/>
      <c r="E63" s="61" t="s">
        <v>74</v>
      </c>
      <c r="F63" s="61" t="s">
        <v>75</v>
      </c>
      <c r="G63" s="64" t="s">
        <v>74</v>
      </c>
      <c r="H63" s="61" t="s">
        <v>84</v>
      </c>
      <c r="I63" s="61" t="s">
        <v>78</v>
      </c>
      <c r="J63" s="62">
        <v>45014</v>
      </c>
      <c r="K63" s="62">
        <v>45077</v>
      </c>
      <c r="L63" s="62">
        <v>45079</v>
      </c>
      <c r="M63" s="62">
        <v>45091</v>
      </c>
      <c r="N63" s="62">
        <v>45097</v>
      </c>
      <c r="O63" s="61" t="s">
        <v>156</v>
      </c>
      <c r="P63" s="62" t="s">
        <v>156</v>
      </c>
      <c r="Q63" s="62"/>
      <c r="R63" s="62"/>
      <c r="S63" s="65"/>
      <c r="T63" s="65"/>
      <c r="U63" s="62"/>
      <c r="V63" s="62"/>
      <c r="W63" s="65"/>
      <c r="X63" s="65"/>
      <c r="Y63" s="61"/>
      <c r="Z63" s="61"/>
      <c r="AA63" s="61" t="str">
        <f t="shared" si="0"/>
        <v/>
      </c>
    </row>
    <row r="64" spans="1:27" s="63" customFormat="1" ht="15" customHeight="1" x14ac:dyDescent="0.25">
      <c r="A64" s="59" t="s">
        <v>303</v>
      </c>
      <c r="B64" s="60" t="s">
        <v>95</v>
      </c>
      <c r="C64" s="60" t="s">
        <v>305</v>
      </c>
      <c r="D64" s="61" t="s">
        <v>306</v>
      </c>
      <c r="E64" s="61" t="s">
        <v>74</v>
      </c>
      <c r="F64" s="61" t="s">
        <v>75</v>
      </c>
      <c r="G64" s="61" t="s">
        <v>74</v>
      </c>
      <c r="H64" s="61" t="s">
        <v>84</v>
      </c>
      <c r="I64" s="61" t="s">
        <v>82</v>
      </c>
      <c r="J64" s="62">
        <v>45014</v>
      </c>
      <c r="K64" s="62">
        <v>45077</v>
      </c>
      <c r="L64" s="62">
        <v>45079</v>
      </c>
      <c r="M64" s="62">
        <v>45097</v>
      </c>
      <c r="N64" s="62">
        <v>45097</v>
      </c>
      <c r="O64" s="61" t="s">
        <v>156</v>
      </c>
      <c r="P64" s="62" t="s">
        <v>156</v>
      </c>
      <c r="Q64" s="62"/>
      <c r="R64" s="62"/>
      <c r="S64" s="61"/>
      <c r="T64" s="61"/>
      <c r="U64" s="62"/>
      <c r="V64" s="62"/>
      <c r="W64" s="61"/>
      <c r="X64" s="61"/>
      <c r="Y64" s="61"/>
      <c r="Z64" s="61"/>
      <c r="AA64" s="61" t="str">
        <f t="shared" si="0"/>
        <v/>
      </c>
    </row>
    <row r="65" spans="1:27" ht="15" customHeight="1" x14ac:dyDescent="0.25">
      <c r="A65" s="31" t="s">
        <v>307</v>
      </c>
      <c r="B65" s="29" t="s">
        <v>308</v>
      </c>
      <c r="C65" s="29" t="s">
        <v>309</v>
      </c>
      <c r="D65" s="28" t="s">
        <v>310</v>
      </c>
      <c r="E65" s="28" t="s">
        <v>91</v>
      </c>
      <c r="F65" s="28" t="s">
        <v>75</v>
      </c>
      <c r="G65" s="54" t="s">
        <v>102</v>
      </c>
      <c r="H65" s="28" t="s">
        <v>77</v>
      </c>
      <c r="I65" s="28" t="s">
        <v>103</v>
      </c>
      <c r="J65" s="30">
        <v>45077</v>
      </c>
      <c r="K65" s="30">
        <v>45086</v>
      </c>
      <c r="L65" s="30">
        <v>45090</v>
      </c>
      <c r="M65" s="30">
        <v>45085</v>
      </c>
      <c r="N65" s="30">
        <v>45091</v>
      </c>
      <c r="O65" s="28" t="s">
        <v>157</v>
      </c>
      <c r="P65" s="30" t="s">
        <v>157</v>
      </c>
      <c r="S65" s="37"/>
      <c r="T65" s="37"/>
      <c r="W65" s="37"/>
      <c r="X65" s="37"/>
      <c r="AA65" s="28" t="str">
        <f t="shared" si="0"/>
        <v/>
      </c>
    </row>
    <row r="66" spans="1:27" s="63" customFormat="1" ht="15" customHeight="1" x14ac:dyDescent="0.25">
      <c r="A66" s="59" t="s">
        <v>311</v>
      </c>
      <c r="B66" s="60" t="s">
        <v>312</v>
      </c>
      <c r="C66" s="60" t="s">
        <v>313</v>
      </c>
      <c r="D66" s="61" t="s">
        <v>104</v>
      </c>
      <c r="E66" s="61" t="s">
        <v>96</v>
      </c>
      <c r="F66" s="61" t="s">
        <v>75</v>
      </c>
      <c r="G66" s="61" t="s">
        <v>76</v>
      </c>
      <c r="H66" s="61" t="s">
        <v>84</v>
      </c>
      <c r="I66" s="61" t="s">
        <v>94</v>
      </c>
      <c r="J66" s="62">
        <v>45042</v>
      </c>
      <c r="K66" s="62">
        <v>45070</v>
      </c>
      <c r="L66" s="62">
        <v>45072</v>
      </c>
      <c r="M66" s="62">
        <v>45082</v>
      </c>
      <c r="N66" s="62">
        <v>45085</v>
      </c>
      <c r="O66" s="61" t="s">
        <v>156</v>
      </c>
      <c r="P66" s="62" t="s">
        <v>156</v>
      </c>
      <c r="Q66" s="62"/>
      <c r="R66" s="62"/>
      <c r="S66" s="61"/>
      <c r="T66" s="61"/>
      <c r="U66" s="62"/>
      <c r="V66" s="62"/>
      <c r="W66" s="61"/>
      <c r="X66" s="61"/>
      <c r="Y66" s="61"/>
      <c r="Z66" s="61"/>
      <c r="AA66" s="61" t="str">
        <f t="shared" si="0"/>
        <v/>
      </c>
    </row>
    <row r="67" spans="1:27" s="63" customFormat="1" ht="15" customHeight="1" x14ac:dyDescent="0.25">
      <c r="A67" s="59" t="s">
        <v>311</v>
      </c>
      <c r="B67" s="60" t="s">
        <v>312</v>
      </c>
      <c r="C67" s="60" t="s">
        <v>313</v>
      </c>
      <c r="D67" s="61" t="s">
        <v>104</v>
      </c>
      <c r="E67" s="61" t="s">
        <v>96</v>
      </c>
      <c r="F67" s="61" t="s">
        <v>75</v>
      </c>
      <c r="G67" s="64" t="s">
        <v>76</v>
      </c>
      <c r="H67" s="61" t="s">
        <v>84</v>
      </c>
      <c r="I67" s="61" t="s">
        <v>87</v>
      </c>
      <c r="J67" s="62">
        <v>45042</v>
      </c>
      <c r="K67" s="62">
        <v>45070</v>
      </c>
      <c r="L67" s="62">
        <v>45072</v>
      </c>
      <c r="M67" s="62">
        <v>45069</v>
      </c>
      <c r="N67" s="62">
        <v>45085</v>
      </c>
      <c r="O67" s="61" t="s">
        <v>157</v>
      </c>
      <c r="P67" s="62" t="s">
        <v>156</v>
      </c>
      <c r="Q67" s="62"/>
      <c r="R67" s="62"/>
      <c r="S67" s="65"/>
      <c r="T67" s="65"/>
      <c r="U67" s="62"/>
      <c r="V67" s="62"/>
      <c r="W67" s="65"/>
      <c r="X67" s="65"/>
      <c r="Y67" s="61"/>
      <c r="Z67" s="61"/>
      <c r="AA67" s="61" t="str">
        <f t="shared" si="0"/>
        <v/>
      </c>
    </row>
    <row r="68" spans="1:27" s="63" customFormat="1" ht="15" customHeight="1" x14ac:dyDescent="0.25">
      <c r="A68" s="59" t="s">
        <v>314</v>
      </c>
      <c r="B68" s="60" t="s">
        <v>312</v>
      </c>
      <c r="C68" s="60" t="s">
        <v>315</v>
      </c>
      <c r="D68" s="61" t="s">
        <v>104</v>
      </c>
      <c r="E68" s="61" t="s">
        <v>96</v>
      </c>
      <c r="F68" s="61" t="s">
        <v>75</v>
      </c>
      <c r="G68" s="64" t="s">
        <v>76</v>
      </c>
      <c r="H68" s="61" t="s">
        <v>84</v>
      </c>
      <c r="I68" s="61" t="s">
        <v>94</v>
      </c>
      <c r="J68" s="62">
        <v>45042</v>
      </c>
      <c r="K68" s="62">
        <v>45070</v>
      </c>
      <c r="L68" s="62">
        <v>45072</v>
      </c>
      <c r="M68" s="62">
        <v>45082</v>
      </c>
      <c r="N68" s="62">
        <v>45098</v>
      </c>
      <c r="O68" s="61" t="s">
        <v>156</v>
      </c>
      <c r="P68" s="62" t="s">
        <v>156</v>
      </c>
      <c r="Q68" s="62"/>
      <c r="R68" s="62"/>
      <c r="S68" s="65"/>
      <c r="T68" s="65"/>
      <c r="U68" s="62"/>
      <c r="V68" s="62"/>
      <c r="W68" s="65"/>
      <c r="X68" s="65"/>
      <c r="Y68" s="61"/>
      <c r="Z68" s="61"/>
      <c r="AA68" s="61" t="str">
        <f t="shared" si="0"/>
        <v/>
      </c>
    </row>
    <row r="69" spans="1:27" s="63" customFormat="1" ht="15" customHeight="1" x14ac:dyDescent="0.25">
      <c r="A69" s="59" t="s">
        <v>314</v>
      </c>
      <c r="B69" s="60" t="s">
        <v>312</v>
      </c>
      <c r="C69" s="60" t="s">
        <v>315</v>
      </c>
      <c r="D69" s="61" t="s">
        <v>104</v>
      </c>
      <c r="E69" s="61" t="s">
        <v>96</v>
      </c>
      <c r="F69" s="61" t="s">
        <v>75</v>
      </c>
      <c r="G69" s="61" t="s">
        <v>76</v>
      </c>
      <c r="H69" s="61" t="s">
        <v>84</v>
      </c>
      <c r="I69" s="61" t="s">
        <v>87</v>
      </c>
      <c r="J69" s="62">
        <v>45042</v>
      </c>
      <c r="K69" s="62">
        <v>45070</v>
      </c>
      <c r="L69" s="62">
        <v>45072</v>
      </c>
      <c r="M69" s="62">
        <v>45069</v>
      </c>
      <c r="N69" s="62">
        <v>45098</v>
      </c>
      <c r="O69" s="61" t="s">
        <v>157</v>
      </c>
      <c r="P69" s="62" t="s">
        <v>156</v>
      </c>
      <c r="Q69" s="62"/>
      <c r="R69" s="62"/>
      <c r="S69" s="61"/>
      <c r="T69" s="61"/>
      <c r="U69" s="62"/>
      <c r="V69" s="62"/>
      <c r="W69" s="61"/>
      <c r="X69" s="61"/>
      <c r="Y69" s="61"/>
      <c r="Z69" s="61"/>
      <c r="AA69" s="61" t="str">
        <f t="shared" si="0"/>
        <v/>
      </c>
    </row>
    <row r="70" spans="1:27" ht="15" customHeight="1" x14ac:dyDescent="0.25">
      <c r="A70" s="31" t="s">
        <v>316</v>
      </c>
      <c r="B70" s="29" t="s">
        <v>317</v>
      </c>
      <c r="C70" s="29" t="s">
        <v>318</v>
      </c>
      <c r="D70" s="28" t="s">
        <v>105</v>
      </c>
      <c r="E70" s="28" t="s">
        <v>86</v>
      </c>
      <c r="F70" s="28" t="s">
        <v>75</v>
      </c>
      <c r="G70" s="54" t="s">
        <v>102</v>
      </c>
      <c r="H70" s="28" t="s">
        <v>84</v>
      </c>
      <c r="I70" s="28" t="s">
        <v>87</v>
      </c>
      <c r="J70" s="30">
        <v>45083</v>
      </c>
      <c r="K70" s="30">
        <v>45104</v>
      </c>
      <c r="L70" s="30">
        <v>45106</v>
      </c>
      <c r="M70" s="30">
        <v>45104</v>
      </c>
      <c r="N70" s="30">
        <v>45104</v>
      </c>
      <c r="O70" s="28" t="s">
        <v>157</v>
      </c>
      <c r="P70" s="30" t="s">
        <v>157</v>
      </c>
      <c r="S70" s="37"/>
      <c r="T70" s="37"/>
      <c r="W70" s="37"/>
      <c r="X70" s="37"/>
      <c r="AA70" s="28" t="str">
        <f t="shared" si="0"/>
        <v/>
      </c>
    </row>
    <row r="71" spans="1:27" ht="15" customHeight="1" x14ac:dyDescent="0.25">
      <c r="A71" s="31" t="s">
        <v>316</v>
      </c>
      <c r="B71" s="29" t="s">
        <v>317</v>
      </c>
      <c r="C71" s="29" t="s">
        <v>318</v>
      </c>
      <c r="D71" s="28" t="s">
        <v>319</v>
      </c>
      <c r="E71" s="28" t="s">
        <v>86</v>
      </c>
      <c r="F71" s="28" t="s">
        <v>75</v>
      </c>
      <c r="G71" s="28" t="s">
        <v>102</v>
      </c>
      <c r="H71" s="28" t="s">
        <v>84</v>
      </c>
      <c r="I71" s="28" t="s">
        <v>94</v>
      </c>
      <c r="J71" s="30">
        <v>45083</v>
      </c>
      <c r="K71" s="30">
        <v>45104</v>
      </c>
      <c r="L71" s="30">
        <v>45106</v>
      </c>
      <c r="M71" s="30">
        <v>45103</v>
      </c>
      <c r="N71" s="30">
        <v>45104</v>
      </c>
      <c r="O71" s="28" t="s">
        <v>157</v>
      </c>
      <c r="P71" s="30" t="s">
        <v>157</v>
      </c>
      <c r="AA71" s="28" t="str">
        <f t="shared" si="0"/>
        <v/>
      </c>
    </row>
    <row r="72" spans="1:27" s="63" customFormat="1" ht="15" customHeight="1" x14ac:dyDescent="0.25">
      <c r="A72" s="59" t="s">
        <v>320</v>
      </c>
      <c r="B72" s="60" t="s">
        <v>321</v>
      </c>
      <c r="C72" s="60" t="s">
        <v>322</v>
      </c>
      <c r="D72" s="61" t="s">
        <v>323</v>
      </c>
      <c r="E72" s="61" t="s">
        <v>86</v>
      </c>
      <c r="F72" s="61" t="s">
        <v>75</v>
      </c>
      <c r="G72" s="64" t="s">
        <v>76</v>
      </c>
      <c r="H72" s="61" t="s">
        <v>84</v>
      </c>
      <c r="I72" s="61" t="s">
        <v>82</v>
      </c>
      <c r="J72" s="62">
        <v>45006</v>
      </c>
      <c r="K72" s="62">
        <v>45069</v>
      </c>
      <c r="L72" s="62">
        <v>45071</v>
      </c>
      <c r="M72" s="62">
        <v>45077</v>
      </c>
      <c r="N72" s="62">
        <v>45082</v>
      </c>
      <c r="O72" s="61" t="s">
        <v>156</v>
      </c>
      <c r="P72" s="62" t="s">
        <v>156</v>
      </c>
      <c r="Q72" s="62"/>
      <c r="R72" s="62"/>
      <c r="S72" s="65"/>
      <c r="T72" s="65"/>
      <c r="U72" s="62"/>
      <c r="V72" s="62"/>
      <c r="W72" s="65"/>
      <c r="X72" s="65"/>
      <c r="Y72" s="61"/>
      <c r="Z72" s="61"/>
      <c r="AA72" s="61" t="str">
        <f t="shared" ref="AA72:AA135" si="1">IFERROR(
IF(AND(X72="Não",Y72="Sim"),"REP",
IF(AND(X72="Sim",Y72="Não"),"Técnico",
IF(AND(X72="Sim",Y72="Sim"),"Ambos",""))),
"")</f>
        <v/>
      </c>
    </row>
    <row r="73" spans="1:27" s="63" customFormat="1" ht="15" customHeight="1" x14ac:dyDescent="0.25">
      <c r="A73" s="59" t="s">
        <v>324</v>
      </c>
      <c r="B73" s="60" t="s">
        <v>321</v>
      </c>
      <c r="C73" s="60" t="s">
        <v>325</v>
      </c>
      <c r="D73" s="61" t="s">
        <v>323</v>
      </c>
      <c r="E73" s="61" t="s">
        <v>86</v>
      </c>
      <c r="F73" s="61" t="s">
        <v>75</v>
      </c>
      <c r="G73" s="61" t="s">
        <v>76</v>
      </c>
      <c r="H73" s="61" t="s">
        <v>84</v>
      </c>
      <c r="I73" s="61" t="s">
        <v>82</v>
      </c>
      <c r="J73" s="62">
        <v>45006</v>
      </c>
      <c r="K73" s="62">
        <v>45069</v>
      </c>
      <c r="L73" s="62">
        <v>45071</v>
      </c>
      <c r="M73" s="62">
        <v>45077</v>
      </c>
      <c r="N73" s="62">
        <v>45082</v>
      </c>
      <c r="O73" s="61" t="s">
        <v>156</v>
      </c>
      <c r="P73" s="62" t="s">
        <v>156</v>
      </c>
      <c r="Q73" s="62"/>
      <c r="R73" s="62"/>
      <c r="S73" s="61"/>
      <c r="T73" s="61"/>
      <c r="U73" s="62"/>
      <c r="V73" s="62"/>
      <c r="W73" s="61"/>
      <c r="X73" s="61"/>
      <c r="Y73" s="61"/>
      <c r="Z73" s="61"/>
      <c r="AA73" s="61" t="str">
        <f t="shared" si="1"/>
        <v/>
      </c>
    </row>
    <row r="74" spans="1:27" s="63" customFormat="1" ht="15" customHeight="1" x14ac:dyDescent="0.25">
      <c r="A74" s="59" t="s">
        <v>326</v>
      </c>
      <c r="B74" s="60" t="s">
        <v>106</v>
      </c>
      <c r="C74" s="60" t="s">
        <v>327</v>
      </c>
      <c r="D74" s="61" t="s">
        <v>328</v>
      </c>
      <c r="E74" s="61" t="s">
        <v>86</v>
      </c>
      <c r="F74" s="61" t="s">
        <v>75</v>
      </c>
      <c r="G74" s="64" t="s">
        <v>76</v>
      </c>
      <c r="H74" s="61" t="s">
        <v>93</v>
      </c>
      <c r="I74" s="61" t="s">
        <v>94</v>
      </c>
      <c r="J74" s="62">
        <v>45058</v>
      </c>
      <c r="K74" s="62">
        <v>45089</v>
      </c>
      <c r="L74" s="62">
        <v>45091</v>
      </c>
      <c r="M74" s="62">
        <v>45091</v>
      </c>
      <c r="N74" s="62">
        <v>45107</v>
      </c>
      <c r="O74" s="61" t="s">
        <v>156</v>
      </c>
      <c r="P74" s="62" t="s">
        <v>156</v>
      </c>
      <c r="Q74" s="62"/>
      <c r="R74" s="62"/>
      <c r="S74" s="65"/>
      <c r="T74" s="65"/>
      <c r="U74" s="62"/>
      <c r="V74" s="62"/>
      <c r="W74" s="65"/>
      <c r="X74" s="65"/>
      <c r="Y74" s="61"/>
      <c r="Z74" s="61"/>
      <c r="AA74" s="61" t="str">
        <f t="shared" si="1"/>
        <v/>
      </c>
    </row>
    <row r="75" spans="1:27" s="63" customFormat="1" ht="15" customHeight="1" x14ac:dyDescent="0.25">
      <c r="A75" s="59" t="s">
        <v>326</v>
      </c>
      <c r="B75" s="60" t="s">
        <v>106</v>
      </c>
      <c r="C75" s="60" t="s">
        <v>327</v>
      </c>
      <c r="D75" s="61" t="s">
        <v>329</v>
      </c>
      <c r="E75" s="61" t="s">
        <v>86</v>
      </c>
      <c r="F75" s="61" t="s">
        <v>75</v>
      </c>
      <c r="G75" s="61" t="s">
        <v>76</v>
      </c>
      <c r="H75" s="61" t="s">
        <v>93</v>
      </c>
      <c r="I75" s="61" t="s">
        <v>100</v>
      </c>
      <c r="J75" s="62">
        <v>45058</v>
      </c>
      <c r="K75" s="62">
        <v>45089</v>
      </c>
      <c r="L75" s="62">
        <v>45091</v>
      </c>
      <c r="M75" s="62">
        <v>45106</v>
      </c>
      <c r="N75" s="62">
        <v>45107</v>
      </c>
      <c r="O75" s="61" t="s">
        <v>156</v>
      </c>
      <c r="P75" s="62" t="s">
        <v>156</v>
      </c>
      <c r="Q75" s="62"/>
      <c r="R75" s="62"/>
      <c r="S75" s="61"/>
      <c r="T75" s="61"/>
      <c r="U75" s="62"/>
      <c r="V75" s="62"/>
      <c r="W75" s="61"/>
      <c r="X75" s="61"/>
      <c r="Y75" s="61"/>
      <c r="Z75" s="61"/>
      <c r="AA75" s="61" t="str">
        <f t="shared" si="1"/>
        <v/>
      </c>
    </row>
    <row r="76" spans="1:27" s="63" customFormat="1" ht="15" customHeight="1" x14ac:dyDescent="0.25">
      <c r="A76" s="59" t="s">
        <v>330</v>
      </c>
      <c r="B76" s="60" t="s">
        <v>331</v>
      </c>
      <c r="C76" s="60" t="s">
        <v>332</v>
      </c>
      <c r="D76" s="61" t="s">
        <v>333</v>
      </c>
      <c r="E76" s="61" t="s">
        <v>86</v>
      </c>
      <c r="F76" s="61" t="s">
        <v>75</v>
      </c>
      <c r="G76" s="64" t="s">
        <v>76</v>
      </c>
      <c r="H76" s="61" t="s">
        <v>84</v>
      </c>
      <c r="I76" s="61" t="s">
        <v>87</v>
      </c>
      <c r="J76" s="62">
        <v>45057</v>
      </c>
      <c r="K76" s="62">
        <v>45071</v>
      </c>
      <c r="L76" s="62">
        <v>45075</v>
      </c>
      <c r="M76" s="62">
        <v>45082</v>
      </c>
      <c r="N76" s="62">
        <v>45084</v>
      </c>
      <c r="O76" s="61" t="s">
        <v>156</v>
      </c>
      <c r="P76" s="62" t="s">
        <v>156</v>
      </c>
      <c r="Q76" s="62"/>
      <c r="R76" s="62"/>
      <c r="S76" s="65"/>
      <c r="T76" s="65"/>
      <c r="U76" s="62"/>
      <c r="V76" s="62"/>
      <c r="W76" s="65"/>
      <c r="X76" s="65"/>
      <c r="Y76" s="61"/>
      <c r="Z76" s="61"/>
      <c r="AA76" s="61" t="str">
        <f t="shared" si="1"/>
        <v/>
      </c>
    </row>
    <row r="77" spans="1:27" s="63" customFormat="1" ht="15" customHeight="1" x14ac:dyDescent="0.25">
      <c r="A77" s="59" t="s">
        <v>334</v>
      </c>
      <c r="B77" s="60" t="s">
        <v>331</v>
      </c>
      <c r="C77" s="60" t="s">
        <v>335</v>
      </c>
      <c r="D77" s="61" t="s">
        <v>333</v>
      </c>
      <c r="E77" s="61" t="s">
        <v>86</v>
      </c>
      <c r="F77" s="61" t="s">
        <v>75</v>
      </c>
      <c r="G77" s="61" t="s">
        <v>76</v>
      </c>
      <c r="H77" s="61" t="s">
        <v>84</v>
      </c>
      <c r="I77" s="61" t="s">
        <v>87</v>
      </c>
      <c r="J77" s="62">
        <v>45057</v>
      </c>
      <c r="K77" s="62">
        <v>45071</v>
      </c>
      <c r="L77" s="62">
        <v>45075</v>
      </c>
      <c r="M77" s="62">
        <v>45082</v>
      </c>
      <c r="N77" s="62">
        <v>45085</v>
      </c>
      <c r="O77" s="61" t="s">
        <v>156</v>
      </c>
      <c r="P77" s="62" t="s">
        <v>156</v>
      </c>
      <c r="Q77" s="62"/>
      <c r="R77" s="62"/>
      <c r="S77" s="61"/>
      <c r="T77" s="61"/>
      <c r="U77" s="62"/>
      <c r="V77" s="62"/>
      <c r="W77" s="61"/>
      <c r="X77" s="61"/>
      <c r="Y77" s="61"/>
      <c r="Z77" s="61"/>
      <c r="AA77" s="61" t="str">
        <f t="shared" si="1"/>
        <v/>
      </c>
    </row>
    <row r="78" spans="1:27" s="63" customFormat="1" ht="15" customHeight="1" x14ac:dyDescent="0.25">
      <c r="A78" s="59" t="s">
        <v>336</v>
      </c>
      <c r="B78" s="60" t="s">
        <v>331</v>
      </c>
      <c r="C78" s="60" t="s">
        <v>337</v>
      </c>
      <c r="D78" s="61" t="s">
        <v>333</v>
      </c>
      <c r="E78" s="61" t="s">
        <v>86</v>
      </c>
      <c r="F78" s="61" t="s">
        <v>75</v>
      </c>
      <c r="G78" s="64" t="s">
        <v>76</v>
      </c>
      <c r="H78" s="61" t="s">
        <v>84</v>
      </c>
      <c r="I78" s="61" t="s">
        <v>87</v>
      </c>
      <c r="J78" s="62">
        <v>45057</v>
      </c>
      <c r="K78" s="62">
        <v>45071</v>
      </c>
      <c r="L78" s="62">
        <v>45075</v>
      </c>
      <c r="M78" s="62">
        <v>45082</v>
      </c>
      <c r="N78" s="62">
        <v>45085</v>
      </c>
      <c r="O78" s="61" t="s">
        <v>156</v>
      </c>
      <c r="P78" s="62" t="s">
        <v>156</v>
      </c>
      <c r="Q78" s="62"/>
      <c r="R78" s="62"/>
      <c r="S78" s="65"/>
      <c r="T78" s="65"/>
      <c r="U78" s="62"/>
      <c r="V78" s="62"/>
      <c r="W78" s="65"/>
      <c r="X78" s="65"/>
      <c r="Y78" s="61"/>
      <c r="Z78" s="61"/>
      <c r="AA78" s="61" t="str">
        <f t="shared" si="1"/>
        <v/>
      </c>
    </row>
    <row r="79" spans="1:27" s="63" customFormat="1" ht="15" customHeight="1" x14ac:dyDescent="0.25">
      <c r="A79" s="59" t="s">
        <v>338</v>
      </c>
      <c r="B79" s="60" t="s">
        <v>331</v>
      </c>
      <c r="C79" s="60" t="s">
        <v>339</v>
      </c>
      <c r="D79" s="61" t="s">
        <v>333</v>
      </c>
      <c r="E79" s="61" t="s">
        <v>86</v>
      </c>
      <c r="F79" s="61" t="s">
        <v>75</v>
      </c>
      <c r="G79" s="61" t="s">
        <v>76</v>
      </c>
      <c r="H79" s="61" t="s">
        <v>84</v>
      </c>
      <c r="I79" s="61" t="s">
        <v>87</v>
      </c>
      <c r="J79" s="62">
        <v>45057</v>
      </c>
      <c r="K79" s="62">
        <v>45071</v>
      </c>
      <c r="L79" s="62">
        <v>45075</v>
      </c>
      <c r="M79" s="62">
        <v>45082</v>
      </c>
      <c r="N79" s="62">
        <v>45085</v>
      </c>
      <c r="O79" s="61" t="s">
        <v>156</v>
      </c>
      <c r="P79" s="62" t="s">
        <v>156</v>
      </c>
      <c r="Q79" s="62"/>
      <c r="R79" s="62"/>
      <c r="S79" s="61"/>
      <c r="T79" s="61"/>
      <c r="U79" s="62"/>
      <c r="V79" s="62"/>
      <c r="W79" s="61"/>
      <c r="X79" s="61"/>
      <c r="Y79" s="61"/>
      <c r="Z79" s="61"/>
      <c r="AA79" s="61" t="str">
        <f t="shared" si="1"/>
        <v/>
      </c>
    </row>
    <row r="80" spans="1:27" s="63" customFormat="1" ht="15" customHeight="1" x14ac:dyDescent="0.25">
      <c r="A80" s="59" t="s">
        <v>340</v>
      </c>
      <c r="B80" s="60" t="s">
        <v>331</v>
      </c>
      <c r="C80" s="60" t="s">
        <v>341</v>
      </c>
      <c r="D80" s="61" t="s">
        <v>333</v>
      </c>
      <c r="E80" s="61" t="s">
        <v>86</v>
      </c>
      <c r="F80" s="61" t="s">
        <v>75</v>
      </c>
      <c r="G80" s="64" t="s">
        <v>76</v>
      </c>
      <c r="H80" s="61" t="s">
        <v>84</v>
      </c>
      <c r="I80" s="61" t="s">
        <v>87</v>
      </c>
      <c r="J80" s="62">
        <v>45057</v>
      </c>
      <c r="K80" s="62">
        <v>45071</v>
      </c>
      <c r="L80" s="62">
        <v>45075</v>
      </c>
      <c r="M80" s="62">
        <v>45082</v>
      </c>
      <c r="N80" s="62">
        <v>45085</v>
      </c>
      <c r="O80" s="61" t="s">
        <v>156</v>
      </c>
      <c r="P80" s="62" t="s">
        <v>156</v>
      </c>
      <c r="Q80" s="62"/>
      <c r="R80" s="62"/>
      <c r="S80" s="65"/>
      <c r="T80" s="65"/>
      <c r="U80" s="62"/>
      <c r="V80" s="62"/>
      <c r="W80" s="65"/>
      <c r="X80" s="65"/>
      <c r="Y80" s="61"/>
      <c r="Z80" s="61"/>
      <c r="AA80" s="61" t="str">
        <f t="shared" si="1"/>
        <v/>
      </c>
    </row>
    <row r="81" spans="1:27" s="63" customFormat="1" ht="15" customHeight="1" x14ac:dyDescent="0.25">
      <c r="A81" s="59" t="s">
        <v>342</v>
      </c>
      <c r="B81" s="60" t="s">
        <v>331</v>
      </c>
      <c r="C81" s="60" t="s">
        <v>343</v>
      </c>
      <c r="D81" s="61" t="s">
        <v>333</v>
      </c>
      <c r="E81" s="61" t="s">
        <v>86</v>
      </c>
      <c r="F81" s="61" t="s">
        <v>75</v>
      </c>
      <c r="G81" s="61" t="s">
        <v>76</v>
      </c>
      <c r="H81" s="61" t="s">
        <v>84</v>
      </c>
      <c r="I81" s="61" t="s">
        <v>87</v>
      </c>
      <c r="J81" s="62">
        <v>45057</v>
      </c>
      <c r="K81" s="62">
        <v>45071</v>
      </c>
      <c r="L81" s="62">
        <v>45075</v>
      </c>
      <c r="M81" s="62">
        <v>45082</v>
      </c>
      <c r="N81" s="62">
        <v>45085</v>
      </c>
      <c r="O81" s="61" t="s">
        <v>156</v>
      </c>
      <c r="P81" s="62" t="s">
        <v>156</v>
      </c>
      <c r="Q81" s="62"/>
      <c r="R81" s="62"/>
      <c r="S81" s="61"/>
      <c r="T81" s="61"/>
      <c r="U81" s="62"/>
      <c r="V81" s="62"/>
      <c r="W81" s="61"/>
      <c r="X81" s="61"/>
      <c r="Y81" s="61"/>
      <c r="Z81" s="61"/>
      <c r="AA81" s="61" t="str">
        <f t="shared" si="1"/>
        <v/>
      </c>
    </row>
    <row r="82" spans="1:27" s="63" customFormat="1" ht="15" customHeight="1" x14ac:dyDescent="0.25">
      <c r="A82" s="59" t="s">
        <v>344</v>
      </c>
      <c r="B82" s="60" t="s">
        <v>345</v>
      </c>
      <c r="C82" s="60" t="s">
        <v>346</v>
      </c>
      <c r="D82" s="61" t="s">
        <v>333</v>
      </c>
      <c r="E82" s="61" t="s">
        <v>86</v>
      </c>
      <c r="F82" s="61" t="s">
        <v>75</v>
      </c>
      <c r="G82" s="64" t="s">
        <v>76</v>
      </c>
      <c r="H82" s="61" t="s">
        <v>84</v>
      </c>
      <c r="I82" s="61" t="s">
        <v>87</v>
      </c>
      <c r="J82" s="62">
        <v>45057</v>
      </c>
      <c r="K82" s="62">
        <v>45071</v>
      </c>
      <c r="L82" s="62">
        <v>45075</v>
      </c>
      <c r="M82" s="62">
        <v>45082</v>
      </c>
      <c r="N82" s="62">
        <v>45085</v>
      </c>
      <c r="O82" s="61" t="s">
        <v>156</v>
      </c>
      <c r="P82" s="62" t="s">
        <v>156</v>
      </c>
      <c r="Q82" s="62"/>
      <c r="R82" s="62"/>
      <c r="S82" s="65"/>
      <c r="T82" s="65"/>
      <c r="U82" s="62"/>
      <c r="V82" s="62"/>
      <c r="W82" s="65"/>
      <c r="X82" s="65"/>
      <c r="Y82" s="61"/>
      <c r="Z82" s="61"/>
      <c r="AA82" s="61" t="str">
        <f t="shared" si="1"/>
        <v/>
      </c>
    </row>
    <row r="83" spans="1:27" s="63" customFormat="1" ht="15" customHeight="1" x14ac:dyDescent="0.25">
      <c r="A83" s="59" t="s">
        <v>347</v>
      </c>
      <c r="B83" s="60" t="s">
        <v>345</v>
      </c>
      <c r="C83" s="60" t="s">
        <v>348</v>
      </c>
      <c r="D83" s="61" t="s">
        <v>333</v>
      </c>
      <c r="E83" s="61" t="s">
        <v>86</v>
      </c>
      <c r="F83" s="61" t="s">
        <v>75</v>
      </c>
      <c r="G83" s="61" t="s">
        <v>76</v>
      </c>
      <c r="H83" s="61" t="s">
        <v>84</v>
      </c>
      <c r="I83" s="61" t="s">
        <v>87</v>
      </c>
      <c r="J83" s="62">
        <v>45057</v>
      </c>
      <c r="K83" s="62">
        <v>45071</v>
      </c>
      <c r="L83" s="62">
        <v>45075</v>
      </c>
      <c r="M83" s="62">
        <v>45082</v>
      </c>
      <c r="N83" s="62">
        <v>45085</v>
      </c>
      <c r="O83" s="61" t="s">
        <v>156</v>
      </c>
      <c r="P83" s="62" t="s">
        <v>156</v>
      </c>
      <c r="Q83" s="62"/>
      <c r="R83" s="62"/>
      <c r="S83" s="61"/>
      <c r="T83" s="61"/>
      <c r="U83" s="62"/>
      <c r="V83" s="62"/>
      <c r="W83" s="61"/>
      <c r="X83" s="61"/>
      <c r="Y83" s="61"/>
      <c r="Z83" s="61"/>
      <c r="AA83" s="61" t="str">
        <f t="shared" si="1"/>
        <v/>
      </c>
    </row>
    <row r="84" spans="1:27" s="63" customFormat="1" ht="15" customHeight="1" x14ac:dyDescent="0.25">
      <c r="A84" s="59" t="s">
        <v>349</v>
      </c>
      <c r="B84" s="60" t="s">
        <v>345</v>
      </c>
      <c r="C84" s="60" t="s">
        <v>350</v>
      </c>
      <c r="D84" s="61" t="s">
        <v>333</v>
      </c>
      <c r="E84" s="61" t="s">
        <v>86</v>
      </c>
      <c r="F84" s="61" t="s">
        <v>75</v>
      </c>
      <c r="G84" s="64" t="s">
        <v>76</v>
      </c>
      <c r="H84" s="61" t="s">
        <v>84</v>
      </c>
      <c r="I84" s="61" t="s">
        <v>87</v>
      </c>
      <c r="J84" s="62">
        <v>45057</v>
      </c>
      <c r="K84" s="62">
        <v>45071</v>
      </c>
      <c r="L84" s="62">
        <v>45075</v>
      </c>
      <c r="M84" s="62">
        <v>45082</v>
      </c>
      <c r="N84" s="62">
        <v>45085</v>
      </c>
      <c r="O84" s="61" t="s">
        <v>156</v>
      </c>
      <c r="P84" s="62" t="s">
        <v>156</v>
      </c>
      <c r="Q84" s="62"/>
      <c r="R84" s="62"/>
      <c r="S84" s="65"/>
      <c r="T84" s="65"/>
      <c r="U84" s="62"/>
      <c r="V84" s="62"/>
      <c r="W84" s="65"/>
      <c r="X84" s="65"/>
      <c r="Y84" s="61"/>
      <c r="Z84" s="61"/>
      <c r="AA84" s="61" t="str">
        <f t="shared" si="1"/>
        <v/>
      </c>
    </row>
    <row r="85" spans="1:27" s="63" customFormat="1" ht="15" customHeight="1" x14ac:dyDescent="0.25">
      <c r="A85" s="59" t="s">
        <v>351</v>
      </c>
      <c r="B85" s="60" t="s">
        <v>345</v>
      </c>
      <c r="C85" s="60" t="s">
        <v>352</v>
      </c>
      <c r="D85" s="61" t="s">
        <v>333</v>
      </c>
      <c r="E85" s="61" t="s">
        <v>86</v>
      </c>
      <c r="F85" s="61" t="s">
        <v>75</v>
      </c>
      <c r="G85" s="61" t="s">
        <v>76</v>
      </c>
      <c r="H85" s="61" t="s">
        <v>93</v>
      </c>
      <c r="I85" s="61" t="s">
        <v>87</v>
      </c>
      <c r="J85" s="62">
        <v>45057</v>
      </c>
      <c r="K85" s="62">
        <v>45071</v>
      </c>
      <c r="L85" s="62">
        <v>45075</v>
      </c>
      <c r="M85" s="62">
        <v>45093</v>
      </c>
      <c r="N85" s="62">
        <v>45097</v>
      </c>
      <c r="O85" s="61" t="s">
        <v>156</v>
      </c>
      <c r="P85" s="62" t="s">
        <v>156</v>
      </c>
      <c r="Q85" s="62"/>
      <c r="R85" s="62"/>
      <c r="S85" s="61"/>
      <c r="T85" s="61"/>
      <c r="U85" s="62"/>
      <c r="V85" s="62"/>
      <c r="W85" s="61"/>
      <c r="X85" s="61"/>
      <c r="Y85" s="61"/>
      <c r="Z85" s="61"/>
      <c r="AA85" s="61" t="str">
        <f t="shared" si="1"/>
        <v/>
      </c>
    </row>
    <row r="86" spans="1:27" s="63" customFormat="1" ht="15" customHeight="1" x14ac:dyDescent="0.25">
      <c r="A86" s="59" t="s">
        <v>353</v>
      </c>
      <c r="B86" s="60" t="s">
        <v>345</v>
      </c>
      <c r="C86" s="60" t="s">
        <v>354</v>
      </c>
      <c r="D86" s="61" t="s">
        <v>333</v>
      </c>
      <c r="E86" s="61" t="s">
        <v>86</v>
      </c>
      <c r="F86" s="61" t="s">
        <v>75</v>
      </c>
      <c r="G86" s="64" t="s">
        <v>76</v>
      </c>
      <c r="H86" s="61" t="s">
        <v>84</v>
      </c>
      <c r="I86" s="61" t="s">
        <v>87</v>
      </c>
      <c r="J86" s="62">
        <v>45057</v>
      </c>
      <c r="K86" s="62">
        <v>45071</v>
      </c>
      <c r="L86" s="62">
        <v>45075</v>
      </c>
      <c r="M86" s="62">
        <v>45082</v>
      </c>
      <c r="N86" s="62">
        <v>45085</v>
      </c>
      <c r="O86" s="61" t="s">
        <v>156</v>
      </c>
      <c r="P86" s="62" t="s">
        <v>156</v>
      </c>
      <c r="Q86" s="62"/>
      <c r="R86" s="62"/>
      <c r="S86" s="65"/>
      <c r="T86" s="65"/>
      <c r="U86" s="62"/>
      <c r="V86" s="62"/>
      <c r="W86" s="65"/>
      <c r="X86" s="65"/>
      <c r="Y86" s="61"/>
      <c r="Z86" s="61"/>
      <c r="AA86" s="61" t="str">
        <f t="shared" si="1"/>
        <v/>
      </c>
    </row>
    <row r="87" spans="1:27" s="63" customFormat="1" ht="15" customHeight="1" x14ac:dyDescent="0.25">
      <c r="A87" s="59" t="s">
        <v>355</v>
      </c>
      <c r="B87" s="60" t="s">
        <v>345</v>
      </c>
      <c r="C87" s="60" t="s">
        <v>356</v>
      </c>
      <c r="D87" s="61" t="s">
        <v>333</v>
      </c>
      <c r="E87" s="61" t="s">
        <v>86</v>
      </c>
      <c r="F87" s="61" t="s">
        <v>75</v>
      </c>
      <c r="G87" s="61" t="s">
        <v>76</v>
      </c>
      <c r="H87" s="61" t="s">
        <v>84</v>
      </c>
      <c r="I87" s="61" t="s">
        <v>87</v>
      </c>
      <c r="J87" s="62">
        <v>45057</v>
      </c>
      <c r="K87" s="62">
        <v>45071</v>
      </c>
      <c r="L87" s="62">
        <v>45075</v>
      </c>
      <c r="M87" s="62">
        <v>45085</v>
      </c>
      <c r="N87" s="62">
        <v>45085</v>
      </c>
      <c r="O87" s="61" t="s">
        <v>156</v>
      </c>
      <c r="P87" s="62" t="s">
        <v>156</v>
      </c>
      <c r="Q87" s="62"/>
      <c r="R87" s="62"/>
      <c r="S87" s="61"/>
      <c r="T87" s="61"/>
      <c r="U87" s="62"/>
      <c r="V87" s="62"/>
      <c r="W87" s="61"/>
      <c r="X87" s="61"/>
      <c r="Y87" s="61"/>
      <c r="Z87" s="61"/>
      <c r="AA87" s="61" t="str">
        <f t="shared" si="1"/>
        <v/>
      </c>
    </row>
    <row r="88" spans="1:27" ht="15" customHeight="1" x14ac:dyDescent="0.25">
      <c r="A88" s="31" t="s">
        <v>357</v>
      </c>
      <c r="B88" s="29" t="s">
        <v>358</v>
      </c>
      <c r="C88" s="29" t="s">
        <v>359</v>
      </c>
      <c r="D88" s="28" t="s">
        <v>99</v>
      </c>
      <c r="E88" s="28" t="s">
        <v>96</v>
      </c>
      <c r="F88" s="28" t="s">
        <v>75</v>
      </c>
      <c r="G88" s="54" t="s">
        <v>76</v>
      </c>
      <c r="H88" s="28" t="s">
        <v>84</v>
      </c>
      <c r="I88" s="28" t="s">
        <v>78</v>
      </c>
      <c r="J88" s="30">
        <v>45063</v>
      </c>
      <c r="K88" s="30">
        <v>45103</v>
      </c>
      <c r="L88" s="30">
        <v>45105</v>
      </c>
      <c r="M88" s="30">
        <v>45100</v>
      </c>
      <c r="N88" s="30">
        <v>45104</v>
      </c>
      <c r="O88" s="28" t="s">
        <v>157</v>
      </c>
      <c r="P88" s="30" t="s">
        <v>157</v>
      </c>
      <c r="S88" s="37"/>
      <c r="T88" s="37"/>
      <c r="W88" s="37"/>
      <c r="X88" s="37"/>
      <c r="AA88" s="28" t="str">
        <f t="shared" si="1"/>
        <v/>
      </c>
    </row>
    <row r="89" spans="1:27" ht="15" customHeight="1" x14ac:dyDescent="0.25">
      <c r="A89" s="31" t="s">
        <v>360</v>
      </c>
      <c r="B89" s="29" t="s">
        <v>361</v>
      </c>
      <c r="C89" s="29" t="s">
        <v>362</v>
      </c>
      <c r="D89" s="28" t="s">
        <v>363</v>
      </c>
      <c r="E89" s="28" t="s">
        <v>96</v>
      </c>
      <c r="F89" s="28" t="s">
        <v>75</v>
      </c>
      <c r="G89" s="28" t="s">
        <v>76</v>
      </c>
      <c r="H89" s="28" t="s">
        <v>77</v>
      </c>
      <c r="I89" s="28" t="s">
        <v>82</v>
      </c>
      <c r="J89" s="30">
        <v>45057</v>
      </c>
      <c r="K89" s="30">
        <v>45082</v>
      </c>
      <c r="L89" s="30">
        <v>45084</v>
      </c>
      <c r="M89" s="30">
        <v>45084</v>
      </c>
      <c r="N89" s="30">
        <v>45085</v>
      </c>
      <c r="O89" s="28" t="s">
        <v>156</v>
      </c>
      <c r="P89" s="30" t="s">
        <v>157</v>
      </c>
      <c r="AA89" s="28" t="str">
        <f t="shared" si="1"/>
        <v/>
      </c>
    </row>
    <row r="90" spans="1:27" ht="15" customHeight="1" x14ac:dyDescent="0.25">
      <c r="A90" s="31" t="s">
        <v>360</v>
      </c>
      <c r="B90" s="29" t="s">
        <v>361</v>
      </c>
      <c r="C90" s="29" t="s">
        <v>362</v>
      </c>
      <c r="D90" s="28" t="s">
        <v>363</v>
      </c>
      <c r="E90" s="28" t="s">
        <v>96</v>
      </c>
      <c r="F90" s="28" t="s">
        <v>75</v>
      </c>
      <c r="G90" s="54" t="s">
        <v>76</v>
      </c>
      <c r="H90" s="28" t="s">
        <v>77</v>
      </c>
      <c r="I90" s="28" t="s">
        <v>94</v>
      </c>
      <c r="J90" s="30">
        <v>45057</v>
      </c>
      <c r="K90" s="30">
        <v>45082</v>
      </c>
      <c r="L90" s="30">
        <v>45084</v>
      </c>
      <c r="M90" s="30">
        <v>45079</v>
      </c>
      <c r="N90" s="30">
        <v>45085</v>
      </c>
      <c r="O90" s="28" t="s">
        <v>157</v>
      </c>
      <c r="P90" s="30" t="s">
        <v>157</v>
      </c>
      <c r="S90" s="37"/>
      <c r="T90" s="37"/>
      <c r="W90" s="37"/>
      <c r="X90" s="37"/>
      <c r="AA90" s="28" t="str">
        <f t="shared" si="1"/>
        <v/>
      </c>
    </row>
    <row r="91" spans="1:27" s="63" customFormat="1" ht="15" customHeight="1" x14ac:dyDescent="0.25">
      <c r="A91" s="59" t="s">
        <v>364</v>
      </c>
      <c r="B91" s="60" t="s">
        <v>365</v>
      </c>
      <c r="C91" s="60" t="s">
        <v>366</v>
      </c>
      <c r="D91" s="61" t="s">
        <v>88</v>
      </c>
      <c r="E91" s="61" t="s">
        <v>81</v>
      </c>
      <c r="F91" s="61" t="s">
        <v>75</v>
      </c>
      <c r="G91" s="61" t="s">
        <v>76</v>
      </c>
      <c r="H91" s="61" t="s">
        <v>93</v>
      </c>
      <c r="I91" s="61" t="s">
        <v>101</v>
      </c>
      <c r="J91" s="62">
        <v>45021</v>
      </c>
      <c r="K91" s="62">
        <v>45077</v>
      </c>
      <c r="L91" s="62">
        <v>45079</v>
      </c>
      <c r="M91" s="62">
        <v>45077</v>
      </c>
      <c r="N91" s="62">
        <v>45096</v>
      </c>
      <c r="O91" s="61" t="s">
        <v>157</v>
      </c>
      <c r="P91" s="62" t="s">
        <v>156</v>
      </c>
      <c r="Q91" s="62"/>
      <c r="R91" s="62"/>
      <c r="S91" s="61"/>
      <c r="T91" s="61"/>
      <c r="U91" s="62"/>
      <c r="V91" s="62"/>
      <c r="W91" s="61"/>
      <c r="X91" s="61"/>
      <c r="Y91" s="61"/>
      <c r="Z91" s="61"/>
      <c r="AA91" s="61" t="str">
        <f t="shared" si="1"/>
        <v/>
      </c>
    </row>
    <row r="92" spans="1:27" s="63" customFormat="1" ht="15" customHeight="1" x14ac:dyDescent="0.25">
      <c r="A92" s="59" t="s">
        <v>367</v>
      </c>
      <c r="B92" s="60" t="s">
        <v>365</v>
      </c>
      <c r="C92" s="60" t="s">
        <v>366</v>
      </c>
      <c r="D92" s="61" t="s">
        <v>88</v>
      </c>
      <c r="E92" s="61" t="s">
        <v>81</v>
      </c>
      <c r="F92" s="61" t="s">
        <v>75</v>
      </c>
      <c r="G92" s="64" t="s">
        <v>76</v>
      </c>
      <c r="H92" s="61" t="s">
        <v>93</v>
      </c>
      <c r="I92" s="61" t="s">
        <v>101</v>
      </c>
      <c r="J92" s="62">
        <v>45021</v>
      </c>
      <c r="K92" s="62">
        <v>45077</v>
      </c>
      <c r="L92" s="62">
        <v>45079</v>
      </c>
      <c r="M92" s="62">
        <v>45077</v>
      </c>
      <c r="N92" s="62">
        <v>45096</v>
      </c>
      <c r="O92" s="61" t="s">
        <v>157</v>
      </c>
      <c r="P92" s="62" t="s">
        <v>156</v>
      </c>
      <c r="Q92" s="62"/>
      <c r="R92" s="62"/>
      <c r="S92" s="65"/>
      <c r="T92" s="65"/>
      <c r="U92" s="62"/>
      <c r="V92" s="62"/>
      <c r="W92" s="65"/>
      <c r="X92" s="65"/>
      <c r="Y92" s="61"/>
      <c r="Z92" s="61"/>
      <c r="AA92" s="61" t="str">
        <f t="shared" si="1"/>
        <v/>
      </c>
    </row>
    <row r="93" spans="1:27" ht="15" customHeight="1" x14ac:dyDescent="0.25">
      <c r="A93" s="31" t="s">
        <v>368</v>
      </c>
      <c r="B93" s="29" t="s">
        <v>107</v>
      </c>
      <c r="C93" s="29" t="s">
        <v>369</v>
      </c>
      <c r="D93" s="28" t="s">
        <v>108</v>
      </c>
      <c r="E93" s="28" t="s">
        <v>74</v>
      </c>
      <c r="F93" s="28" t="s">
        <v>75</v>
      </c>
      <c r="G93" s="28" t="s">
        <v>76</v>
      </c>
      <c r="H93" s="28" t="s">
        <v>84</v>
      </c>
      <c r="I93" s="28" t="s">
        <v>78</v>
      </c>
      <c r="J93" s="30">
        <v>45075</v>
      </c>
      <c r="K93" s="30">
        <v>45112</v>
      </c>
      <c r="L93" s="30">
        <v>45114</v>
      </c>
      <c r="M93" s="30">
        <v>45084</v>
      </c>
      <c r="N93" s="30">
        <v>45100</v>
      </c>
      <c r="O93" s="28" t="s">
        <v>157</v>
      </c>
      <c r="P93" s="30" t="s">
        <v>157</v>
      </c>
      <c r="AA93" s="28" t="str">
        <f t="shared" si="1"/>
        <v/>
      </c>
    </row>
    <row r="94" spans="1:27" ht="15" customHeight="1" x14ac:dyDescent="0.25">
      <c r="A94" s="31" t="s">
        <v>370</v>
      </c>
      <c r="B94" s="29" t="s">
        <v>107</v>
      </c>
      <c r="C94" s="29" t="s">
        <v>371</v>
      </c>
      <c r="D94" s="28" t="s">
        <v>108</v>
      </c>
      <c r="E94" s="28" t="s">
        <v>74</v>
      </c>
      <c r="F94" s="28" t="s">
        <v>75</v>
      </c>
      <c r="G94" s="54" t="s">
        <v>76</v>
      </c>
      <c r="H94" s="28" t="s">
        <v>84</v>
      </c>
      <c r="I94" s="28" t="s">
        <v>78</v>
      </c>
      <c r="J94" s="30">
        <v>45075</v>
      </c>
      <c r="K94" s="30">
        <v>45112</v>
      </c>
      <c r="L94" s="30">
        <v>45114</v>
      </c>
      <c r="M94" s="30">
        <v>45084</v>
      </c>
      <c r="N94" s="30">
        <v>45100</v>
      </c>
      <c r="O94" s="28" t="s">
        <v>157</v>
      </c>
      <c r="P94" s="30" t="s">
        <v>157</v>
      </c>
      <c r="S94" s="37"/>
      <c r="T94" s="37"/>
      <c r="W94" s="37"/>
      <c r="X94" s="37"/>
      <c r="AA94" s="28" t="str">
        <f t="shared" si="1"/>
        <v/>
      </c>
    </row>
    <row r="95" spans="1:27" s="63" customFormat="1" ht="15" customHeight="1" x14ac:dyDescent="0.25">
      <c r="A95" s="59" t="s">
        <v>372</v>
      </c>
      <c r="B95" s="60" t="s">
        <v>109</v>
      </c>
      <c r="C95" s="60" t="s">
        <v>110</v>
      </c>
      <c r="D95" s="61" t="s">
        <v>373</v>
      </c>
      <c r="E95" s="61" t="s">
        <v>74</v>
      </c>
      <c r="F95" s="61" t="s">
        <v>75</v>
      </c>
      <c r="G95" s="61" t="s">
        <v>96</v>
      </c>
      <c r="H95" s="61" t="s">
        <v>77</v>
      </c>
      <c r="I95" s="61" t="s">
        <v>78</v>
      </c>
      <c r="J95" s="62">
        <v>45077</v>
      </c>
      <c r="K95" s="62">
        <v>45090</v>
      </c>
      <c r="L95" s="62">
        <v>45092</v>
      </c>
      <c r="M95" s="62">
        <v>45098</v>
      </c>
      <c r="N95" s="62">
        <v>45100</v>
      </c>
      <c r="O95" s="61" t="s">
        <v>156</v>
      </c>
      <c r="P95" s="62" t="s">
        <v>156</v>
      </c>
      <c r="Q95" s="62"/>
      <c r="R95" s="62"/>
      <c r="S95" s="61"/>
      <c r="T95" s="61"/>
      <c r="U95" s="62"/>
      <c r="V95" s="62"/>
      <c r="W95" s="61"/>
      <c r="X95" s="61"/>
      <c r="Y95" s="61"/>
      <c r="Z95" s="61"/>
      <c r="AA95" s="61" t="str">
        <f t="shared" si="1"/>
        <v/>
      </c>
    </row>
    <row r="96" spans="1:27" ht="15" customHeight="1" x14ac:dyDescent="0.25">
      <c r="A96" s="31" t="s">
        <v>374</v>
      </c>
      <c r="B96" s="29" t="s">
        <v>375</v>
      </c>
      <c r="C96" s="29" t="s">
        <v>376</v>
      </c>
      <c r="D96" s="28" t="s">
        <v>377</v>
      </c>
      <c r="E96" s="28" t="s">
        <v>102</v>
      </c>
      <c r="F96" s="28" t="s">
        <v>75</v>
      </c>
      <c r="G96" s="54" t="s">
        <v>102</v>
      </c>
      <c r="H96" s="28" t="s">
        <v>77</v>
      </c>
      <c r="I96" s="28" t="s">
        <v>78</v>
      </c>
      <c r="J96" s="30">
        <v>45065</v>
      </c>
      <c r="K96" s="30">
        <v>45089</v>
      </c>
      <c r="L96" s="30">
        <v>45091</v>
      </c>
      <c r="M96" s="30">
        <v>45084</v>
      </c>
      <c r="N96" s="30">
        <v>45092</v>
      </c>
      <c r="O96" s="28" t="s">
        <v>157</v>
      </c>
      <c r="P96" s="30" t="s">
        <v>157</v>
      </c>
      <c r="S96" s="37"/>
      <c r="T96" s="37"/>
      <c r="W96" s="37"/>
      <c r="X96" s="37"/>
      <c r="AA96" s="28" t="str">
        <f t="shared" si="1"/>
        <v/>
      </c>
    </row>
    <row r="97" spans="1:27" ht="15" customHeight="1" x14ac:dyDescent="0.25">
      <c r="A97" s="31" t="s">
        <v>378</v>
      </c>
      <c r="B97" s="29" t="s">
        <v>375</v>
      </c>
      <c r="C97" s="29" t="s">
        <v>111</v>
      </c>
      <c r="D97" s="28" t="s">
        <v>379</v>
      </c>
      <c r="E97" s="28" t="s">
        <v>102</v>
      </c>
      <c r="F97" s="28" t="s">
        <v>75</v>
      </c>
      <c r="G97" s="28" t="s">
        <v>102</v>
      </c>
      <c r="H97" s="28" t="s">
        <v>93</v>
      </c>
      <c r="I97" s="28" t="s">
        <v>78</v>
      </c>
      <c r="J97" s="30">
        <v>45096</v>
      </c>
      <c r="K97" s="30">
        <v>45089</v>
      </c>
      <c r="L97" s="30">
        <v>45091</v>
      </c>
      <c r="M97" s="30">
        <v>45068</v>
      </c>
      <c r="N97" s="30">
        <v>45084</v>
      </c>
      <c r="O97" s="28" t="s">
        <v>157</v>
      </c>
      <c r="P97" s="30" t="s">
        <v>157</v>
      </c>
      <c r="AA97" s="28" t="str">
        <f t="shared" si="1"/>
        <v/>
      </c>
    </row>
    <row r="98" spans="1:27" ht="15" customHeight="1" x14ac:dyDescent="0.25">
      <c r="A98" s="31" t="s">
        <v>380</v>
      </c>
      <c r="B98" s="29" t="s">
        <v>381</v>
      </c>
      <c r="C98" s="29" t="s">
        <v>382</v>
      </c>
      <c r="D98" s="28" t="s">
        <v>88</v>
      </c>
      <c r="E98" s="28" t="s">
        <v>96</v>
      </c>
      <c r="F98" s="28" t="s">
        <v>75</v>
      </c>
      <c r="G98" s="54" t="s">
        <v>76</v>
      </c>
      <c r="H98" s="28" t="s">
        <v>93</v>
      </c>
      <c r="I98" s="28" t="s">
        <v>101</v>
      </c>
      <c r="J98" s="30">
        <v>45058</v>
      </c>
      <c r="K98" s="30">
        <v>45083</v>
      </c>
      <c r="L98" s="30">
        <v>45085</v>
      </c>
      <c r="M98" s="30">
        <v>45078</v>
      </c>
      <c r="N98" s="30">
        <v>45079</v>
      </c>
      <c r="O98" s="28" t="s">
        <v>157</v>
      </c>
      <c r="P98" s="30" t="s">
        <v>157</v>
      </c>
      <c r="S98" s="37"/>
      <c r="T98" s="37"/>
      <c r="W98" s="37"/>
      <c r="X98" s="37"/>
      <c r="AA98" s="28" t="str">
        <f t="shared" si="1"/>
        <v/>
      </c>
    </row>
    <row r="99" spans="1:27" s="63" customFormat="1" ht="15" customHeight="1" x14ac:dyDescent="0.25">
      <c r="A99" s="59" t="s">
        <v>383</v>
      </c>
      <c r="B99" s="60" t="s">
        <v>107</v>
      </c>
      <c r="C99" s="60" t="s">
        <v>384</v>
      </c>
      <c r="D99" s="61" t="s">
        <v>73</v>
      </c>
      <c r="E99" s="61" t="s">
        <v>74</v>
      </c>
      <c r="F99" s="61" t="s">
        <v>75</v>
      </c>
      <c r="G99" s="61" t="s">
        <v>76</v>
      </c>
      <c r="H99" s="61" t="s">
        <v>77</v>
      </c>
      <c r="I99" s="61" t="s">
        <v>78</v>
      </c>
      <c r="J99" s="62">
        <v>45075</v>
      </c>
      <c r="K99" s="62">
        <v>45089</v>
      </c>
      <c r="L99" s="62">
        <v>45091</v>
      </c>
      <c r="M99" s="62">
        <v>45093</v>
      </c>
      <c r="N99" s="62">
        <v>45096</v>
      </c>
      <c r="O99" s="61" t="s">
        <v>156</v>
      </c>
      <c r="P99" s="62" t="s">
        <v>156</v>
      </c>
      <c r="Q99" s="62"/>
      <c r="R99" s="62"/>
      <c r="S99" s="61"/>
      <c r="T99" s="61"/>
      <c r="U99" s="62"/>
      <c r="V99" s="62"/>
      <c r="W99" s="61"/>
      <c r="X99" s="61"/>
      <c r="Y99" s="61"/>
      <c r="Z99" s="61"/>
      <c r="AA99" s="61" t="str">
        <f t="shared" si="1"/>
        <v/>
      </c>
    </row>
    <row r="100" spans="1:27" s="63" customFormat="1" ht="15" customHeight="1" x14ac:dyDescent="0.25">
      <c r="A100" s="59" t="s">
        <v>385</v>
      </c>
      <c r="B100" s="60" t="s">
        <v>386</v>
      </c>
      <c r="C100" s="60" t="s">
        <v>387</v>
      </c>
      <c r="D100" s="61" t="s">
        <v>388</v>
      </c>
      <c r="E100" s="61" t="s">
        <v>74</v>
      </c>
      <c r="F100" s="61" t="s">
        <v>75</v>
      </c>
      <c r="G100" s="64" t="s">
        <v>76</v>
      </c>
      <c r="H100" s="61" t="s">
        <v>77</v>
      </c>
      <c r="I100" s="61" t="s">
        <v>78</v>
      </c>
      <c r="J100" s="62">
        <v>45044</v>
      </c>
      <c r="K100" s="62">
        <v>45082</v>
      </c>
      <c r="L100" s="62">
        <v>45084</v>
      </c>
      <c r="M100" s="62">
        <v>45104</v>
      </c>
      <c r="N100" s="62">
        <v>45105</v>
      </c>
      <c r="O100" s="61" t="s">
        <v>156</v>
      </c>
      <c r="P100" s="62" t="s">
        <v>156</v>
      </c>
      <c r="Q100" s="62"/>
      <c r="R100" s="62"/>
      <c r="S100" s="65"/>
      <c r="T100" s="65"/>
      <c r="U100" s="62"/>
      <c r="V100" s="62"/>
      <c r="W100" s="65"/>
      <c r="X100" s="65"/>
      <c r="Y100" s="61"/>
      <c r="Z100" s="61"/>
      <c r="AA100" s="61" t="str">
        <f t="shared" si="1"/>
        <v/>
      </c>
    </row>
    <row r="101" spans="1:27" s="63" customFormat="1" ht="15" customHeight="1" x14ac:dyDescent="0.25">
      <c r="A101" s="59" t="s">
        <v>389</v>
      </c>
      <c r="B101" s="60" t="s">
        <v>386</v>
      </c>
      <c r="C101" s="60" t="s">
        <v>390</v>
      </c>
      <c r="D101" s="61" t="s">
        <v>112</v>
      </c>
      <c r="E101" s="61" t="s">
        <v>74</v>
      </c>
      <c r="F101" s="61" t="s">
        <v>75</v>
      </c>
      <c r="G101" s="61" t="s">
        <v>76</v>
      </c>
      <c r="H101" s="61" t="s">
        <v>77</v>
      </c>
      <c r="I101" s="61" t="s">
        <v>78</v>
      </c>
      <c r="J101" s="62">
        <v>45044</v>
      </c>
      <c r="K101" s="62">
        <v>45082</v>
      </c>
      <c r="L101" s="62">
        <v>45084</v>
      </c>
      <c r="M101" s="62">
        <v>45092</v>
      </c>
      <c r="N101" s="62">
        <v>45096</v>
      </c>
      <c r="O101" s="61" t="s">
        <v>156</v>
      </c>
      <c r="P101" s="62" t="s">
        <v>156</v>
      </c>
      <c r="Q101" s="62"/>
      <c r="R101" s="62"/>
      <c r="S101" s="61"/>
      <c r="T101" s="61"/>
      <c r="U101" s="62"/>
      <c r="V101" s="62"/>
      <c r="W101" s="61"/>
      <c r="X101" s="61"/>
      <c r="Y101" s="61"/>
      <c r="Z101" s="61"/>
      <c r="AA101" s="61" t="str">
        <f t="shared" si="1"/>
        <v/>
      </c>
    </row>
    <row r="102" spans="1:27" s="63" customFormat="1" ht="15" customHeight="1" x14ac:dyDescent="0.25">
      <c r="A102" s="59" t="s">
        <v>391</v>
      </c>
      <c r="B102" s="60" t="s">
        <v>386</v>
      </c>
      <c r="C102" s="60" t="s">
        <v>392</v>
      </c>
      <c r="D102" s="61" t="s">
        <v>112</v>
      </c>
      <c r="E102" s="61" t="s">
        <v>74</v>
      </c>
      <c r="F102" s="61" t="s">
        <v>75</v>
      </c>
      <c r="G102" s="64" t="s">
        <v>76</v>
      </c>
      <c r="H102" s="61" t="s">
        <v>77</v>
      </c>
      <c r="I102" s="61" t="s">
        <v>78</v>
      </c>
      <c r="J102" s="62">
        <v>45044</v>
      </c>
      <c r="K102" s="62">
        <v>45082</v>
      </c>
      <c r="L102" s="62">
        <v>45084</v>
      </c>
      <c r="M102" s="62">
        <v>45091</v>
      </c>
      <c r="N102" s="62">
        <v>45096</v>
      </c>
      <c r="O102" s="61" t="s">
        <v>156</v>
      </c>
      <c r="P102" s="62" t="s">
        <v>156</v>
      </c>
      <c r="Q102" s="62"/>
      <c r="R102" s="62"/>
      <c r="S102" s="65"/>
      <c r="T102" s="65"/>
      <c r="U102" s="62"/>
      <c r="V102" s="62"/>
      <c r="W102" s="65"/>
      <c r="X102" s="65"/>
      <c r="Y102" s="61"/>
      <c r="Z102" s="61"/>
      <c r="AA102" s="61" t="str">
        <f t="shared" si="1"/>
        <v/>
      </c>
    </row>
    <row r="103" spans="1:27" s="63" customFormat="1" ht="15" customHeight="1" x14ac:dyDescent="0.25">
      <c r="A103" s="59" t="s">
        <v>393</v>
      </c>
      <c r="B103" s="60" t="s">
        <v>386</v>
      </c>
      <c r="C103" s="60" t="s">
        <v>390</v>
      </c>
      <c r="D103" s="61" t="s">
        <v>112</v>
      </c>
      <c r="E103" s="61" t="s">
        <v>74</v>
      </c>
      <c r="F103" s="61" t="s">
        <v>75</v>
      </c>
      <c r="G103" s="61" t="s">
        <v>76</v>
      </c>
      <c r="H103" s="61" t="s">
        <v>77</v>
      </c>
      <c r="I103" s="61" t="s">
        <v>78</v>
      </c>
      <c r="J103" s="62">
        <v>45044</v>
      </c>
      <c r="K103" s="62">
        <v>45082</v>
      </c>
      <c r="L103" s="62">
        <v>45084</v>
      </c>
      <c r="M103" s="62">
        <v>45091</v>
      </c>
      <c r="N103" s="62">
        <v>45096</v>
      </c>
      <c r="O103" s="61" t="s">
        <v>156</v>
      </c>
      <c r="P103" s="62" t="s">
        <v>156</v>
      </c>
      <c r="Q103" s="62"/>
      <c r="R103" s="62"/>
      <c r="S103" s="61"/>
      <c r="T103" s="61"/>
      <c r="U103" s="62"/>
      <c r="V103" s="62"/>
      <c r="W103" s="61"/>
      <c r="X103" s="61"/>
      <c r="Y103" s="61"/>
      <c r="Z103" s="61"/>
      <c r="AA103" s="61" t="str">
        <f t="shared" si="1"/>
        <v/>
      </c>
    </row>
    <row r="104" spans="1:27" ht="15" customHeight="1" x14ac:dyDescent="0.25">
      <c r="A104" s="31" t="s">
        <v>394</v>
      </c>
      <c r="B104" s="29" t="s">
        <v>113</v>
      </c>
      <c r="C104" s="29" t="s">
        <v>395</v>
      </c>
      <c r="D104" s="28" t="s">
        <v>396</v>
      </c>
      <c r="E104" s="28" t="s">
        <v>96</v>
      </c>
      <c r="F104" s="28" t="s">
        <v>75</v>
      </c>
      <c r="G104" s="54" t="s">
        <v>96</v>
      </c>
      <c r="H104" s="28" t="s">
        <v>77</v>
      </c>
      <c r="I104" s="28" t="s">
        <v>82</v>
      </c>
      <c r="J104" s="30">
        <v>45015</v>
      </c>
      <c r="K104" s="30">
        <v>45096</v>
      </c>
      <c r="L104" s="30">
        <v>45098</v>
      </c>
      <c r="M104" s="30">
        <v>45092</v>
      </c>
      <c r="N104" s="30">
        <v>45098</v>
      </c>
      <c r="O104" s="28" t="s">
        <v>157</v>
      </c>
      <c r="P104" s="30" t="s">
        <v>157</v>
      </c>
      <c r="S104" s="37"/>
      <c r="T104" s="37"/>
      <c r="W104" s="37"/>
      <c r="X104" s="37"/>
      <c r="AA104" s="28" t="str">
        <f t="shared" si="1"/>
        <v/>
      </c>
    </row>
    <row r="105" spans="1:27" s="63" customFormat="1" ht="15" customHeight="1" x14ac:dyDescent="0.25">
      <c r="A105" s="59" t="s">
        <v>397</v>
      </c>
      <c r="B105" s="60" t="s">
        <v>398</v>
      </c>
      <c r="C105" s="60" t="s">
        <v>399</v>
      </c>
      <c r="D105" s="61" t="s">
        <v>114</v>
      </c>
      <c r="E105" s="61" t="s">
        <v>74</v>
      </c>
      <c r="F105" s="61" t="s">
        <v>75</v>
      </c>
      <c r="G105" s="61" t="s">
        <v>76</v>
      </c>
      <c r="H105" s="61" t="s">
        <v>77</v>
      </c>
      <c r="I105" s="61" t="s">
        <v>78</v>
      </c>
      <c r="J105" s="62">
        <v>45044</v>
      </c>
      <c r="K105" s="62">
        <v>45072</v>
      </c>
      <c r="L105" s="62">
        <v>45076</v>
      </c>
      <c r="M105" s="62">
        <v>45077</v>
      </c>
      <c r="N105" s="62">
        <v>45083</v>
      </c>
      <c r="O105" s="61" t="s">
        <v>156</v>
      </c>
      <c r="P105" s="62" t="s">
        <v>156</v>
      </c>
      <c r="Q105" s="62"/>
      <c r="R105" s="62"/>
      <c r="S105" s="61"/>
      <c r="T105" s="61"/>
      <c r="U105" s="62"/>
      <c r="V105" s="62"/>
      <c r="W105" s="61"/>
      <c r="X105" s="61"/>
      <c r="Y105" s="61"/>
      <c r="Z105" s="61"/>
      <c r="AA105" s="61" t="str">
        <f t="shared" si="1"/>
        <v/>
      </c>
    </row>
    <row r="106" spans="1:27" s="63" customFormat="1" ht="15" customHeight="1" x14ac:dyDescent="0.25">
      <c r="A106" s="59" t="s">
        <v>397</v>
      </c>
      <c r="B106" s="60" t="s">
        <v>398</v>
      </c>
      <c r="C106" s="60" t="s">
        <v>399</v>
      </c>
      <c r="D106" s="61" t="s">
        <v>114</v>
      </c>
      <c r="E106" s="61" t="s">
        <v>74</v>
      </c>
      <c r="F106" s="61" t="s">
        <v>75</v>
      </c>
      <c r="G106" s="64" t="s">
        <v>76</v>
      </c>
      <c r="H106" s="61" t="s">
        <v>77</v>
      </c>
      <c r="I106" s="61" t="s">
        <v>82</v>
      </c>
      <c r="J106" s="62">
        <v>45044</v>
      </c>
      <c r="K106" s="62">
        <v>45072</v>
      </c>
      <c r="L106" s="62">
        <v>45076</v>
      </c>
      <c r="M106" s="62">
        <v>45083</v>
      </c>
      <c r="N106" s="62">
        <v>45083</v>
      </c>
      <c r="O106" s="61" t="s">
        <v>156</v>
      </c>
      <c r="P106" s="62" t="s">
        <v>156</v>
      </c>
      <c r="Q106" s="62"/>
      <c r="R106" s="62"/>
      <c r="S106" s="65"/>
      <c r="T106" s="65"/>
      <c r="U106" s="62"/>
      <c r="V106" s="62"/>
      <c r="W106" s="65"/>
      <c r="X106" s="65"/>
      <c r="Y106" s="61"/>
      <c r="Z106" s="61"/>
      <c r="AA106" s="61" t="str">
        <f t="shared" si="1"/>
        <v/>
      </c>
    </row>
    <row r="107" spans="1:27" s="63" customFormat="1" ht="15" customHeight="1" x14ac:dyDescent="0.25">
      <c r="A107" s="59" t="s">
        <v>400</v>
      </c>
      <c r="B107" s="60" t="s">
        <v>398</v>
      </c>
      <c r="C107" s="60" t="s">
        <v>401</v>
      </c>
      <c r="D107" s="61" t="s">
        <v>114</v>
      </c>
      <c r="E107" s="61" t="s">
        <v>74</v>
      </c>
      <c r="F107" s="61" t="s">
        <v>75</v>
      </c>
      <c r="G107" s="61" t="s">
        <v>76</v>
      </c>
      <c r="H107" s="61" t="s">
        <v>77</v>
      </c>
      <c r="I107" s="61" t="s">
        <v>78</v>
      </c>
      <c r="J107" s="62">
        <v>45044</v>
      </c>
      <c r="K107" s="62">
        <v>45072</v>
      </c>
      <c r="L107" s="62">
        <v>45076</v>
      </c>
      <c r="M107" s="62">
        <v>45077</v>
      </c>
      <c r="N107" s="62">
        <v>45083</v>
      </c>
      <c r="O107" s="61" t="s">
        <v>156</v>
      </c>
      <c r="P107" s="62" t="s">
        <v>156</v>
      </c>
      <c r="Q107" s="62"/>
      <c r="R107" s="62"/>
      <c r="S107" s="61"/>
      <c r="T107" s="61"/>
      <c r="U107" s="62"/>
      <c r="V107" s="62"/>
      <c r="W107" s="61"/>
      <c r="X107" s="61"/>
      <c r="Y107" s="61"/>
      <c r="Z107" s="61"/>
      <c r="AA107" s="61" t="str">
        <f t="shared" si="1"/>
        <v/>
      </c>
    </row>
    <row r="108" spans="1:27" s="63" customFormat="1" ht="15" customHeight="1" x14ac:dyDescent="0.25">
      <c r="A108" s="59" t="s">
        <v>400</v>
      </c>
      <c r="B108" s="60" t="s">
        <v>398</v>
      </c>
      <c r="C108" s="60" t="s">
        <v>401</v>
      </c>
      <c r="D108" s="61" t="s">
        <v>114</v>
      </c>
      <c r="E108" s="61" t="s">
        <v>74</v>
      </c>
      <c r="F108" s="61" t="s">
        <v>75</v>
      </c>
      <c r="G108" s="64" t="s">
        <v>76</v>
      </c>
      <c r="H108" s="61" t="s">
        <v>77</v>
      </c>
      <c r="I108" s="61" t="s">
        <v>82</v>
      </c>
      <c r="J108" s="62">
        <v>45044</v>
      </c>
      <c r="K108" s="62">
        <v>45072</v>
      </c>
      <c r="L108" s="62">
        <v>45076</v>
      </c>
      <c r="M108" s="62">
        <v>45083</v>
      </c>
      <c r="N108" s="62">
        <v>45083</v>
      </c>
      <c r="O108" s="61" t="s">
        <v>156</v>
      </c>
      <c r="P108" s="62" t="s">
        <v>156</v>
      </c>
      <c r="Q108" s="62"/>
      <c r="R108" s="62"/>
      <c r="S108" s="65"/>
      <c r="T108" s="65"/>
      <c r="U108" s="62"/>
      <c r="V108" s="62"/>
      <c r="W108" s="65"/>
      <c r="X108" s="65"/>
      <c r="Y108" s="61"/>
      <c r="Z108" s="61"/>
      <c r="AA108" s="61" t="str">
        <f t="shared" si="1"/>
        <v/>
      </c>
    </row>
    <row r="109" spans="1:27" ht="15" customHeight="1" x14ac:dyDescent="0.25">
      <c r="A109" s="31" t="s">
        <v>402</v>
      </c>
      <c r="B109" s="29" t="s">
        <v>115</v>
      </c>
      <c r="C109" s="29" t="s">
        <v>403</v>
      </c>
      <c r="D109" s="28" t="s">
        <v>99</v>
      </c>
      <c r="E109" s="28" t="s">
        <v>96</v>
      </c>
      <c r="F109" s="28" t="s">
        <v>75</v>
      </c>
      <c r="G109" s="28" t="s">
        <v>102</v>
      </c>
      <c r="H109" s="28" t="s">
        <v>84</v>
      </c>
      <c r="I109" s="28" t="s">
        <v>87</v>
      </c>
      <c r="J109" s="30">
        <v>45068</v>
      </c>
      <c r="K109" s="30">
        <v>45089</v>
      </c>
      <c r="L109" s="30">
        <v>45091</v>
      </c>
      <c r="M109" s="30">
        <v>45084</v>
      </c>
      <c r="N109" s="30">
        <v>45090</v>
      </c>
      <c r="O109" s="28" t="s">
        <v>157</v>
      </c>
      <c r="P109" s="30" t="s">
        <v>157</v>
      </c>
      <c r="AA109" s="28" t="str">
        <f t="shared" si="1"/>
        <v/>
      </c>
    </row>
    <row r="110" spans="1:27" ht="15" customHeight="1" x14ac:dyDescent="0.25">
      <c r="A110" s="31" t="s">
        <v>404</v>
      </c>
      <c r="B110" s="29" t="s">
        <v>405</v>
      </c>
      <c r="C110" s="29" t="s">
        <v>406</v>
      </c>
      <c r="D110" s="28" t="s">
        <v>88</v>
      </c>
      <c r="E110" s="28" t="s">
        <v>96</v>
      </c>
      <c r="F110" s="28" t="s">
        <v>75</v>
      </c>
      <c r="G110" s="54" t="s">
        <v>76</v>
      </c>
      <c r="H110" s="28" t="s">
        <v>93</v>
      </c>
      <c r="I110" s="28" t="s">
        <v>101</v>
      </c>
      <c r="J110" s="30">
        <v>45091</v>
      </c>
      <c r="K110" s="30">
        <v>45105</v>
      </c>
      <c r="L110" s="30">
        <v>45107</v>
      </c>
      <c r="M110" s="30">
        <v>45100</v>
      </c>
      <c r="N110" s="30">
        <v>45100</v>
      </c>
      <c r="O110" s="28" t="s">
        <v>157</v>
      </c>
      <c r="P110" s="30" t="s">
        <v>157</v>
      </c>
      <c r="S110" s="37"/>
      <c r="T110" s="37"/>
      <c r="W110" s="37"/>
      <c r="X110" s="37"/>
      <c r="AA110" s="28" t="str">
        <f t="shared" si="1"/>
        <v/>
      </c>
    </row>
    <row r="111" spans="1:27" s="63" customFormat="1" ht="15" customHeight="1" x14ac:dyDescent="0.25">
      <c r="A111" s="59" t="s">
        <v>407</v>
      </c>
      <c r="B111" s="60" t="s">
        <v>116</v>
      </c>
      <c r="C111" s="60" t="s">
        <v>408</v>
      </c>
      <c r="D111" s="61" t="s">
        <v>117</v>
      </c>
      <c r="E111" s="61" t="s">
        <v>96</v>
      </c>
      <c r="F111" s="61" t="s">
        <v>75</v>
      </c>
      <c r="G111" s="61" t="s">
        <v>76</v>
      </c>
      <c r="H111" s="61" t="s">
        <v>84</v>
      </c>
      <c r="I111" s="61" t="s">
        <v>82</v>
      </c>
      <c r="J111" s="62">
        <v>45068</v>
      </c>
      <c r="K111" s="62">
        <v>45089</v>
      </c>
      <c r="L111" s="62">
        <v>45091</v>
      </c>
      <c r="M111" s="62">
        <v>45091</v>
      </c>
      <c r="N111" s="62">
        <v>45096</v>
      </c>
      <c r="O111" s="61" t="s">
        <v>156</v>
      </c>
      <c r="P111" s="62" t="s">
        <v>156</v>
      </c>
      <c r="Q111" s="62"/>
      <c r="R111" s="62"/>
      <c r="S111" s="61"/>
      <c r="T111" s="61"/>
      <c r="U111" s="62"/>
      <c r="V111" s="62"/>
      <c r="W111" s="61"/>
      <c r="X111" s="61"/>
      <c r="Y111" s="61"/>
      <c r="Z111" s="61"/>
      <c r="AA111" s="61" t="str">
        <f t="shared" si="1"/>
        <v/>
      </c>
    </row>
    <row r="112" spans="1:27" s="63" customFormat="1" ht="15" customHeight="1" x14ac:dyDescent="0.25">
      <c r="A112" s="59" t="s">
        <v>409</v>
      </c>
      <c r="B112" s="60" t="s">
        <v>116</v>
      </c>
      <c r="C112" s="60" t="s">
        <v>410</v>
      </c>
      <c r="D112" s="61" t="s">
        <v>117</v>
      </c>
      <c r="E112" s="61" t="s">
        <v>96</v>
      </c>
      <c r="F112" s="61" t="s">
        <v>75</v>
      </c>
      <c r="G112" s="64" t="s">
        <v>76</v>
      </c>
      <c r="H112" s="61" t="s">
        <v>84</v>
      </c>
      <c r="I112" s="61" t="s">
        <v>82</v>
      </c>
      <c r="J112" s="62">
        <v>45068</v>
      </c>
      <c r="K112" s="62">
        <v>45089</v>
      </c>
      <c r="L112" s="62">
        <v>45091</v>
      </c>
      <c r="M112" s="62">
        <v>45091</v>
      </c>
      <c r="N112" s="62">
        <v>45096</v>
      </c>
      <c r="O112" s="61" t="s">
        <v>156</v>
      </c>
      <c r="P112" s="62" t="s">
        <v>156</v>
      </c>
      <c r="Q112" s="62"/>
      <c r="R112" s="62"/>
      <c r="S112" s="65"/>
      <c r="T112" s="65"/>
      <c r="U112" s="62"/>
      <c r="V112" s="62"/>
      <c r="W112" s="65"/>
      <c r="X112" s="65"/>
      <c r="Y112" s="61"/>
      <c r="Z112" s="61"/>
      <c r="AA112" s="61" t="str">
        <f t="shared" si="1"/>
        <v/>
      </c>
    </row>
    <row r="113" spans="1:27" ht="15" customHeight="1" x14ac:dyDescent="0.25">
      <c r="A113" s="31" t="s">
        <v>411</v>
      </c>
      <c r="B113" s="29" t="s">
        <v>412</v>
      </c>
      <c r="C113" s="29" t="s">
        <v>413</v>
      </c>
      <c r="D113" s="28" t="s">
        <v>88</v>
      </c>
      <c r="E113" s="28" t="s">
        <v>81</v>
      </c>
      <c r="F113" s="28" t="s">
        <v>75</v>
      </c>
      <c r="G113" s="28" t="s">
        <v>76</v>
      </c>
      <c r="H113" s="28" t="s">
        <v>93</v>
      </c>
      <c r="I113" s="28" t="s">
        <v>101</v>
      </c>
      <c r="J113" s="30">
        <v>45035</v>
      </c>
      <c r="K113" s="30">
        <v>45082</v>
      </c>
      <c r="L113" s="30">
        <v>45084</v>
      </c>
      <c r="M113" s="30">
        <v>45079</v>
      </c>
      <c r="N113" s="30">
        <v>45083</v>
      </c>
      <c r="O113" s="28" t="s">
        <v>157</v>
      </c>
      <c r="P113" s="30" t="s">
        <v>157</v>
      </c>
      <c r="AA113" s="28" t="str">
        <f t="shared" si="1"/>
        <v/>
      </c>
    </row>
    <row r="114" spans="1:27" ht="15" customHeight="1" x14ac:dyDescent="0.25">
      <c r="A114" s="31" t="s">
        <v>414</v>
      </c>
      <c r="B114" s="29" t="s">
        <v>412</v>
      </c>
      <c r="C114" s="29" t="s">
        <v>415</v>
      </c>
      <c r="D114" s="28" t="s">
        <v>88</v>
      </c>
      <c r="E114" s="28" t="s">
        <v>81</v>
      </c>
      <c r="F114" s="28" t="s">
        <v>75</v>
      </c>
      <c r="G114" s="54" t="s">
        <v>76</v>
      </c>
      <c r="H114" s="28" t="s">
        <v>93</v>
      </c>
      <c r="I114" s="28" t="s">
        <v>101</v>
      </c>
      <c r="J114" s="30">
        <v>45035</v>
      </c>
      <c r="K114" s="30">
        <v>45082</v>
      </c>
      <c r="L114" s="30">
        <v>45084</v>
      </c>
      <c r="M114" s="30">
        <v>45082</v>
      </c>
      <c r="N114" s="30">
        <v>45083</v>
      </c>
      <c r="O114" s="28" t="s">
        <v>157</v>
      </c>
      <c r="P114" s="30" t="s">
        <v>157</v>
      </c>
      <c r="S114" s="37"/>
      <c r="T114" s="37"/>
      <c r="W114" s="37"/>
      <c r="X114" s="37"/>
      <c r="AA114" s="28" t="str">
        <f t="shared" si="1"/>
        <v/>
      </c>
    </row>
    <row r="115" spans="1:27" ht="15" customHeight="1" x14ac:dyDescent="0.25">
      <c r="A115" s="31" t="s">
        <v>416</v>
      </c>
      <c r="B115" s="29" t="s">
        <v>118</v>
      </c>
      <c r="C115" s="29" t="s">
        <v>417</v>
      </c>
      <c r="D115" s="28" t="s">
        <v>418</v>
      </c>
      <c r="E115" s="28" t="s">
        <v>96</v>
      </c>
      <c r="F115" s="28" t="s">
        <v>75</v>
      </c>
      <c r="G115" s="28" t="s">
        <v>76</v>
      </c>
      <c r="H115" s="28" t="s">
        <v>92</v>
      </c>
      <c r="I115" s="28" t="s">
        <v>101</v>
      </c>
      <c r="J115" s="30">
        <v>45058</v>
      </c>
      <c r="K115" s="30">
        <v>45103</v>
      </c>
      <c r="L115" s="30">
        <v>45105</v>
      </c>
      <c r="M115" s="30">
        <v>45104</v>
      </c>
      <c r="N115" s="30">
        <v>45104</v>
      </c>
      <c r="O115" s="28" t="s">
        <v>156</v>
      </c>
      <c r="P115" s="30" t="s">
        <v>157</v>
      </c>
      <c r="AA115" s="28" t="str">
        <f t="shared" si="1"/>
        <v/>
      </c>
    </row>
    <row r="116" spans="1:27" ht="15" customHeight="1" x14ac:dyDescent="0.25">
      <c r="A116" s="31" t="s">
        <v>419</v>
      </c>
      <c r="B116" s="29" t="s">
        <v>118</v>
      </c>
      <c r="C116" s="29" t="s">
        <v>417</v>
      </c>
      <c r="D116" s="28" t="s">
        <v>88</v>
      </c>
      <c r="E116" s="28" t="s">
        <v>96</v>
      </c>
      <c r="F116" s="28" t="s">
        <v>75</v>
      </c>
      <c r="G116" s="54" t="s">
        <v>76</v>
      </c>
      <c r="H116" s="28" t="s">
        <v>93</v>
      </c>
      <c r="I116" s="28" t="s">
        <v>101</v>
      </c>
      <c r="J116" s="30">
        <v>45065</v>
      </c>
      <c r="K116" s="30">
        <v>45103</v>
      </c>
      <c r="L116" s="30">
        <v>45105</v>
      </c>
      <c r="M116" s="30">
        <v>45093</v>
      </c>
      <c r="N116" s="30">
        <v>45104</v>
      </c>
      <c r="O116" s="28" t="s">
        <v>157</v>
      </c>
      <c r="P116" s="30" t="s">
        <v>157</v>
      </c>
      <c r="S116" s="37"/>
      <c r="T116" s="37"/>
      <c r="W116" s="37"/>
      <c r="X116" s="37"/>
      <c r="AA116" s="28" t="str">
        <f t="shared" si="1"/>
        <v/>
      </c>
    </row>
    <row r="117" spans="1:27" ht="15" customHeight="1" x14ac:dyDescent="0.25">
      <c r="A117" s="31" t="s">
        <v>420</v>
      </c>
      <c r="B117" s="29" t="s">
        <v>421</v>
      </c>
      <c r="C117" s="29" t="s">
        <v>422</v>
      </c>
      <c r="D117" s="28" t="s">
        <v>423</v>
      </c>
      <c r="E117" s="28" t="s">
        <v>96</v>
      </c>
      <c r="F117" s="28" t="s">
        <v>75</v>
      </c>
      <c r="G117" s="28" t="s">
        <v>102</v>
      </c>
      <c r="H117" s="28" t="s">
        <v>93</v>
      </c>
      <c r="I117" s="28" t="s">
        <v>78</v>
      </c>
      <c r="J117" s="30">
        <v>45071</v>
      </c>
      <c r="K117" s="30">
        <v>45100</v>
      </c>
      <c r="L117" s="30">
        <v>45104</v>
      </c>
      <c r="M117" s="30">
        <v>45103</v>
      </c>
      <c r="N117" s="30">
        <v>45104</v>
      </c>
      <c r="O117" s="28" t="s">
        <v>156</v>
      </c>
      <c r="P117" s="30" t="s">
        <v>157</v>
      </c>
      <c r="AA117" s="28" t="str">
        <f t="shared" si="1"/>
        <v/>
      </c>
    </row>
    <row r="118" spans="1:27" ht="15" customHeight="1" x14ac:dyDescent="0.25">
      <c r="A118" s="31" t="s">
        <v>424</v>
      </c>
      <c r="B118" s="29" t="s">
        <v>107</v>
      </c>
      <c r="C118" s="29" t="s">
        <v>425</v>
      </c>
      <c r="D118" s="28" t="s">
        <v>426</v>
      </c>
      <c r="E118" s="28" t="s">
        <v>74</v>
      </c>
      <c r="F118" s="28" t="s">
        <v>75</v>
      </c>
      <c r="G118" s="54" t="s">
        <v>102</v>
      </c>
      <c r="H118" s="28" t="s">
        <v>84</v>
      </c>
      <c r="I118" s="28" t="s">
        <v>78</v>
      </c>
      <c r="J118" s="30">
        <v>45079</v>
      </c>
      <c r="K118" s="30">
        <v>45089</v>
      </c>
      <c r="L118" s="30">
        <v>45091</v>
      </c>
      <c r="M118" s="30">
        <v>45084</v>
      </c>
      <c r="N118" s="30">
        <v>45093</v>
      </c>
      <c r="O118" s="28" t="s">
        <v>157</v>
      </c>
      <c r="P118" s="30" t="s">
        <v>157</v>
      </c>
      <c r="S118" s="37"/>
      <c r="T118" s="37"/>
      <c r="W118" s="37"/>
      <c r="X118" s="37"/>
      <c r="AA118" s="28" t="str">
        <f t="shared" si="1"/>
        <v/>
      </c>
    </row>
    <row r="119" spans="1:27" s="63" customFormat="1" ht="15" customHeight="1" x14ac:dyDescent="0.25">
      <c r="A119" s="59" t="s">
        <v>427</v>
      </c>
      <c r="B119" s="60" t="s">
        <v>428</v>
      </c>
      <c r="C119" s="60" t="s">
        <v>429</v>
      </c>
      <c r="D119" s="61" t="s">
        <v>104</v>
      </c>
      <c r="E119" s="61" t="s">
        <v>96</v>
      </c>
      <c r="F119" s="61" t="s">
        <v>75</v>
      </c>
      <c r="G119" s="61" t="s">
        <v>76</v>
      </c>
      <c r="H119" s="61" t="s">
        <v>92</v>
      </c>
      <c r="I119" s="61" t="s">
        <v>94</v>
      </c>
      <c r="J119" s="62">
        <v>45068</v>
      </c>
      <c r="K119" s="62">
        <v>45082</v>
      </c>
      <c r="L119" s="62">
        <v>45084</v>
      </c>
      <c r="M119" s="62">
        <v>45104</v>
      </c>
      <c r="N119" s="62">
        <v>45105</v>
      </c>
      <c r="O119" s="61" t="s">
        <v>156</v>
      </c>
      <c r="P119" s="62" t="s">
        <v>156</v>
      </c>
      <c r="Q119" s="62"/>
      <c r="R119" s="62"/>
      <c r="S119" s="61"/>
      <c r="T119" s="61"/>
      <c r="U119" s="62"/>
      <c r="V119" s="62"/>
      <c r="W119" s="61"/>
      <c r="X119" s="61"/>
      <c r="Y119" s="61"/>
      <c r="Z119" s="61"/>
      <c r="AA119" s="61" t="str">
        <f t="shared" si="1"/>
        <v/>
      </c>
    </row>
    <row r="120" spans="1:27" ht="15" customHeight="1" x14ac:dyDescent="0.25">
      <c r="A120" s="31" t="s">
        <v>430</v>
      </c>
      <c r="B120" s="29" t="s">
        <v>431</v>
      </c>
      <c r="C120" s="29" t="s">
        <v>432</v>
      </c>
      <c r="D120" s="28" t="s">
        <v>433</v>
      </c>
      <c r="E120" s="28" t="s">
        <v>96</v>
      </c>
      <c r="F120" s="28" t="s">
        <v>75</v>
      </c>
      <c r="G120" s="54" t="s">
        <v>76</v>
      </c>
      <c r="H120" s="28" t="s">
        <v>84</v>
      </c>
      <c r="I120" s="28" t="s">
        <v>78</v>
      </c>
      <c r="J120" s="30">
        <v>45036</v>
      </c>
      <c r="K120" s="30">
        <v>45072</v>
      </c>
      <c r="L120" s="30">
        <v>45076</v>
      </c>
      <c r="M120" s="30">
        <v>45071</v>
      </c>
      <c r="N120" s="30">
        <v>45078</v>
      </c>
      <c r="O120" s="28" t="s">
        <v>157</v>
      </c>
      <c r="P120" s="30" t="s">
        <v>157</v>
      </c>
      <c r="S120" s="37"/>
      <c r="T120" s="37"/>
      <c r="W120" s="37"/>
      <c r="X120" s="37"/>
      <c r="AA120" s="28" t="str">
        <f t="shared" si="1"/>
        <v/>
      </c>
    </row>
    <row r="121" spans="1:27" s="63" customFormat="1" ht="15" customHeight="1" x14ac:dyDescent="0.25">
      <c r="A121" s="59" t="s">
        <v>434</v>
      </c>
      <c r="B121" s="60" t="s">
        <v>119</v>
      </c>
      <c r="C121" s="60" t="s">
        <v>435</v>
      </c>
      <c r="D121" s="61" t="s">
        <v>436</v>
      </c>
      <c r="E121" s="61" t="s">
        <v>86</v>
      </c>
      <c r="F121" s="61" t="s">
        <v>75</v>
      </c>
      <c r="G121" s="61" t="s">
        <v>76</v>
      </c>
      <c r="H121" s="61" t="s">
        <v>84</v>
      </c>
      <c r="I121" s="61" t="s">
        <v>100</v>
      </c>
      <c r="J121" s="62">
        <v>45044</v>
      </c>
      <c r="K121" s="62">
        <v>45076</v>
      </c>
      <c r="L121" s="62">
        <v>45078</v>
      </c>
      <c r="M121" s="62">
        <v>45097</v>
      </c>
      <c r="N121" s="62">
        <v>45098</v>
      </c>
      <c r="O121" s="61" t="s">
        <v>156</v>
      </c>
      <c r="P121" s="62" t="s">
        <v>156</v>
      </c>
      <c r="Q121" s="62"/>
      <c r="R121" s="62"/>
      <c r="S121" s="61"/>
      <c r="T121" s="61"/>
      <c r="U121" s="62"/>
      <c r="V121" s="62"/>
      <c r="W121" s="61"/>
      <c r="X121" s="61"/>
      <c r="Y121" s="61"/>
      <c r="Z121" s="61"/>
      <c r="AA121" s="61" t="str">
        <f t="shared" si="1"/>
        <v/>
      </c>
    </row>
    <row r="122" spans="1:27" s="63" customFormat="1" ht="15" customHeight="1" x14ac:dyDescent="0.25">
      <c r="A122" s="59" t="s">
        <v>434</v>
      </c>
      <c r="B122" s="60" t="s">
        <v>119</v>
      </c>
      <c r="C122" s="60" t="s">
        <v>435</v>
      </c>
      <c r="D122" s="61" t="s">
        <v>436</v>
      </c>
      <c r="E122" s="61" t="s">
        <v>86</v>
      </c>
      <c r="F122" s="61" t="s">
        <v>75</v>
      </c>
      <c r="G122" s="64" t="s">
        <v>76</v>
      </c>
      <c r="H122" s="61" t="s">
        <v>84</v>
      </c>
      <c r="I122" s="61" t="s">
        <v>94</v>
      </c>
      <c r="J122" s="62">
        <v>45044</v>
      </c>
      <c r="K122" s="62">
        <v>45076</v>
      </c>
      <c r="L122" s="62">
        <v>45078</v>
      </c>
      <c r="M122" s="62">
        <v>45082</v>
      </c>
      <c r="N122" s="62">
        <v>45098</v>
      </c>
      <c r="O122" s="61" t="s">
        <v>156</v>
      </c>
      <c r="P122" s="62" t="s">
        <v>156</v>
      </c>
      <c r="Q122" s="62"/>
      <c r="R122" s="62"/>
      <c r="S122" s="65"/>
      <c r="T122" s="65"/>
      <c r="U122" s="62"/>
      <c r="V122" s="62"/>
      <c r="W122" s="65"/>
      <c r="X122" s="65"/>
      <c r="Y122" s="61"/>
      <c r="Z122" s="61"/>
      <c r="AA122" s="61" t="str">
        <f t="shared" si="1"/>
        <v/>
      </c>
    </row>
    <row r="123" spans="1:27" s="63" customFormat="1" ht="15" customHeight="1" x14ac:dyDescent="0.25">
      <c r="A123" s="59" t="s">
        <v>437</v>
      </c>
      <c r="B123" s="60" t="s">
        <v>119</v>
      </c>
      <c r="C123" s="60" t="s">
        <v>438</v>
      </c>
      <c r="D123" s="61" t="s">
        <v>439</v>
      </c>
      <c r="E123" s="61" t="s">
        <v>86</v>
      </c>
      <c r="F123" s="61" t="s">
        <v>75</v>
      </c>
      <c r="G123" s="61" t="s">
        <v>76</v>
      </c>
      <c r="H123" s="61" t="s">
        <v>84</v>
      </c>
      <c r="I123" s="61" t="s">
        <v>100</v>
      </c>
      <c r="J123" s="62">
        <v>45044</v>
      </c>
      <c r="K123" s="62">
        <v>45076</v>
      </c>
      <c r="L123" s="62">
        <v>45078</v>
      </c>
      <c r="M123" s="62">
        <v>45072</v>
      </c>
      <c r="N123" s="62">
        <v>45098</v>
      </c>
      <c r="O123" s="61" t="s">
        <v>157</v>
      </c>
      <c r="P123" s="62" t="s">
        <v>156</v>
      </c>
      <c r="Q123" s="62"/>
      <c r="R123" s="62"/>
      <c r="S123" s="61"/>
      <c r="T123" s="61"/>
      <c r="U123" s="62"/>
      <c r="V123" s="62"/>
      <c r="W123" s="61"/>
      <c r="X123" s="61"/>
      <c r="Y123" s="61"/>
      <c r="Z123" s="61"/>
      <c r="AA123" s="61" t="str">
        <f t="shared" si="1"/>
        <v/>
      </c>
    </row>
    <row r="124" spans="1:27" s="63" customFormat="1" ht="15" customHeight="1" x14ac:dyDescent="0.25">
      <c r="A124" s="59" t="s">
        <v>440</v>
      </c>
      <c r="B124" s="60" t="s">
        <v>119</v>
      </c>
      <c r="C124" s="60" t="s">
        <v>441</v>
      </c>
      <c r="D124" s="61" t="s">
        <v>85</v>
      </c>
      <c r="E124" s="61" t="s">
        <v>86</v>
      </c>
      <c r="F124" s="61" t="s">
        <v>75</v>
      </c>
      <c r="G124" s="64" t="s">
        <v>76</v>
      </c>
      <c r="H124" s="61" t="s">
        <v>84</v>
      </c>
      <c r="I124" s="61" t="s">
        <v>100</v>
      </c>
      <c r="J124" s="62">
        <v>45043</v>
      </c>
      <c r="K124" s="62">
        <v>45076</v>
      </c>
      <c r="L124" s="62">
        <v>45078</v>
      </c>
      <c r="M124" s="62">
        <v>45096</v>
      </c>
      <c r="N124" s="62">
        <v>45100</v>
      </c>
      <c r="O124" s="61" t="s">
        <v>156</v>
      </c>
      <c r="P124" s="62" t="s">
        <v>156</v>
      </c>
      <c r="Q124" s="62"/>
      <c r="R124" s="62"/>
      <c r="S124" s="65"/>
      <c r="T124" s="65"/>
      <c r="U124" s="62"/>
      <c r="V124" s="62"/>
      <c r="W124" s="65"/>
      <c r="X124" s="65"/>
      <c r="Y124" s="61"/>
      <c r="Z124" s="61"/>
      <c r="AA124" s="61" t="str">
        <f t="shared" si="1"/>
        <v/>
      </c>
    </row>
    <row r="125" spans="1:27" s="63" customFormat="1" ht="15" customHeight="1" x14ac:dyDescent="0.25">
      <c r="A125" s="59" t="s">
        <v>440</v>
      </c>
      <c r="B125" s="60" t="s">
        <v>119</v>
      </c>
      <c r="C125" s="60" t="s">
        <v>441</v>
      </c>
      <c r="D125" s="61" t="s">
        <v>85</v>
      </c>
      <c r="E125" s="61" t="s">
        <v>86</v>
      </c>
      <c r="F125" s="61" t="s">
        <v>75</v>
      </c>
      <c r="G125" s="61" t="s">
        <v>76</v>
      </c>
      <c r="H125" s="61" t="s">
        <v>84</v>
      </c>
      <c r="I125" s="61" t="s">
        <v>94</v>
      </c>
      <c r="J125" s="62">
        <v>45043</v>
      </c>
      <c r="K125" s="62">
        <v>45076</v>
      </c>
      <c r="L125" s="62">
        <v>45078</v>
      </c>
      <c r="M125" s="62">
        <v>45075</v>
      </c>
      <c r="N125" s="62">
        <v>45100</v>
      </c>
      <c r="O125" s="61" t="s">
        <v>157</v>
      </c>
      <c r="P125" s="62" t="s">
        <v>156</v>
      </c>
      <c r="Q125" s="62"/>
      <c r="R125" s="62"/>
      <c r="S125" s="61"/>
      <c r="T125" s="61"/>
      <c r="U125" s="62"/>
      <c r="V125" s="62"/>
      <c r="W125" s="61"/>
      <c r="X125" s="61"/>
      <c r="Y125" s="61"/>
      <c r="Z125" s="61"/>
      <c r="AA125" s="61" t="str">
        <f t="shared" si="1"/>
        <v/>
      </c>
    </row>
    <row r="126" spans="1:27" s="63" customFormat="1" ht="15" customHeight="1" x14ac:dyDescent="0.25">
      <c r="A126" s="59" t="s">
        <v>442</v>
      </c>
      <c r="B126" s="60" t="s">
        <v>119</v>
      </c>
      <c r="C126" s="60" t="s">
        <v>443</v>
      </c>
      <c r="D126" s="61" t="s">
        <v>444</v>
      </c>
      <c r="E126" s="61" t="s">
        <v>86</v>
      </c>
      <c r="F126" s="61" t="s">
        <v>75</v>
      </c>
      <c r="G126" s="64" t="s">
        <v>76</v>
      </c>
      <c r="H126" s="61" t="s">
        <v>84</v>
      </c>
      <c r="I126" s="61" t="s">
        <v>100</v>
      </c>
      <c r="J126" s="62">
        <v>45043</v>
      </c>
      <c r="K126" s="62">
        <v>45076</v>
      </c>
      <c r="L126" s="62">
        <v>45078</v>
      </c>
      <c r="M126" s="62">
        <v>45068</v>
      </c>
      <c r="N126" s="62">
        <v>45100</v>
      </c>
      <c r="O126" s="61" t="s">
        <v>157</v>
      </c>
      <c r="P126" s="62" t="s">
        <v>156</v>
      </c>
      <c r="Q126" s="62"/>
      <c r="R126" s="62"/>
      <c r="S126" s="65"/>
      <c r="T126" s="65"/>
      <c r="U126" s="62"/>
      <c r="V126" s="62"/>
      <c r="W126" s="65"/>
      <c r="X126" s="65"/>
      <c r="Y126" s="61"/>
      <c r="Z126" s="61"/>
      <c r="AA126" s="61" t="str">
        <f t="shared" si="1"/>
        <v/>
      </c>
    </row>
    <row r="127" spans="1:27" ht="15" customHeight="1" x14ac:dyDescent="0.25">
      <c r="A127" s="31" t="s">
        <v>445</v>
      </c>
      <c r="B127" s="29" t="s">
        <v>446</v>
      </c>
      <c r="C127" s="29" t="s">
        <v>447</v>
      </c>
      <c r="D127" s="28" t="s">
        <v>448</v>
      </c>
      <c r="E127" s="28" t="s">
        <v>102</v>
      </c>
      <c r="F127" s="28" t="s">
        <v>75</v>
      </c>
      <c r="G127" s="28" t="s">
        <v>102</v>
      </c>
      <c r="H127" s="28" t="s">
        <v>77</v>
      </c>
      <c r="I127" s="28" t="s">
        <v>78</v>
      </c>
      <c r="J127" s="30">
        <v>45065</v>
      </c>
      <c r="K127" s="30">
        <v>45082</v>
      </c>
      <c r="L127" s="30">
        <v>45084</v>
      </c>
      <c r="M127" s="30">
        <v>45083</v>
      </c>
      <c r="N127" s="30">
        <v>45084</v>
      </c>
      <c r="O127" s="28" t="s">
        <v>156</v>
      </c>
      <c r="P127" s="30" t="s">
        <v>157</v>
      </c>
      <c r="AA127" s="28" t="str">
        <f t="shared" si="1"/>
        <v/>
      </c>
    </row>
    <row r="128" spans="1:27" ht="15" customHeight="1" x14ac:dyDescent="0.25">
      <c r="A128" s="31" t="s">
        <v>449</v>
      </c>
      <c r="B128" s="29" t="s">
        <v>450</v>
      </c>
      <c r="C128" s="29" t="s">
        <v>451</v>
      </c>
      <c r="D128" s="28" t="s">
        <v>452</v>
      </c>
      <c r="E128" s="28" t="s">
        <v>81</v>
      </c>
      <c r="F128" s="28" t="s">
        <v>75</v>
      </c>
      <c r="G128" s="54" t="s">
        <v>102</v>
      </c>
      <c r="H128" s="28" t="s">
        <v>93</v>
      </c>
      <c r="I128" s="28" t="s">
        <v>78</v>
      </c>
      <c r="J128" s="30">
        <v>45082</v>
      </c>
      <c r="K128" s="30">
        <v>45097</v>
      </c>
      <c r="L128" s="30">
        <v>45099</v>
      </c>
      <c r="M128" s="30">
        <v>45085</v>
      </c>
      <c r="N128" s="30">
        <v>45099</v>
      </c>
      <c r="O128" s="28" t="s">
        <v>157</v>
      </c>
      <c r="P128" s="30" t="s">
        <v>157</v>
      </c>
      <c r="S128" s="37"/>
      <c r="T128" s="37"/>
      <c r="W128" s="37"/>
      <c r="X128" s="37"/>
      <c r="AA128" s="28" t="str">
        <f t="shared" si="1"/>
        <v/>
      </c>
    </row>
    <row r="129" spans="1:27" ht="15" customHeight="1" x14ac:dyDescent="0.25">
      <c r="A129" s="31" t="s">
        <v>453</v>
      </c>
      <c r="B129" s="29" t="s">
        <v>450</v>
      </c>
      <c r="C129" s="29" t="s">
        <v>454</v>
      </c>
      <c r="D129" s="28" t="s">
        <v>452</v>
      </c>
      <c r="E129" s="28" t="s">
        <v>81</v>
      </c>
      <c r="F129" s="28" t="s">
        <v>75</v>
      </c>
      <c r="G129" s="28" t="s">
        <v>102</v>
      </c>
      <c r="H129" s="28" t="s">
        <v>93</v>
      </c>
      <c r="I129" s="28" t="s">
        <v>78</v>
      </c>
      <c r="J129" s="30">
        <v>45082</v>
      </c>
      <c r="K129" s="30">
        <v>45097</v>
      </c>
      <c r="L129" s="30">
        <v>45099</v>
      </c>
      <c r="M129" s="30">
        <v>45085</v>
      </c>
      <c r="N129" s="30">
        <v>45099</v>
      </c>
      <c r="O129" s="28" t="s">
        <v>157</v>
      </c>
      <c r="P129" s="30" t="s">
        <v>157</v>
      </c>
      <c r="AA129" s="28" t="str">
        <f t="shared" si="1"/>
        <v/>
      </c>
    </row>
    <row r="130" spans="1:27" ht="15" customHeight="1" x14ac:dyDescent="0.25">
      <c r="A130" s="31" t="s">
        <v>455</v>
      </c>
      <c r="B130" s="29" t="s">
        <v>450</v>
      </c>
      <c r="C130" s="29" t="s">
        <v>456</v>
      </c>
      <c r="D130" s="28" t="s">
        <v>452</v>
      </c>
      <c r="E130" s="28" t="s">
        <v>81</v>
      </c>
      <c r="F130" s="28" t="s">
        <v>75</v>
      </c>
      <c r="G130" s="54" t="s">
        <v>102</v>
      </c>
      <c r="H130" s="28" t="s">
        <v>93</v>
      </c>
      <c r="I130" s="28" t="s">
        <v>78</v>
      </c>
      <c r="J130" s="30">
        <v>45082</v>
      </c>
      <c r="K130" s="30">
        <v>45097</v>
      </c>
      <c r="L130" s="30">
        <v>45099</v>
      </c>
      <c r="M130" s="30">
        <v>45089</v>
      </c>
      <c r="N130" s="30">
        <v>45099</v>
      </c>
      <c r="O130" s="28" t="s">
        <v>157</v>
      </c>
      <c r="P130" s="30" t="s">
        <v>157</v>
      </c>
      <c r="S130" s="37"/>
      <c r="T130" s="37"/>
      <c r="W130" s="37"/>
      <c r="X130" s="37"/>
      <c r="AA130" s="28" t="str">
        <f t="shared" si="1"/>
        <v/>
      </c>
    </row>
    <row r="131" spans="1:27" ht="15" customHeight="1" x14ac:dyDescent="0.25">
      <c r="A131" s="31" t="s">
        <v>457</v>
      </c>
      <c r="B131" s="29" t="s">
        <v>458</v>
      </c>
      <c r="C131" s="29" t="s">
        <v>120</v>
      </c>
      <c r="D131" s="28" t="s">
        <v>121</v>
      </c>
      <c r="E131" s="28" t="s">
        <v>91</v>
      </c>
      <c r="F131" s="28" t="s">
        <v>75</v>
      </c>
      <c r="G131" s="28" t="s">
        <v>76</v>
      </c>
      <c r="H131" s="28" t="s">
        <v>77</v>
      </c>
      <c r="I131" s="28" t="s">
        <v>103</v>
      </c>
      <c r="J131" s="30">
        <v>45072</v>
      </c>
      <c r="K131" s="30">
        <v>45082</v>
      </c>
      <c r="L131" s="30">
        <v>45084</v>
      </c>
      <c r="M131" s="30">
        <v>45079</v>
      </c>
      <c r="N131" s="30">
        <v>45085</v>
      </c>
      <c r="O131" s="28" t="s">
        <v>157</v>
      </c>
      <c r="P131" s="30" t="s">
        <v>157</v>
      </c>
      <c r="AA131" s="28" t="str">
        <f t="shared" si="1"/>
        <v/>
      </c>
    </row>
    <row r="132" spans="1:27" ht="15" customHeight="1" x14ac:dyDescent="0.25">
      <c r="A132" s="31" t="s">
        <v>459</v>
      </c>
      <c r="B132" s="29" t="s">
        <v>460</v>
      </c>
      <c r="C132" s="29" t="s">
        <v>461</v>
      </c>
      <c r="D132" s="28" t="s">
        <v>379</v>
      </c>
      <c r="E132" s="28" t="s">
        <v>74</v>
      </c>
      <c r="F132" s="28" t="s">
        <v>75</v>
      </c>
      <c r="G132" s="54" t="s">
        <v>76</v>
      </c>
      <c r="H132" s="28" t="s">
        <v>77</v>
      </c>
      <c r="I132" s="28" t="s">
        <v>78</v>
      </c>
      <c r="J132" s="30">
        <v>45070</v>
      </c>
      <c r="K132" s="30">
        <v>45093</v>
      </c>
      <c r="L132" s="30">
        <v>45097</v>
      </c>
      <c r="M132" s="30">
        <v>45096</v>
      </c>
      <c r="N132" s="30">
        <v>45097</v>
      </c>
      <c r="O132" s="28" t="s">
        <v>156</v>
      </c>
      <c r="P132" s="30" t="s">
        <v>157</v>
      </c>
      <c r="S132" s="37"/>
      <c r="T132" s="37"/>
      <c r="W132" s="37"/>
      <c r="X132" s="37"/>
      <c r="AA132" s="28" t="str">
        <f t="shared" si="1"/>
        <v/>
      </c>
    </row>
    <row r="133" spans="1:27" ht="15" customHeight="1" x14ac:dyDescent="0.25">
      <c r="A133" s="31" t="s">
        <v>462</v>
      </c>
      <c r="B133" s="29" t="s">
        <v>463</v>
      </c>
      <c r="C133" s="29" t="s">
        <v>464</v>
      </c>
      <c r="D133" s="28" t="s">
        <v>465</v>
      </c>
      <c r="E133" s="28" t="s">
        <v>96</v>
      </c>
      <c r="F133" s="28" t="s">
        <v>75</v>
      </c>
      <c r="G133" s="28" t="s">
        <v>76</v>
      </c>
      <c r="H133" s="28" t="s">
        <v>84</v>
      </c>
      <c r="I133" s="28" t="s">
        <v>87</v>
      </c>
      <c r="J133" s="30">
        <v>45056</v>
      </c>
      <c r="K133" s="30">
        <v>45075</v>
      </c>
      <c r="L133" s="30">
        <v>45077</v>
      </c>
      <c r="M133" s="30">
        <v>45075</v>
      </c>
      <c r="N133" s="30">
        <v>45078</v>
      </c>
      <c r="O133" s="28" t="s">
        <v>157</v>
      </c>
      <c r="P133" s="30" t="s">
        <v>157</v>
      </c>
      <c r="AA133" s="28" t="str">
        <f t="shared" si="1"/>
        <v/>
      </c>
    </row>
    <row r="134" spans="1:27" ht="15" customHeight="1" x14ac:dyDescent="0.25">
      <c r="A134" s="31" t="s">
        <v>462</v>
      </c>
      <c r="B134" s="29" t="s">
        <v>463</v>
      </c>
      <c r="C134" s="29" t="s">
        <v>464</v>
      </c>
      <c r="D134" s="28" t="s">
        <v>465</v>
      </c>
      <c r="E134" s="28" t="s">
        <v>96</v>
      </c>
      <c r="F134" s="28" t="s">
        <v>75</v>
      </c>
      <c r="G134" s="54" t="s">
        <v>76</v>
      </c>
      <c r="H134" s="28" t="s">
        <v>84</v>
      </c>
      <c r="I134" s="28" t="s">
        <v>82</v>
      </c>
      <c r="J134" s="30">
        <v>45056</v>
      </c>
      <c r="K134" s="30">
        <v>45075</v>
      </c>
      <c r="L134" s="30">
        <v>45077</v>
      </c>
      <c r="M134" s="30">
        <v>45077</v>
      </c>
      <c r="N134" s="30">
        <v>45078</v>
      </c>
      <c r="O134" s="28" t="s">
        <v>156</v>
      </c>
      <c r="P134" s="30" t="s">
        <v>157</v>
      </c>
      <c r="S134" s="37"/>
      <c r="T134" s="37"/>
      <c r="W134" s="37"/>
      <c r="X134" s="37"/>
      <c r="AA134" s="28" t="str">
        <f t="shared" si="1"/>
        <v/>
      </c>
    </row>
    <row r="135" spans="1:27" ht="15" customHeight="1" x14ac:dyDescent="0.25">
      <c r="A135" s="31" t="s">
        <v>466</v>
      </c>
      <c r="B135" s="29" t="s">
        <v>463</v>
      </c>
      <c r="C135" s="29" t="s">
        <v>467</v>
      </c>
      <c r="D135" s="28" t="s">
        <v>465</v>
      </c>
      <c r="E135" s="28" t="s">
        <v>96</v>
      </c>
      <c r="F135" s="28" t="s">
        <v>75</v>
      </c>
      <c r="G135" s="28" t="s">
        <v>76</v>
      </c>
      <c r="H135" s="28" t="s">
        <v>84</v>
      </c>
      <c r="I135" s="28" t="s">
        <v>87</v>
      </c>
      <c r="J135" s="30">
        <v>45056</v>
      </c>
      <c r="K135" s="30">
        <v>45075</v>
      </c>
      <c r="L135" s="30">
        <v>45077</v>
      </c>
      <c r="M135" s="30">
        <v>45075</v>
      </c>
      <c r="N135" s="30">
        <v>45078</v>
      </c>
      <c r="O135" s="28" t="s">
        <v>157</v>
      </c>
      <c r="P135" s="30" t="s">
        <v>157</v>
      </c>
      <c r="AA135" s="28" t="str">
        <f t="shared" si="1"/>
        <v/>
      </c>
    </row>
    <row r="136" spans="1:27" ht="15" customHeight="1" x14ac:dyDescent="0.25">
      <c r="A136" s="31" t="s">
        <v>466</v>
      </c>
      <c r="B136" s="29" t="s">
        <v>463</v>
      </c>
      <c r="C136" s="29" t="s">
        <v>467</v>
      </c>
      <c r="D136" s="28" t="s">
        <v>465</v>
      </c>
      <c r="E136" s="28" t="s">
        <v>96</v>
      </c>
      <c r="F136" s="28" t="s">
        <v>75</v>
      </c>
      <c r="G136" s="54" t="s">
        <v>76</v>
      </c>
      <c r="H136" s="28" t="s">
        <v>84</v>
      </c>
      <c r="I136" s="28" t="s">
        <v>82</v>
      </c>
      <c r="J136" s="30">
        <v>45056</v>
      </c>
      <c r="K136" s="30">
        <v>45075</v>
      </c>
      <c r="L136" s="30">
        <v>45077</v>
      </c>
      <c r="M136" s="30">
        <v>45076</v>
      </c>
      <c r="N136" s="30">
        <v>45078</v>
      </c>
      <c r="O136" s="28" t="s">
        <v>156</v>
      </c>
      <c r="P136" s="30" t="s">
        <v>157</v>
      </c>
      <c r="S136" s="37"/>
      <c r="T136" s="37"/>
      <c r="W136" s="37"/>
      <c r="X136" s="37"/>
      <c r="AA136" s="28" t="str">
        <f t="shared" ref="AA136:AA199" si="2">IFERROR(
IF(AND(X136="Não",Y136="Sim"),"REP",
IF(AND(X136="Sim",Y136="Não"),"Técnico",
IF(AND(X136="Sim",Y136="Sim"),"Ambos",""))),
"")</f>
        <v/>
      </c>
    </row>
    <row r="137" spans="1:27" s="63" customFormat="1" ht="15" customHeight="1" x14ac:dyDescent="0.25">
      <c r="A137" s="59" t="s">
        <v>468</v>
      </c>
      <c r="B137" s="60" t="s">
        <v>463</v>
      </c>
      <c r="C137" s="60" t="s">
        <v>469</v>
      </c>
      <c r="D137" s="61" t="s">
        <v>105</v>
      </c>
      <c r="E137" s="61" t="s">
        <v>96</v>
      </c>
      <c r="F137" s="61" t="s">
        <v>75</v>
      </c>
      <c r="G137" s="61" t="s">
        <v>76</v>
      </c>
      <c r="H137" s="61" t="s">
        <v>84</v>
      </c>
      <c r="I137" s="61" t="s">
        <v>82</v>
      </c>
      <c r="J137" s="62">
        <v>45056</v>
      </c>
      <c r="K137" s="62">
        <v>45071</v>
      </c>
      <c r="L137" s="62">
        <v>45072</v>
      </c>
      <c r="M137" s="62">
        <v>45076</v>
      </c>
      <c r="N137" s="62">
        <v>45084</v>
      </c>
      <c r="O137" s="61" t="s">
        <v>156</v>
      </c>
      <c r="P137" s="62" t="s">
        <v>156</v>
      </c>
      <c r="Q137" s="62"/>
      <c r="R137" s="62"/>
      <c r="S137" s="61"/>
      <c r="T137" s="61"/>
      <c r="U137" s="62"/>
      <c r="V137" s="62"/>
      <c r="W137" s="61"/>
      <c r="X137" s="61"/>
      <c r="Y137" s="61"/>
      <c r="Z137" s="61"/>
      <c r="AA137" s="61" t="str">
        <f t="shared" si="2"/>
        <v/>
      </c>
    </row>
    <row r="138" spans="1:27" s="63" customFormat="1" ht="15" customHeight="1" x14ac:dyDescent="0.25">
      <c r="A138" s="59" t="s">
        <v>468</v>
      </c>
      <c r="B138" s="60" t="s">
        <v>463</v>
      </c>
      <c r="C138" s="60" t="s">
        <v>469</v>
      </c>
      <c r="D138" s="61" t="s">
        <v>105</v>
      </c>
      <c r="E138" s="61" t="s">
        <v>96</v>
      </c>
      <c r="F138" s="61" t="s">
        <v>75</v>
      </c>
      <c r="G138" s="64" t="s">
        <v>76</v>
      </c>
      <c r="H138" s="61" t="s">
        <v>84</v>
      </c>
      <c r="I138" s="61" t="s">
        <v>87</v>
      </c>
      <c r="J138" s="62">
        <v>45056</v>
      </c>
      <c r="K138" s="62">
        <v>45075</v>
      </c>
      <c r="L138" s="62">
        <v>45077</v>
      </c>
      <c r="M138" s="62">
        <v>45075</v>
      </c>
      <c r="N138" s="62">
        <v>45084</v>
      </c>
      <c r="O138" s="61" t="s">
        <v>157</v>
      </c>
      <c r="P138" s="62" t="s">
        <v>156</v>
      </c>
      <c r="Q138" s="62"/>
      <c r="R138" s="62"/>
      <c r="S138" s="65"/>
      <c r="T138" s="65"/>
      <c r="U138" s="62"/>
      <c r="V138" s="62"/>
      <c r="W138" s="65"/>
      <c r="X138" s="65"/>
      <c r="Y138" s="61"/>
      <c r="Z138" s="61"/>
      <c r="AA138" s="61" t="str">
        <f t="shared" si="2"/>
        <v/>
      </c>
    </row>
    <row r="139" spans="1:27" ht="15" customHeight="1" x14ac:dyDescent="0.25">
      <c r="A139" s="31" t="s">
        <v>470</v>
      </c>
      <c r="B139" s="29" t="s">
        <v>463</v>
      </c>
      <c r="C139" s="29" t="s">
        <v>471</v>
      </c>
      <c r="D139" s="28" t="s">
        <v>472</v>
      </c>
      <c r="E139" s="28" t="s">
        <v>96</v>
      </c>
      <c r="F139" s="28" t="s">
        <v>75</v>
      </c>
      <c r="G139" s="28" t="s">
        <v>76</v>
      </c>
      <c r="H139" s="28" t="s">
        <v>84</v>
      </c>
      <c r="I139" s="28" t="s">
        <v>87</v>
      </c>
      <c r="J139" s="30">
        <v>45056</v>
      </c>
      <c r="K139" s="30">
        <v>45075</v>
      </c>
      <c r="L139" s="30">
        <v>45077</v>
      </c>
      <c r="M139" s="30">
        <v>45077</v>
      </c>
      <c r="N139" s="30">
        <v>45078</v>
      </c>
      <c r="O139" s="28" t="s">
        <v>156</v>
      </c>
      <c r="P139" s="30" t="s">
        <v>157</v>
      </c>
      <c r="AA139" s="28" t="str">
        <f t="shared" si="2"/>
        <v/>
      </c>
    </row>
    <row r="140" spans="1:27" ht="15" customHeight="1" x14ac:dyDescent="0.25">
      <c r="A140" s="31" t="s">
        <v>473</v>
      </c>
      <c r="B140" s="29" t="s">
        <v>463</v>
      </c>
      <c r="C140" s="29" t="s">
        <v>474</v>
      </c>
      <c r="D140" s="28" t="s">
        <v>465</v>
      </c>
      <c r="E140" s="28" t="s">
        <v>96</v>
      </c>
      <c r="F140" s="28" t="s">
        <v>75</v>
      </c>
      <c r="G140" s="28" t="s">
        <v>76</v>
      </c>
      <c r="H140" s="28" t="s">
        <v>84</v>
      </c>
      <c r="I140" s="28" t="s">
        <v>87</v>
      </c>
      <c r="J140" s="30">
        <v>45056</v>
      </c>
      <c r="K140" s="30">
        <v>45075</v>
      </c>
      <c r="L140" s="30">
        <v>45077</v>
      </c>
      <c r="M140" s="30">
        <v>45077</v>
      </c>
      <c r="N140" s="30">
        <v>45078</v>
      </c>
      <c r="O140" s="28" t="s">
        <v>156</v>
      </c>
      <c r="P140" s="30" t="s">
        <v>157</v>
      </c>
      <c r="S140" s="37"/>
      <c r="T140" s="37"/>
      <c r="W140" s="37"/>
      <c r="X140" s="37"/>
      <c r="AA140" s="28" t="str">
        <f t="shared" si="2"/>
        <v/>
      </c>
    </row>
    <row r="141" spans="1:27" s="63" customFormat="1" ht="15" customHeight="1" x14ac:dyDescent="0.25">
      <c r="A141" s="59" t="s">
        <v>475</v>
      </c>
      <c r="B141" s="60" t="s">
        <v>463</v>
      </c>
      <c r="C141" s="60" t="s">
        <v>476</v>
      </c>
      <c r="D141" s="61" t="s">
        <v>105</v>
      </c>
      <c r="E141" s="61" t="s">
        <v>96</v>
      </c>
      <c r="F141" s="61" t="s">
        <v>75</v>
      </c>
      <c r="G141" s="64" t="s">
        <v>76</v>
      </c>
      <c r="H141" s="61" t="s">
        <v>93</v>
      </c>
      <c r="I141" s="61" t="s">
        <v>87</v>
      </c>
      <c r="J141" s="62">
        <v>45056</v>
      </c>
      <c r="K141" s="62">
        <v>45075</v>
      </c>
      <c r="L141" s="62">
        <v>45077</v>
      </c>
      <c r="M141" s="62">
        <v>45077</v>
      </c>
      <c r="N141" s="62">
        <v>45083</v>
      </c>
      <c r="O141" s="61" t="s">
        <v>156</v>
      </c>
      <c r="P141" s="62" t="s">
        <v>156</v>
      </c>
      <c r="Q141" s="62"/>
      <c r="R141" s="62"/>
      <c r="S141" s="65"/>
      <c r="T141" s="65"/>
      <c r="U141" s="62"/>
      <c r="V141" s="62"/>
      <c r="W141" s="65"/>
      <c r="X141" s="65"/>
      <c r="Y141" s="61"/>
      <c r="Z141" s="61"/>
      <c r="AA141" s="61" t="str">
        <f t="shared" si="2"/>
        <v/>
      </c>
    </row>
    <row r="142" spans="1:27" ht="15" customHeight="1" x14ac:dyDescent="0.25">
      <c r="A142" s="31" t="s">
        <v>477</v>
      </c>
      <c r="B142" s="29" t="s">
        <v>463</v>
      </c>
      <c r="C142" s="29" t="s">
        <v>478</v>
      </c>
      <c r="D142" s="28" t="s">
        <v>465</v>
      </c>
      <c r="E142" s="28" t="s">
        <v>96</v>
      </c>
      <c r="F142" s="28" t="s">
        <v>75</v>
      </c>
      <c r="G142" s="28" t="s">
        <v>76</v>
      </c>
      <c r="H142" s="28" t="s">
        <v>84</v>
      </c>
      <c r="I142" s="28" t="s">
        <v>87</v>
      </c>
      <c r="J142" s="30">
        <v>45056</v>
      </c>
      <c r="K142" s="30">
        <v>45075</v>
      </c>
      <c r="L142" s="30">
        <v>45077</v>
      </c>
      <c r="M142" s="30">
        <v>45075</v>
      </c>
      <c r="N142" s="30">
        <v>45078</v>
      </c>
      <c r="O142" s="28" t="s">
        <v>157</v>
      </c>
      <c r="P142" s="30" t="s">
        <v>157</v>
      </c>
      <c r="AA142" s="28" t="str">
        <f t="shared" si="2"/>
        <v/>
      </c>
    </row>
    <row r="143" spans="1:27" s="63" customFormat="1" ht="15" customHeight="1" x14ac:dyDescent="0.25">
      <c r="A143" s="59" t="s">
        <v>479</v>
      </c>
      <c r="B143" s="60" t="s">
        <v>480</v>
      </c>
      <c r="C143" s="60" t="s">
        <v>481</v>
      </c>
      <c r="D143" s="61" t="s">
        <v>482</v>
      </c>
      <c r="E143" s="61" t="s">
        <v>74</v>
      </c>
      <c r="F143" s="61" t="s">
        <v>75</v>
      </c>
      <c r="G143" s="64" t="s">
        <v>74</v>
      </c>
      <c r="H143" s="61" t="s">
        <v>93</v>
      </c>
      <c r="I143" s="61" t="s">
        <v>94</v>
      </c>
      <c r="J143" s="62">
        <v>45070</v>
      </c>
      <c r="K143" s="62">
        <v>45091</v>
      </c>
      <c r="L143" s="62">
        <v>45093</v>
      </c>
      <c r="M143" s="62">
        <v>45096</v>
      </c>
      <c r="N143" s="62">
        <v>45097</v>
      </c>
      <c r="O143" s="61" t="s">
        <v>156</v>
      </c>
      <c r="P143" s="62" t="s">
        <v>156</v>
      </c>
      <c r="Q143" s="62"/>
      <c r="R143" s="62"/>
      <c r="S143" s="65"/>
      <c r="T143" s="65"/>
      <c r="U143" s="62"/>
      <c r="V143" s="62"/>
      <c r="W143" s="65"/>
      <c r="X143" s="65"/>
      <c r="Y143" s="61"/>
      <c r="Z143" s="61"/>
      <c r="AA143" s="61" t="str">
        <f t="shared" si="2"/>
        <v/>
      </c>
    </row>
    <row r="144" spans="1:27" s="63" customFormat="1" ht="15" customHeight="1" x14ac:dyDescent="0.25">
      <c r="A144" s="59" t="s">
        <v>483</v>
      </c>
      <c r="B144" s="60" t="s">
        <v>484</v>
      </c>
      <c r="C144" s="60" t="s">
        <v>485</v>
      </c>
      <c r="D144" s="61" t="s">
        <v>482</v>
      </c>
      <c r="E144" s="61" t="s">
        <v>74</v>
      </c>
      <c r="F144" s="61" t="s">
        <v>75</v>
      </c>
      <c r="G144" s="61" t="s">
        <v>74</v>
      </c>
      <c r="H144" s="61" t="s">
        <v>93</v>
      </c>
      <c r="I144" s="61" t="s">
        <v>94</v>
      </c>
      <c r="J144" s="62">
        <v>45070</v>
      </c>
      <c r="K144" s="62">
        <v>45091</v>
      </c>
      <c r="L144" s="62">
        <v>45093</v>
      </c>
      <c r="M144" s="62">
        <v>45096</v>
      </c>
      <c r="N144" s="62">
        <v>45097</v>
      </c>
      <c r="O144" s="61" t="s">
        <v>156</v>
      </c>
      <c r="P144" s="62" t="s">
        <v>156</v>
      </c>
      <c r="Q144" s="62"/>
      <c r="R144" s="62"/>
      <c r="S144" s="61"/>
      <c r="T144" s="61"/>
      <c r="U144" s="62"/>
      <c r="V144" s="62"/>
      <c r="W144" s="61"/>
      <c r="X144" s="61"/>
      <c r="Y144" s="61"/>
      <c r="Z144" s="61"/>
      <c r="AA144" s="61" t="str">
        <f t="shared" si="2"/>
        <v/>
      </c>
    </row>
    <row r="145" spans="1:27" s="63" customFormat="1" ht="15" customHeight="1" x14ac:dyDescent="0.25">
      <c r="A145" s="59" t="s">
        <v>486</v>
      </c>
      <c r="B145" s="60" t="s">
        <v>487</v>
      </c>
      <c r="C145" s="60" t="s">
        <v>488</v>
      </c>
      <c r="D145" s="61" t="s">
        <v>482</v>
      </c>
      <c r="E145" s="61" t="s">
        <v>74</v>
      </c>
      <c r="F145" s="61" t="s">
        <v>75</v>
      </c>
      <c r="G145" s="64" t="s">
        <v>74</v>
      </c>
      <c r="H145" s="61" t="s">
        <v>92</v>
      </c>
      <c r="I145" s="61" t="s">
        <v>94</v>
      </c>
      <c r="J145" s="62">
        <v>45070</v>
      </c>
      <c r="K145" s="62">
        <v>45091</v>
      </c>
      <c r="L145" s="62">
        <v>45093</v>
      </c>
      <c r="M145" s="62">
        <v>45096</v>
      </c>
      <c r="N145" s="62">
        <v>45097</v>
      </c>
      <c r="O145" s="61" t="s">
        <v>156</v>
      </c>
      <c r="P145" s="62" t="s">
        <v>156</v>
      </c>
      <c r="Q145" s="62"/>
      <c r="R145" s="62"/>
      <c r="S145" s="65"/>
      <c r="T145" s="65"/>
      <c r="U145" s="62"/>
      <c r="V145" s="62"/>
      <c r="W145" s="65"/>
      <c r="X145" s="65"/>
      <c r="Y145" s="61"/>
      <c r="Z145" s="61"/>
      <c r="AA145" s="61" t="str">
        <f t="shared" si="2"/>
        <v/>
      </c>
    </row>
    <row r="146" spans="1:27" s="63" customFormat="1" ht="15" customHeight="1" x14ac:dyDescent="0.25">
      <c r="A146" s="59" t="s">
        <v>489</v>
      </c>
      <c r="B146" s="60" t="s">
        <v>490</v>
      </c>
      <c r="C146" s="60" t="s">
        <v>491</v>
      </c>
      <c r="D146" s="61" t="s">
        <v>122</v>
      </c>
      <c r="E146" s="61" t="s">
        <v>81</v>
      </c>
      <c r="F146" s="61" t="s">
        <v>75</v>
      </c>
      <c r="G146" s="61" t="s">
        <v>81</v>
      </c>
      <c r="H146" s="61" t="s">
        <v>77</v>
      </c>
      <c r="I146" s="61" t="s">
        <v>78</v>
      </c>
      <c r="J146" s="62">
        <v>45044</v>
      </c>
      <c r="K146" s="62">
        <v>45076</v>
      </c>
      <c r="L146" s="62">
        <v>45078</v>
      </c>
      <c r="M146" s="62">
        <v>45079</v>
      </c>
      <c r="N146" s="62">
        <v>45089</v>
      </c>
      <c r="O146" s="61" t="s">
        <v>156</v>
      </c>
      <c r="P146" s="62" t="s">
        <v>156</v>
      </c>
      <c r="Q146" s="62"/>
      <c r="R146" s="62"/>
      <c r="S146" s="61"/>
      <c r="T146" s="61"/>
      <c r="U146" s="62"/>
      <c r="V146" s="62"/>
      <c r="W146" s="61"/>
      <c r="X146" s="61"/>
      <c r="Y146" s="61"/>
      <c r="Z146" s="61"/>
      <c r="AA146" s="61" t="str">
        <f t="shared" si="2"/>
        <v/>
      </c>
    </row>
    <row r="147" spans="1:27" s="63" customFormat="1" ht="15" customHeight="1" x14ac:dyDescent="0.25">
      <c r="A147" s="59" t="s">
        <v>489</v>
      </c>
      <c r="B147" s="60" t="s">
        <v>490</v>
      </c>
      <c r="C147" s="60" t="s">
        <v>491</v>
      </c>
      <c r="D147" s="61" t="s">
        <v>122</v>
      </c>
      <c r="E147" s="61" t="s">
        <v>81</v>
      </c>
      <c r="F147" s="61" t="s">
        <v>75</v>
      </c>
      <c r="G147" s="64" t="s">
        <v>81</v>
      </c>
      <c r="H147" s="61" t="s">
        <v>77</v>
      </c>
      <c r="I147" s="61" t="s">
        <v>82</v>
      </c>
      <c r="J147" s="62">
        <v>45044</v>
      </c>
      <c r="K147" s="62">
        <v>45076</v>
      </c>
      <c r="L147" s="62">
        <v>45078</v>
      </c>
      <c r="M147" s="62">
        <v>45079</v>
      </c>
      <c r="N147" s="62">
        <v>45089</v>
      </c>
      <c r="O147" s="61" t="s">
        <v>156</v>
      </c>
      <c r="P147" s="62" t="s">
        <v>156</v>
      </c>
      <c r="Q147" s="62"/>
      <c r="R147" s="62"/>
      <c r="S147" s="65"/>
      <c r="T147" s="65"/>
      <c r="U147" s="62"/>
      <c r="V147" s="62"/>
      <c r="W147" s="65"/>
      <c r="X147" s="65"/>
      <c r="Y147" s="61"/>
      <c r="Z147" s="61"/>
      <c r="AA147" s="61" t="str">
        <f t="shared" si="2"/>
        <v/>
      </c>
    </row>
    <row r="148" spans="1:27" ht="15" customHeight="1" x14ac:dyDescent="0.25">
      <c r="A148" s="31" t="s">
        <v>492</v>
      </c>
      <c r="B148" s="29" t="s">
        <v>493</v>
      </c>
      <c r="C148" s="29" t="s">
        <v>494</v>
      </c>
      <c r="D148" s="28" t="s">
        <v>88</v>
      </c>
      <c r="E148" s="28" t="s">
        <v>96</v>
      </c>
      <c r="F148" s="28" t="s">
        <v>75</v>
      </c>
      <c r="G148" s="28" t="s">
        <v>76</v>
      </c>
      <c r="H148" s="28" t="s">
        <v>93</v>
      </c>
      <c r="I148" s="28" t="s">
        <v>101</v>
      </c>
      <c r="J148" s="30">
        <v>45055</v>
      </c>
      <c r="K148" s="30">
        <v>45103</v>
      </c>
      <c r="L148" s="30">
        <v>45105</v>
      </c>
      <c r="M148" s="30">
        <v>45097</v>
      </c>
      <c r="N148" s="30">
        <v>45098</v>
      </c>
      <c r="O148" s="28" t="s">
        <v>157</v>
      </c>
      <c r="P148" s="30" t="s">
        <v>157</v>
      </c>
      <c r="AA148" s="28" t="str">
        <f t="shared" si="2"/>
        <v/>
      </c>
    </row>
    <row r="149" spans="1:27" s="63" customFormat="1" ht="15" customHeight="1" x14ac:dyDescent="0.25">
      <c r="A149" s="59" t="s">
        <v>495</v>
      </c>
      <c r="B149" s="60" t="s">
        <v>496</v>
      </c>
      <c r="C149" s="60" t="s">
        <v>491</v>
      </c>
      <c r="D149" s="61" t="s">
        <v>122</v>
      </c>
      <c r="E149" s="61" t="s">
        <v>81</v>
      </c>
      <c r="F149" s="61" t="s">
        <v>75</v>
      </c>
      <c r="G149" s="64" t="s">
        <v>81</v>
      </c>
      <c r="H149" s="61" t="s">
        <v>77</v>
      </c>
      <c r="I149" s="61" t="s">
        <v>82</v>
      </c>
      <c r="J149" s="62">
        <v>45044</v>
      </c>
      <c r="K149" s="62">
        <v>45076</v>
      </c>
      <c r="L149" s="62">
        <v>45078</v>
      </c>
      <c r="M149" s="62">
        <v>45079</v>
      </c>
      <c r="N149" s="62">
        <v>45089</v>
      </c>
      <c r="O149" s="61" t="s">
        <v>156</v>
      </c>
      <c r="P149" s="62" t="s">
        <v>156</v>
      </c>
      <c r="Q149" s="62"/>
      <c r="R149" s="62"/>
      <c r="S149" s="65"/>
      <c r="T149" s="65"/>
      <c r="U149" s="62"/>
      <c r="V149" s="62"/>
      <c r="W149" s="65"/>
      <c r="X149" s="65"/>
      <c r="Y149" s="61"/>
      <c r="Z149" s="61"/>
      <c r="AA149" s="61" t="str">
        <f t="shared" si="2"/>
        <v/>
      </c>
    </row>
    <row r="150" spans="1:27" s="63" customFormat="1" ht="15" customHeight="1" x14ac:dyDescent="0.25">
      <c r="A150" s="59" t="s">
        <v>495</v>
      </c>
      <c r="B150" s="60" t="s">
        <v>496</v>
      </c>
      <c r="C150" s="60" t="s">
        <v>491</v>
      </c>
      <c r="D150" s="61" t="s">
        <v>122</v>
      </c>
      <c r="E150" s="61" t="s">
        <v>81</v>
      </c>
      <c r="F150" s="61" t="s">
        <v>75</v>
      </c>
      <c r="G150" s="61" t="s">
        <v>81</v>
      </c>
      <c r="H150" s="61" t="s">
        <v>77</v>
      </c>
      <c r="I150" s="61" t="s">
        <v>78</v>
      </c>
      <c r="J150" s="62">
        <v>45044</v>
      </c>
      <c r="K150" s="62">
        <v>45076</v>
      </c>
      <c r="L150" s="62">
        <v>45078</v>
      </c>
      <c r="M150" s="62">
        <v>45089</v>
      </c>
      <c r="N150" s="62">
        <v>45089</v>
      </c>
      <c r="O150" s="61" t="s">
        <v>156</v>
      </c>
      <c r="P150" s="62" t="s">
        <v>156</v>
      </c>
      <c r="Q150" s="62"/>
      <c r="R150" s="62"/>
      <c r="S150" s="61"/>
      <c r="T150" s="61"/>
      <c r="U150" s="62"/>
      <c r="V150" s="62"/>
      <c r="W150" s="61"/>
      <c r="X150" s="61"/>
      <c r="Y150" s="61"/>
      <c r="Z150" s="61"/>
      <c r="AA150" s="61" t="str">
        <f t="shared" si="2"/>
        <v/>
      </c>
    </row>
    <row r="151" spans="1:27" ht="15" customHeight="1" x14ac:dyDescent="0.25">
      <c r="A151" s="31" t="s">
        <v>497</v>
      </c>
      <c r="B151" s="29" t="s">
        <v>116</v>
      </c>
      <c r="C151" s="29" t="s">
        <v>498</v>
      </c>
      <c r="D151" s="28" t="s">
        <v>323</v>
      </c>
      <c r="E151" s="28" t="s">
        <v>96</v>
      </c>
      <c r="F151" s="28" t="s">
        <v>75</v>
      </c>
      <c r="G151" s="54" t="s">
        <v>76</v>
      </c>
      <c r="H151" s="28" t="s">
        <v>92</v>
      </c>
      <c r="I151" s="28" t="s">
        <v>87</v>
      </c>
      <c r="J151" s="30">
        <v>45068</v>
      </c>
      <c r="K151" s="30">
        <v>45091</v>
      </c>
      <c r="L151" s="30">
        <v>45093</v>
      </c>
      <c r="M151" s="30">
        <v>45091</v>
      </c>
      <c r="N151" s="30">
        <v>45093</v>
      </c>
      <c r="O151" s="28" t="s">
        <v>157</v>
      </c>
      <c r="P151" s="30" t="s">
        <v>157</v>
      </c>
      <c r="S151" s="37"/>
      <c r="T151" s="37"/>
      <c r="W151" s="37"/>
      <c r="X151" s="37"/>
      <c r="AA151" s="28" t="str">
        <f t="shared" si="2"/>
        <v/>
      </c>
    </row>
    <row r="152" spans="1:27" ht="15" customHeight="1" x14ac:dyDescent="0.25">
      <c r="A152" s="31" t="s">
        <v>499</v>
      </c>
      <c r="B152" s="29" t="s">
        <v>116</v>
      </c>
      <c r="C152" s="29" t="s">
        <v>500</v>
      </c>
      <c r="D152" s="28" t="s">
        <v>323</v>
      </c>
      <c r="E152" s="28" t="s">
        <v>96</v>
      </c>
      <c r="F152" s="28" t="s">
        <v>75</v>
      </c>
      <c r="G152" s="28" t="s">
        <v>76</v>
      </c>
      <c r="H152" s="28" t="s">
        <v>92</v>
      </c>
      <c r="I152" s="28" t="s">
        <v>87</v>
      </c>
      <c r="J152" s="30">
        <v>45068</v>
      </c>
      <c r="K152" s="30">
        <v>45091</v>
      </c>
      <c r="L152" s="30">
        <v>45093</v>
      </c>
      <c r="M152" s="30">
        <v>45091</v>
      </c>
      <c r="N152" s="30">
        <v>45093</v>
      </c>
      <c r="O152" s="28" t="s">
        <v>157</v>
      </c>
      <c r="P152" s="30" t="s">
        <v>157</v>
      </c>
      <c r="AA152" s="28" t="str">
        <f t="shared" si="2"/>
        <v/>
      </c>
    </row>
    <row r="153" spans="1:27" ht="15" customHeight="1" x14ac:dyDescent="0.25">
      <c r="A153" s="31" t="s">
        <v>501</v>
      </c>
      <c r="B153" s="29" t="s">
        <v>116</v>
      </c>
      <c r="C153" s="29" t="s">
        <v>502</v>
      </c>
      <c r="D153" s="28" t="s">
        <v>323</v>
      </c>
      <c r="E153" s="28" t="s">
        <v>96</v>
      </c>
      <c r="F153" s="28" t="s">
        <v>75</v>
      </c>
      <c r="G153" s="54" t="s">
        <v>76</v>
      </c>
      <c r="H153" s="28" t="s">
        <v>92</v>
      </c>
      <c r="I153" s="28" t="s">
        <v>87</v>
      </c>
      <c r="J153" s="30">
        <v>45068</v>
      </c>
      <c r="K153" s="30">
        <v>45091</v>
      </c>
      <c r="L153" s="30">
        <v>45093</v>
      </c>
      <c r="M153" s="30">
        <v>45093</v>
      </c>
      <c r="N153" s="30">
        <v>45093</v>
      </c>
      <c r="O153" s="28" t="s">
        <v>156</v>
      </c>
      <c r="P153" s="30" t="s">
        <v>157</v>
      </c>
      <c r="S153" s="37"/>
      <c r="T153" s="37"/>
      <c r="W153" s="37"/>
      <c r="X153" s="37"/>
      <c r="AA153" s="28" t="str">
        <f t="shared" si="2"/>
        <v/>
      </c>
    </row>
    <row r="154" spans="1:27" ht="15" customHeight="1" x14ac:dyDescent="0.25">
      <c r="A154" s="31" t="s">
        <v>503</v>
      </c>
      <c r="B154" s="29" t="s">
        <v>116</v>
      </c>
      <c r="C154" s="29" t="s">
        <v>504</v>
      </c>
      <c r="D154" s="28" t="s">
        <v>323</v>
      </c>
      <c r="E154" s="28" t="s">
        <v>96</v>
      </c>
      <c r="F154" s="28" t="s">
        <v>75</v>
      </c>
      <c r="G154" s="28" t="s">
        <v>76</v>
      </c>
      <c r="H154" s="28" t="s">
        <v>92</v>
      </c>
      <c r="I154" s="28" t="s">
        <v>87</v>
      </c>
      <c r="J154" s="30">
        <v>45068</v>
      </c>
      <c r="K154" s="30">
        <v>45091</v>
      </c>
      <c r="L154" s="30">
        <v>45093</v>
      </c>
      <c r="M154" s="30">
        <v>45091</v>
      </c>
      <c r="N154" s="30">
        <v>45093</v>
      </c>
      <c r="O154" s="28" t="s">
        <v>157</v>
      </c>
      <c r="P154" s="30" t="s">
        <v>157</v>
      </c>
      <c r="AA154" s="28" t="str">
        <f t="shared" si="2"/>
        <v/>
      </c>
    </row>
    <row r="155" spans="1:27" s="63" customFormat="1" ht="15" customHeight="1" x14ac:dyDescent="0.25">
      <c r="A155" s="59" t="s">
        <v>505</v>
      </c>
      <c r="B155" s="60" t="s">
        <v>116</v>
      </c>
      <c r="C155" s="60" t="s">
        <v>506</v>
      </c>
      <c r="D155" s="61" t="s">
        <v>323</v>
      </c>
      <c r="E155" s="61" t="s">
        <v>96</v>
      </c>
      <c r="F155" s="61" t="s">
        <v>75</v>
      </c>
      <c r="G155" s="64" t="s">
        <v>76</v>
      </c>
      <c r="H155" s="61" t="s">
        <v>77</v>
      </c>
      <c r="I155" s="61" t="s">
        <v>87</v>
      </c>
      <c r="J155" s="62">
        <v>45068</v>
      </c>
      <c r="K155" s="62">
        <v>45091</v>
      </c>
      <c r="L155" s="62">
        <v>45093</v>
      </c>
      <c r="M155" s="62">
        <v>45091</v>
      </c>
      <c r="N155" s="62">
        <v>45100</v>
      </c>
      <c r="O155" s="61" t="s">
        <v>157</v>
      </c>
      <c r="P155" s="62" t="s">
        <v>156</v>
      </c>
      <c r="Q155" s="62"/>
      <c r="R155" s="62"/>
      <c r="S155" s="65"/>
      <c r="T155" s="65"/>
      <c r="U155" s="62"/>
      <c r="V155" s="62"/>
      <c r="W155" s="65"/>
      <c r="X155" s="65"/>
      <c r="Y155" s="61"/>
      <c r="Z155" s="61"/>
      <c r="AA155" s="61" t="str">
        <f t="shared" si="2"/>
        <v/>
      </c>
    </row>
    <row r="156" spans="1:27" ht="15" customHeight="1" x14ac:dyDescent="0.25">
      <c r="A156" s="31" t="s">
        <v>507</v>
      </c>
      <c r="B156" s="29" t="s">
        <v>116</v>
      </c>
      <c r="C156" s="29" t="s">
        <v>508</v>
      </c>
      <c r="D156" s="28" t="s">
        <v>323</v>
      </c>
      <c r="E156" s="28" t="s">
        <v>96</v>
      </c>
      <c r="F156" s="28" t="s">
        <v>75</v>
      </c>
      <c r="G156" s="28" t="s">
        <v>76</v>
      </c>
      <c r="H156" s="28" t="s">
        <v>92</v>
      </c>
      <c r="I156" s="28" t="s">
        <v>87</v>
      </c>
      <c r="J156" s="30">
        <v>45068</v>
      </c>
      <c r="K156" s="30">
        <v>45091</v>
      </c>
      <c r="L156" s="30">
        <v>45093</v>
      </c>
      <c r="M156" s="30">
        <v>45091</v>
      </c>
      <c r="N156" s="30">
        <v>45093</v>
      </c>
      <c r="O156" s="28" t="s">
        <v>157</v>
      </c>
      <c r="P156" s="30" t="s">
        <v>157</v>
      </c>
      <c r="AA156" s="28" t="str">
        <f t="shared" si="2"/>
        <v/>
      </c>
    </row>
    <row r="157" spans="1:27" ht="15" customHeight="1" x14ac:dyDescent="0.25">
      <c r="A157" s="31" t="s">
        <v>509</v>
      </c>
      <c r="B157" s="29" t="s">
        <v>116</v>
      </c>
      <c r="C157" s="29" t="s">
        <v>510</v>
      </c>
      <c r="D157" s="28" t="s">
        <v>511</v>
      </c>
      <c r="E157" s="28" t="s">
        <v>96</v>
      </c>
      <c r="F157" s="28" t="s">
        <v>75</v>
      </c>
      <c r="G157" s="54" t="s">
        <v>76</v>
      </c>
      <c r="H157" s="28" t="s">
        <v>92</v>
      </c>
      <c r="I157" s="28" t="s">
        <v>87</v>
      </c>
      <c r="J157" s="30">
        <v>45068</v>
      </c>
      <c r="K157" s="30">
        <v>45091</v>
      </c>
      <c r="L157" s="30">
        <v>45093</v>
      </c>
      <c r="M157" s="30">
        <v>45091</v>
      </c>
      <c r="N157" s="30">
        <v>45093</v>
      </c>
      <c r="O157" s="28" t="s">
        <v>157</v>
      </c>
      <c r="P157" s="30" t="s">
        <v>157</v>
      </c>
      <c r="S157" s="37"/>
      <c r="T157" s="37"/>
      <c r="W157" s="37"/>
      <c r="X157" s="37"/>
      <c r="AA157" s="28" t="str">
        <f t="shared" si="2"/>
        <v/>
      </c>
    </row>
    <row r="158" spans="1:27" ht="15" customHeight="1" x14ac:dyDescent="0.25">
      <c r="A158" s="31" t="s">
        <v>512</v>
      </c>
      <c r="B158" s="29" t="s">
        <v>116</v>
      </c>
      <c r="C158" s="29" t="s">
        <v>513</v>
      </c>
      <c r="D158" s="28" t="s">
        <v>323</v>
      </c>
      <c r="E158" s="28" t="s">
        <v>96</v>
      </c>
      <c r="F158" s="28" t="s">
        <v>75</v>
      </c>
      <c r="G158" s="28" t="s">
        <v>76</v>
      </c>
      <c r="H158" s="28" t="s">
        <v>92</v>
      </c>
      <c r="I158" s="28" t="s">
        <v>87</v>
      </c>
      <c r="J158" s="30">
        <v>45068</v>
      </c>
      <c r="K158" s="30">
        <v>45091</v>
      </c>
      <c r="L158" s="30">
        <v>45093</v>
      </c>
      <c r="M158" s="30">
        <v>45091</v>
      </c>
      <c r="N158" s="30">
        <v>45093</v>
      </c>
      <c r="O158" s="28" t="s">
        <v>157</v>
      </c>
      <c r="P158" s="30" t="s">
        <v>157</v>
      </c>
      <c r="AA158" s="28" t="str">
        <f t="shared" si="2"/>
        <v/>
      </c>
    </row>
    <row r="159" spans="1:27" s="63" customFormat="1" ht="15" customHeight="1" x14ac:dyDescent="0.25">
      <c r="A159" s="59" t="s">
        <v>514</v>
      </c>
      <c r="B159" s="60" t="s">
        <v>116</v>
      </c>
      <c r="C159" s="60" t="s">
        <v>515</v>
      </c>
      <c r="D159" s="61" t="s">
        <v>323</v>
      </c>
      <c r="E159" s="61" t="s">
        <v>96</v>
      </c>
      <c r="F159" s="61" t="s">
        <v>75</v>
      </c>
      <c r="G159" s="64" t="s">
        <v>76</v>
      </c>
      <c r="H159" s="61" t="s">
        <v>77</v>
      </c>
      <c r="I159" s="61" t="s">
        <v>87</v>
      </c>
      <c r="J159" s="62">
        <v>45068</v>
      </c>
      <c r="K159" s="62">
        <v>45091</v>
      </c>
      <c r="L159" s="62">
        <v>45093</v>
      </c>
      <c r="M159" s="62">
        <v>45091</v>
      </c>
      <c r="N159" s="62">
        <v>45100</v>
      </c>
      <c r="O159" s="61" t="s">
        <v>157</v>
      </c>
      <c r="P159" s="62" t="s">
        <v>156</v>
      </c>
      <c r="Q159" s="62"/>
      <c r="R159" s="62"/>
      <c r="S159" s="65"/>
      <c r="T159" s="65"/>
      <c r="U159" s="62"/>
      <c r="V159" s="62"/>
      <c r="W159" s="65"/>
      <c r="X159" s="65"/>
      <c r="Y159" s="61"/>
      <c r="Z159" s="61"/>
      <c r="AA159" s="61" t="str">
        <f t="shared" si="2"/>
        <v/>
      </c>
    </row>
    <row r="160" spans="1:27" ht="15" customHeight="1" x14ac:dyDescent="0.25">
      <c r="A160" s="31" t="s">
        <v>516</v>
      </c>
      <c r="B160" s="29" t="s">
        <v>116</v>
      </c>
      <c r="C160" s="29" t="s">
        <v>517</v>
      </c>
      <c r="D160" s="28" t="s">
        <v>323</v>
      </c>
      <c r="E160" s="28" t="s">
        <v>96</v>
      </c>
      <c r="F160" s="28" t="s">
        <v>75</v>
      </c>
      <c r="G160" s="28" t="s">
        <v>76</v>
      </c>
      <c r="H160" s="28" t="s">
        <v>92</v>
      </c>
      <c r="I160" s="28" t="s">
        <v>87</v>
      </c>
      <c r="J160" s="30">
        <v>45068</v>
      </c>
      <c r="K160" s="30">
        <v>45091</v>
      </c>
      <c r="L160" s="30">
        <v>45093</v>
      </c>
      <c r="M160" s="30">
        <v>45091</v>
      </c>
      <c r="N160" s="30">
        <v>45093</v>
      </c>
      <c r="O160" s="28" t="s">
        <v>157</v>
      </c>
      <c r="P160" s="30" t="s">
        <v>157</v>
      </c>
      <c r="AA160" s="28" t="str">
        <f t="shared" si="2"/>
        <v/>
      </c>
    </row>
    <row r="161" spans="1:27" ht="15" customHeight="1" x14ac:dyDescent="0.25">
      <c r="A161" s="31" t="s">
        <v>518</v>
      </c>
      <c r="B161" s="29" t="s">
        <v>116</v>
      </c>
      <c r="C161" s="29" t="s">
        <v>519</v>
      </c>
      <c r="D161" s="28" t="s">
        <v>323</v>
      </c>
      <c r="E161" s="28" t="s">
        <v>96</v>
      </c>
      <c r="F161" s="28" t="s">
        <v>75</v>
      </c>
      <c r="G161" s="54" t="s">
        <v>76</v>
      </c>
      <c r="H161" s="28" t="s">
        <v>92</v>
      </c>
      <c r="I161" s="28" t="s">
        <v>87</v>
      </c>
      <c r="J161" s="30">
        <v>45068</v>
      </c>
      <c r="K161" s="30">
        <v>45091</v>
      </c>
      <c r="L161" s="30">
        <v>45093</v>
      </c>
      <c r="M161" s="30">
        <v>45091</v>
      </c>
      <c r="N161" s="30">
        <v>45093</v>
      </c>
      <c r="O161" s="28" t="s">
        <v>157</v>
      </c>
      <c r="P161" s="30" t="s">
        <v>157</v>
      </c>
      <c r="S161" s="37"/>
      <c r="T161" s="37"/>
      <c r="W161" s="37"/>
      <c r="X161" s="37"/>
      <c r="AA161" s="28" t="str">
        <f t="shared" si="2"/>
        <v/>
      </c>
    </row>
    <row r="162" spans="1:27" ht="15" customHeight="1" x14ac:dyDescent="0.25">
      <c r="A162" s="31" t="s">
        <v>520</v>
      </c>
      <c r="B162" s="29" t="s">
        <v>521</v>
      </c>
      <c r="C162" s="29" t="s">
        <v>522</v>
      </c>
      <c r="D162" s="28" t="s">
        <v>523</v>
      </c>
      <c r="E162" s="28" t="s">
        <v>81</v>
      </c>
      <c r="F162" s="28" t="s">
        <v>75</v>
      </c>
      <c r="G162" s="28" t="s">
        <v>76</v>
      </c>
      <c r="H162" s="28" t="s">
        <v>77</v>
      </c>
      <c r="I162" s="28" t="s">
        <v>78</v>
      </c>
      <c r="J162" s="30">
        <v>45058</v>
      </c>
      <c r="K162" s="30">
        <v>45076</v>
      </c>
      <c r="L162" s="30">
        <v>45078</v>
      </c>
      <c r="M162" s="30">
        <v>45076</v>
      </c>
      <c r="N162" s="30">
        <v>45078</v>
      </c>
      <c r="O162" s="28" t="s">
        <v>157</v>
      </c>
      <c r="P162" s="30" t="s">
        <v>157</v>
      </c>
      <c r="AA162" s="28" t="str">
        <f t="shared" si="2"/>
        <v/>
      </c>
    </row>
    <row r="163" spans="1:27" ht="15" customHeight="1" x14ac:dyDescent="0.25">
      <c r="A163" s="31" t="s">
        <v>524</v>
      </c>
      <c r="B163" s="29" t="s">
        <v>521</v>
      </c>
      <c r="C163" s="29" t="s">
        <v>525</v>
      </c>
      <c r="E163" s="28" t="s">
        <v>81</v>
      </c>
      <c r="F163" s="28" t="s">
        <v>75</v>
      </c>
      <c r="G163" s="54" t="s">
        <v>76</v>
      </c>
      <c r="H163" s="28" t="s">
        <v>77</v>
      </c>
      <c r="I163" s="28" t="s">
        <v>78</v>
      </c>
      <c r="J163" s="30">
        <v>45058</v>
      </c>
      <c r="K163" s="30">
        <v>45076</v>
      </c>
      <c r="L163" s="30">
        <v>45078</v>
      </c>
      <c r="M163" s="30">
        <v>45076</v>
      </c>
      <c r="N163" s="30">
        <v>45078</v>
      </c>
      <c r="O163" s="28" t="s">
        <v>157</v>
      </c>
      <c r="P163" s="30" t="s">
        <v>157</v>
      </c>
      <c r="S163" s="37"/>
      <c r="T163" s="37"/>
      <c r="W163" s="37"/>
      <c r="X163" s="37"/>
      <c r="AA163" s="28" t="str">
        <f t="shared" si="2"/>
        <v/>
      </c>
    </row>
    <row r="164" spans="1:27" ht="15" customHeight="1" x14ac:dyDescent="0.25">
      <c r="A164" s="31" t="s">
        <v>526</v>
      </c>
      <c r="B164" s="29" t="s">
        <v>521</v>
      </c>
      <c r="C164" s="29" t="s">
        <v>527</v>
      </c>
      <c r="D164" s="28" t="s">
        <v>523</v>
      </c>
      <c r="E164" s="28" t="s">
        <v>81</v>
      </c>
      <c r="F164" s="28" t="s">
        <v>75</v>
      </c>
      <c r="G164" s="28" t="s">
        <v>76</v>
      </c>
      <c r="H164" s="28" t="s">
        <v>77</v>
      </c>
      <c r="I164" s="28" t="s">
        <v>78</v>
      </c>
      <c r="J164" s="30">
        <v>45058</v>
      </c>
      <c r="K164" s="30">
        <v>45076</v>
      </c>
      <c r="L164" s="30">
        <v>45078</v>
      </c>
      <c r="M164" s="30">
        <v>45076</v>
      </c>
      <c r="N164" s="30">
        <v>45078</v>
      </c>
      <c r="O164" s="28" t="s">
        <v>157</v>
      </c>
      <c r="P164" s="30" t="s">
        <v>157</v>
      </c>
      <c r="AA164" s="28" t="str">
        <f t="shared" si="2"/>
        <v/>
      </c>
    </row>
    <row r="165" spans="1:27" ht="15" customHeight="1" x14ac:dyDescent="0.25">
      <c r="A165" s="31" t="s">
        <v>528</v>
      </c>
      <c r="B165" s="29" t="s">
        <v>521</v>
      </c>
      <c r="C165" s="29" t="s">
        <v>529</v>
      </c>
      <c r="D165" s="28" t="s">
        <v>523</v>
      </c>
      <c r="E165" s="28" t="s">
        <v>81</v>
      </c>
      <c r="F165" s="28" t="s">
        <v>75</v>
      </c>
      <c r="G165" s="54" t="s">
        <v>76</v>
      </c>
      <c r="H165" s="28" t="s">
        <v>77</v>
      </c>
      <c r="I165" s="28" t="s">
        <v>78</v>
      </c>
      <c r="J165" s="30">
        <v>45058</v>
      </c>
      <c r="K165" s="30">
        <v>45076</v>
      </c>
      <c r="L165" s="30">
        <v>45078</v>
      </c>
      <c r="M165" s="30">
        <v>45076</v>
      </c>
      <c r="N165" s="30">
        <v>45078</v>
      </c>
      <c r="O165" s="28" t="s">
        <v>157</v>
      </c>
      <c r="P165" s="30" t="s">
        <v>157</v>
      </c>
      <c r="S165" s="37"/>
      <c r="T165" s="37"/>
      <c r="W165" s="37"/>
      <c r="X165" s="37"/>
      <c r="AA165" s="28" t="str">
        <f t="shared" si="2"/>
        <v/>
      </c>
    </row>
    <row r="166" spans="1:27" ht="15" customHeight="1" x14ac:dyDescent="0.25">
      <c r="A166" s="31" t="s">
        <v>530</v>
      </c>
      <c r="B166" s="29" t="s">
        <v>531</v>
      </c>
      <c r="C166" s="29" t="s">
        <v>532</v>
      </c>
      <c r="D166" s="28" t="s">
        <v>88</v>
      </c>
      <c r="E166" s="28" t="s">
        <v>96</v>
      </c>
      <c r="F166" s="28" t="s">
        <v>75</v>
      </c>
      <c r="G166" s="28" t="s">
        <v>76</v>
      </c>
      <c r="H166" s="28" t="s">
        <v>93</v>
      </c>
      <c r="I166" s="28" t="s">
        <v>101</v>
      </c>
      <c r="J166" s="30">
        <v>45062</v>
      </c>
      <c r="K166" s="30">
        <v>45110</v>
      </c>
      <c r="L166" s="30">
        <v>45112</v>
      </c>
      <c r="M166" s="30">
        <v>45103</v>
      </c>
      <c r="N166" s="30">
        <v>45106</v>
      </c>
      <c r="O166" s="28" t="s">
        <v>157</v>
      </c>
      <c r="P166" s="30" t="s">
        <v>157</v>
      </c>
      <c r="AA166" s="28" t="str">
        <f t="shared" si="2"/>
        <v/>
      </c>
    </row>
    <row r="167" spans="1:27" ht="15" customHeight="1" x14ac:dyDescent="0.25">
      <c r="A167" s="31" t="s">
        <v>533</v>
      </c>
      <c r="B167" s="29" t="s">
        <v>531</v>
      </c>
      <c r="C167" s="29" t="s">
        <v>534</v>
      </c>
      <c r="D167" s="28" t="s">
        <v>88</v>
      </c>
      <c r="E167" s="28" t="s">
        <v>96</v>
      </c>
      <c r="F167" s="28" t="s">
        <v>75</v>
      </c>
      <c r="G167" s="28" t="s">
        <v>76</v>
      </c>
      <c r="H167" s="28" t="s">
        <v>93</v>
      </c>
      <c r="I167" s="28" t="s">
        <v>101</v>
      </c>
      <c r="J167" s="30">
        <v>45062</v>
      </c>
      <c r="K167" s="30">
        <v>45110</v>
      </c>
      <c r="L167" s="30">
        <v>45112</v>
      </c>
      <c r="M167" s="30">
        <v>45103</v>
      </c>
      <c r="N167" s="30">
        <v>45106</v>
      </c>
      <c r="O167" s="28" t="s">
        <v>157</v>
      </c>
      <c r="P167" s="30" t="s">
        <v>157</v>
      </c>
      <c r="S167" s="37"/>
      <c r="T167" s="37"/>
      <c r="W167" s="37"/>
      <c r="X167" s="37"/>
      <c r="AA167" s="28" t="str">
        <f t="shared" si="2"/>
        <v/>
      </c>
    </row>
    <row r="168" spans="1:27" ht="15" customHeight="1" x14ac:dyDescent="0.25">
      <c r="A168" s="31" t="s">
        <v>535</v>
      </c>
      <c r="B168" s="29" t="s">
        <v>536</v>
      </c>
      <c r="C168" s="29" t="s">
        <v>537</v>
      </c>
      <c r="D168" s="28" t="s">
        <v>123</v>
      </c>
      <c r="E168" s="28" t="s">
        <v>96</v>
      </c>
      <c r="F168" s="28" t="s">
        <v>75</v>
      </c>
      <c r="G168" s="28" t="s">
        <v>102</v>
      </c>
      <c r="H168" s="28" t="s">
        <v>93</v>
      </c>
      <c r="I168" s="28" t="s">
        <v>101</v>
      </c>
      <c r="J168" s="30">
        <v>45061</v>
      </c>
      <c r="K168" s="30">
        <v>45082</v>
      </c>
      <c r="L168" s="30">
        <v>45084</v>
      </c>
      <c r="M168" s="30">
        <v>45082</v>
      </c>
      <c r="N168" s="30">
        <v>45083</v>
      </c>
      <c r="O168" s="28" t="s">
        <v>157</v>
      </c>
      <c r="P168" s="30" t="s">
        <v>157</v>
      </c>
      <c r="AA168" s="28" t="str">
        <f t="shared" si="2"/>
        <v/>
      </c>
    </row>
    <row r="169" spans="1:27" ht="15" customHeight="1" x14ac:dyDescent="0.25">
      <c r="A169" s="31" t="s">
        <v>538</v>
      </c>
      <c r="B169" s="29" t="s">
        <v>124</v>
      </c>
      <c r="C169" s="29" t="s">
        <v>539</v>
      </c>
      <c r="D169" s="28" t="s">
        <v>90</v>
      </c>
      <c r="E169" s="28" t="s">
        <v>96</v>
      </c>
      <c r="F169" s="28" t="s">
        <v>75</v>
      </c>
      <c r="G169" s="54" t="s">
        <v>76</v>
      </c>
      <c r="H169" s="28" t="s">
        <v>84</v>
      </c>
      <c r="I169" s="28" t="s">
        <v>101</v>
      </c>
      <c r="J169" s="30">
        <v>45075</v>
      </c>
      <c r="K169" s="30">
        <v>45119</v>
      </c>
      <c r="L169" s="30">
        <v>45121</v>
      </c>
      <c r="M169" s="30">
        <v>45085</v>
      </c>
      <c r="N169" s="30">
        <v>45100</v>
      </c>
      <c r="O169" s="28" t="s">
        <v>157</v>
      </c>
      <c r="P169" s="30" t="s">
        <v>157</v>
      </c>
      <c r="S169" s="37"/>
      <c r="T169" s="37"/>
      <c r="W169" s="37"/>
      <c r="X169" s="37"/>
      <c r="AA169" s="28" t="str">
        <f t="shared" si="2"/>
        <v/>
      </c>
    </row>
    <row r="170" spans="1:27" ht="15" customHeight="1" x14ac:dyDescent="0.25">
      <c r="A170" s="31" t="s">
        <v>540</v>
      </c>
      <c r="B170" s="29" t="s">
        <v>124</v>
      </c>
      <c r="C170" s="29" t="s">
        <v>125</v>
      </c>
      <c r="D170" s="28" t="s">
        <v>90</v>
      </c>
      <c r="E170" s="28" t="s">
        <v>96</v>
      </c>
      <c r="F170" s="28" t="s">
        <v>75</v>
      </c>
      <c r="G170" s="28" t="s">
        <v>76</v>
      </c>
      <c r="H170" s="28" t="s">
        <v>84</v>
      </c>
      <c r="I170" s="28" t="s">
        <v>101</v>
      </c>
      <c r="J170" s="30">
        <v>45075</v>
      </c>
      <c r="K170" s="30">
        <v>45119</v>
      </c>
      <c r="L170" s="30">
        <v>45121</v>
      </c>
      <c r="M170" s="30">
        <v>45085</v>
      </c>
      <c r="N170" s="30">
        <v>45100</v>
      </c>
      <c r="O170" s="28" t="s">
        <v>157</v>
      </c>
      <c r="P170" s="30" t="s">
        <v>157</v>
      </c>
      <c r="AA170" s="28" t="str">
        <f t="shared" si="2"/>
        <v/>
      </c>
    </row>
    <row r="171" spans="1:27" s="63" customFormat="1" ht="15" customHeight="1" x14ac:dyDescent="0.25">
      <c r="A171" s="59" t="s">
        <v>541</v>
      </c>
      <c r="B171" s="60" t="s">
        <v>542</v>
      </c>
      <c r="C171" s="60" t="s">
        <v>543</v>
      </c>
      <c r="D171" s="61" t="s">
        <v>544</v>
      </c>
      <c r="E171" s="61" t="s">
        <v>102</v>
      </c>
      <c r="F171" s="61" t="s">
        <v>75</v>
      </c>
      <c r="G171" s="64" t="s">
        <v>102</v>
      </c>
      <c r="H171" s="61" t="s">
        <v>77</v>
      </c>
      <c r="I171" s="61" t="s">
        <v>87</v>
      </c>
      <c r="J171" s="62">
        <v>45054</v>
      </c>
      <c r="K171" s="62">
        <v>45061</v>
      </c>
      <c r="L171" s="62">
        <v>45063</v>
      </c>
      <c r="M171" s="62">
        <v>45078</v>
      </c>
      <c r="N171" s="62">
        <v>45078</v>
      </c>
      <c r="O171" s="61" t="s">
        <v>156</v>
      </c>
      <c r="P171" s="62" t="s">
        <v>156</v>
      </c>
      <c r="Q171" s="62"/>
      <c r="R171" s="62"/>
      <c r="S171" s="65"/>
      <c r="T171" s="65"/>
      <c r="U171" s="62"/>
      <c r="V171" s="62"/>
      <c r="W171" s="65"/>
      <c r="X171" s="65"/>
      <c r="Y171" s="61"/>
      <c r="Z171" s="61"/>
      <c r="AA171" s="61" t="str">
        <f t="shared" si="2"/>
        <v/>
      </c>
    </row>
    <row r="172" spans="1:27" s="63" customFormat="1" ht="15" customHeight="1" x14ac:dyDescent="0.25">
      <c r="A172" s="59" t="s">
        <v>545</v>
      </c>
      <c r="B172" s="60" t="s">
        <v>542</v>
      </c>
      <c r="C172" s="60" t="s">
        <v>543</v>
      </c>
      <c r="D172" s="61" t="s">
        <v>544</v>
      </c>
      <c r="E172" s="61" t="s">
        <v>102</v>
      </c>
      <c r="F172" s="61" t="s">
        <v>75</v>
      </c>
      <c r="G172" s="61" t="s">
        <v>102</v>
      </c>
      <c r="H172" s="61" t="s">
        <v>77</v>
      </c>
      <c r="I172" s="61" t="s">
        <v>87</v>
      </c>
      <c r="J172" s="62">
        <v>45056</v>
      </c>
      <c r="K172" s="62">
        <v>45061</v>
      </c>
      <c r="L172" s="62">
        <v>45063</v>
      </c>
      <c r="M172" s="62">
        <v>45078</v>
      </c>
      <c r="N172" s="62">
        <v>45078</v>
      </c>
      <c r="O172" s="61" t="s">
        <v>156</v>
      </c>
      <c r="P172" s="62" t="s">
        <v>156</v>
      </c>
      <c r="Q172" s="62"/>
      <c r="R172" s="62"/>
      <c r="S172" s="61"/>
      <c r="T172" s="61"/>
      <c r="U172" s="62"/>
      <c r="V172" s="62"/>
      <c r="W172" s="61"/>
      <c r="X172" s="61"/>
      <c r="Y172" s="61"/>
      <c r="Z172" s="61"/>
      <c r="AA172" s="61" t="str">
        <f t="shared" si="2"/>
        <v/>
      </c>
    </row>
    <row r="173" spans="1:27" ht="15" customHeight="1" x14ac:dyDescent="0.25">
      <c r="A173" s="31" t="s">
        <v>546</v>
      </c>
      <c r="B173" s="29" t="s">
        <v>126</v>
      </c>
      <c r="C173" s="29" t="s">
        <v>547</v>
      </c>
      <c r="D173" s="28" t="s">
        <v>127</v>
      </c>
      <c r="E173" s="28" t="s">
        <v>81</v>
      </c>
      <c r="F173" s="28" t="s">
        <v>75</v>
      </c>
      <c r="G173" s="28" t="s">
        <v>76</v>
      </c>
      <c r="H173" s="28" t="s">
        <v>77</v>
      </c>
      <c r="I173" s="28" t="s">
        <v>82</v>
      </c>
      <c r="J173" s="30">
        <v>45051</v>
      </c>
      <c r="K173" s="30">
        <v>45075</v>
      </c>
      <c r="L173" s="30">
        <v>45077</v>
      </c>
      <c r="M173" s="30">
        <v>45077</v>
      </c>
      <c r="N173" s="30">
        <v>45078</v>
      </c>
      <c r="O173" s="28" t="s">
        <v>156</v>
      </c>
      <c r="P173" s="30" t="s">
        <v>157</v>
      </c>
      <c r="S173" s="37"/>
      <c r="T173" s="37"/>
      <c r="W173" s="37"/>
      <c r="X173" s="37"/>
      <c r="AA173" s="28" t="str">
        <f t="shared" si="2"/>
        <v/>
      </c>
    </row>
    <row r="174" spans="1:27" ht="15" customHeight="1" x14ac:dyDescent="0.25">
      <c r="A174" s="31" t="s">
        <v>546</v>
      </c>
      <c r="B174" s="29" t="s">
        <v>126</v>
      </c>
      <c r="C174" s="29" t="s">
        <v>547</v>
      </c>
      <c r="D174" s="28" t="s">
        <v>127</v>
      </c>
      <c r="E174" s="28" t="s">
        <v>81</v>
      </c>
      <c r="F174" s="28" t="s">
        <v>75</v>
      </c>
      <c r="G174" s="28" t="s">
        <v>76</v>
      </c>
      <c r="H174" s="28" t="s">
        <v>77</v>
      </c>
      <c r="I174" s="28" t="s">
        <v>94</v>
      </c>
      <c r="J174" s="30">
        <v>45051</v>
      </c>
      <c r="K174" s="30">
        <v>45075</v>
      </c>
      <c r="L174" s="30">
        <v>45077</v>
      </c>
      <c r="M174" s="30">
        <v>45075</v>
      </c>
      <c r="N174" s="30">
        <v>45078</v>
      </c>
      <c r="O174" s="28" t="s">
        <v>157</v>
      </c>
      <c r="P174" s="30" t="s">
        <v>157</v>
      </c>
      <c r="AA174" s="28" t="str">
        <f t="shared" si="2"/>
        <v/>
      </c>
    </row>
    <row r="175" spans="1:27" ht="15" customHeight="1" x14ac:dyDescent="0.25">
      <c r="A175" s="31" t="s">
        <v>548</v>
      </c>
      <c r="B175" s="29" t="s">
        <v>549</v>
      </c>
      <c r="C175" s="29" t="s">
        <v>550</v>
      </c>
      <c r="D175" s="28" t="s">
        <v>128</v>
      </c>
      <c r="E175" s="28" t="s">
        <v>81</v>
      </c>
      <c r="F175" s="28" t="s">
        <v>75</v>
      </c>
      <c r="G175" s="54" t="s">
        <v>76</v>
      </c>
      <c r="H175" s="28" t="s">
        <v>93</v>
      </c>
      <c r="I175" s="28" t="s">
        <v>129</v>
      </c>
      <c r="J175" s="30">
        <v>45065</v>
      </c>
      <c r="K175" s="30">
        <v>45103</v>
      </c>
      <c r="L175" s="30">
        <v>45105</v>
      </c>
      <c r="M175" s="30">
        <v>45082</v>
      </c>
      <c r="N175" s="30">
        <v>45096</v>
      </c>
      <c r="O175" s="28" t="s">
        <v>157</v>
      </c>
      <c r="P175" s="30" t="s">
        <v>157</v>
      </c>
      <c r="S175" s="37"/>
      <c r="T175" s="37"/>
      <c r="W175" s="37"/>
      <c r="X175" s="37"/>
      <c r="AA175" s="28" t="str">
        <f t="shared" si="2"/>
        <v/>
      </c>
    </row>
    <row r="176" spans="1:27" ht="15" customHeight="1" x14ac:dyDescent="0.25">
      <c r="A176" s="31" t="s">
        <v>551</v>
      </c>
      <c r="B176" s="29" t="s">
        <v>549</v>
      </c>
      <c r="C176" s="29" t="s">
        <v>552</v>
      </c>
      <c r="D176" s="28" t="s">
        <v>128</v>
      </c>
      <c r="E176" s="28" t="s">
        <v>81</v>
      </c>
      <c r="F176" s="28" t="s">
        <v>75</v>
      </c>
      <c r="G176" s="28" t="s">
        <v>76</v>
      </c>
      <c r="H176" s="28" t="s">
        <v>93</v>
      </c>
      <c r="I176" s="28" t="s">
        <v>129</v>
      </c>
      <c r="J176" s="30">
        <v>45065</v>
      </c>
      <c r="K176" s="30">
        <v>45103</v>
      </c>
      <c r="L176" s="30">
        <v>45105</v>
      </c>
      <c r="M176" s="30">
        <v>45082</v>
      </c>
      <c r="N176" s="30">
        <v>45097</v>
      </c>
      <c r="O176" s="28" t="s">
        <v>157</v>
      </c>
      <c r="P176" s="30" t="s">
        <v>157</v>
      </c>
      <c r="AA176" s="28" t="str">
        <f t="shared" si="2"/>
        <v/>
      </c>
    </row>
    <row r="177" spans="1:27" ht="15" customHeight="1" x14ac:dyDescent="0.25">
      <c r="A177" s="31" t="s">
        <v>553</v>
      </c>
      <c r="B177" s="29" t="s">
        <v>549</v>
      </c>
      <c r="C177" s="29" t="s">
        <v>554</v>
      </c>
      <c r="D177" s="28" t="s">
        <v>128</v>
      </c>
      <c r="E177" s="28" t="s">
        <v>81</v>
      </c>
      <c r="F177" s="28" t="s">
        <v>75</v>
      </c>
      <c r="G177" s="28" t="s">
        <v>76</v>
      </c>
      <c r="H177" s="28" t="s">
        <v>93</v>
      </c>
      <c r="I177" s="28" t="s">
        <v>129</v>
      </c>
      <c r="J177" s="30">
        <v>45065</v>
      </c>
      <c r="K177" s="30">
        <v>45103</v>
      </c>
      <c r="L177" s="30">
        <v>45105</v>
      </c>
      <c r="M177" s="30">
        <v>45083</v>
      </c>
      <c r="N177" s="30">
        <v>45096</v>
      </c>
      <c r="O177" s="28" t="s">
        <v>157</v>
      </c>
      <c r="P177" s="30" t="s">
        <v>157</v>
      </c>
      <c r="S177" s="37"/>
      <c r="T177" s="37"/>
      <c r="W177" s="37"/>
      <c r="X177" s="37"/>
      <c r="AA177" s="28" t="str">
        <f t="shared" si="2"/>
        <v/>
      </c>
    </row>
    <row r="178" spans="1:27" ht="15" customHeight="1" x14ac:dyDescent="0.25">
      <c r="A178" s="31" t="s">
        <v>555</v>
      </c>
      <c r="B178" s="29" t="s">
        <v>549</v>
      </c>
      <c r="C178" s="29" t="s">
        <v>556</v>
      </c>
      <c r="D178" s="28" t="s">
        <v>128</v>
      </c>
      <c r="E178" s="28" t="s">
        <v>81</v>
      </c>
      <c r="F178" s="28" t="s">
        <v>75</v>
      </c>
      <c r="G178" s="28" t="s">
        <v>76</v>
      </c>
      <c r="H178" s="28" t="s">
        <v>93</v>
      </c>
      <c r="I178" s="28" t="s">
        <v>129</v>
      </c>
      <c r="J178" s="30">
        <v>45065</v>
      </c>
      <c r="K178" s="30">
        <v>45103</v>
      </c>
      <c r="L178" s="30">
        <v>45105</v>
      </c>
      <c r="M178" s="30">
        <v>45083</v>
      </c>
      <c r="N178" s="30">
        <v>45096</v>
      </c>
      <c r="O178" s="28" t="s">
        <v>157</v>
      </c>
      <c r="P178" s="30" t="s">
        <v>157</v>
      </c>
      <c r="AA178" s="28" t="str">
        <f t="shared" si="2"/>
        <v/>
      </c>
    </row>
    <row r="179" spans="1:27" ht="15" customHeight="1" x14ac:dyDescent="0.25">
      <c r="A179" s="31" t="s">
        <v>557</v>
      </c>
      <c r="B179" s="29" t="s">
        <v>549</v>
      </c>
      <c r="C179" s="29" t="s">
        <v>558</v>
      </c>
      <c r="D179" s="28" t="s">
        <v>128</v>
      </c>
      <c r="E179" s="28" t="s">
        <v>81</v>
      </c>
      <c r="F179" s="28" t="s">
        <v>75</v>
      </c>
      <c r="G179" s="54" t="s">
        <v>76</v>
      </c>
      <c r="H179" s="28" t="s">
        <v>93</v>
      </c>
      <c r="I179" s="28" t="s">
        <v>129</v>
      </c>
      <c r="J179" s="30">
        <v>45065</v>
      </c>
      <c r="K179" s="30">
        <v>45103</v>
      </c>
      <c r="L179" s="30">
        <v>45105</v>
      </c>
      <c r="M179" s="30">
        <v>45096</v>
      </c>
      <c r="N179" s="30">
        <v>45096</v>
      </c>
      <c r="O179" s="28" t="s">
        <v>157</v>
      </c>
      <c r="P179" s="30" t="s">
        <v>157</v>
      </c>
      <c r="S179" s="37"/>
      <c r="T179" s="37"/>
      <c r="W179" s="37"/>
      <c r="X179" s="37"/>
      <c r="AA179" s="28" t="str">
        <f t="shared" si="2"/>
        <v/>
      </c>
    </row>
    <row r="180" spans="1:27" ht="15" customHeight="1" x14ac:dyDescent="0.25">
      <c r="A180" s="31" t="s">
        <v>557</v>
      </c>
      <c r="B180" s="29" t="s">
        <v>549</v>
      </c>
      <c r="C180" s="29" t="s">
        <v>558</v>
      </c>
      <c r="D180" s="28" t="s">
        <v>128</v>
      </c>
      <c r="E180" s="28" t="s">
        <v>81</v>
      </c>
      <c r="F180" s="28" t="s">
        <v>75</v>
      </c>
      <c r="G180" s="28" t="s">
        <v>76</v>
      </c>
      <c r="H180" s="28" t="s">
        <v>93</v>
      </c>
      <c r="I180" s="28" t="s">
        <v>129</v>
      </c>
      <c r="J180" s="30">
        <v>45065</v>
      </c>
      <c r="K180" s="30">
        <v>45103</v>
      </c>
      <c r="L180" s="30">
        <v>45105</v>
      </c>
      <c r="M180" s="30">
        <v>45078</v>
      </c>
      <c r="N180" s="30">
        <v>45096</v>
      </c>
      <c r="O180" s="28" t="s">
        <v>157</v>
      </c>
      <c r="P180" s="30" t="s">
        <v>157</v>
      </c>
      <c r="AA180" s="28" t="str">
        <f t="shared" si="2"/>
        <v/>
      </c>
    </row>
    <row r="181" spans="1:27" ht="15" customHeight="1" x14ac:dyDescent="0.25">
      <c r="A181" s="31" t="s">
        <v>559</v>
      </c>
      <c r="B181" s="29" t="s">
        <v>549</v>
      </c>
      <c r="C181" s="29" t="s">
        <v>560</v>
      </c>
      <c r="D181" s="28" t="s">
        <v>128</v>
      </c>
      <c r="E181" s="28" t="s">
        <v>81</v>
      </c>
      <c r="F181" s="28" t="s">
        <v>75</v>
      </c>
      <c r="G181" s="54" t="s">
        <v>76</v>
      </c>
      <c r="H181" s="28" t="s">
        <v>93</v>
      </c>
      <c r="I181" s="28" t="s">
        <v>129</v>
      </c>
      <c r="J181" s="30">
        <v>45065</v>
      </c>
      <c r="K181" s="30">
        <v>45103</v>
      </c>
      <c r="L181" s="30">
        <v>45105</v>
      </c>
      <c r="M181" s="30">
        <v>45096</v>
      </c>
      <c r="N181" s="30">
        <v>45096</v>
      </c>
      <c r="O181" s="28" t="s">
        <v>157</v>
      </c>
      <c r="P181" s="30" t="s">
        <v>157</v>
      </c>
      <c r="S181" s="37"/>
      <c r="T181" s="37"/>
      <c r="W181" s="37"/>
      <c r="X181" s="37"/>
      <c r="AA181" s="28" t="str">
        <f t="shared" si="2"/>
        <v/>
      </c>
    </row>
    <row r="182" spans="1:27" ht="15" customHeight="1" x14ac:dyDescent="0.25">
      <c r="A182" s="31" t="s">
        <v>559</v>
      </c>
      <c r="B182" s="29" t="s">
        <v>549</v>
      </c>
      <c r="C182" s="29" t="s">
        <v>560</v>
      </c>
      <c r="D182" s="28" t="s">
        <v>128</v>
      </c>
      <c r="E182" s="28" t="s">
        <v>81</v>
      </c>
      <c r="F182" s="28" t="s">
        <v>75</v>
      </c>
      <c r="G182" s="28" t="s">
        <v>76</v>
      </c>
      <c r="H182" s="28" t="s">
        <v>93</v>
      </c>
      <c r="I182" s="28" t="s">
        <v>129</v>
      </c>
      <c r="J182" s="30">
        <v>45065</v>
      </c>
      <c r="K182" s="30">
        <v>45103</v>
      </c>
      <c r="L182" s="30">
        <v>45105</v>
      </c>
      <c r="M182" s="30">
        <v>45078</v>
      </c>
      <c r="N182" s="30">
        <v>45096</v>
      </c>
      <c r="O182" s="28" t="s">
        <v>157</v>
      </c>
      <c r="P182" s="30" t="s">
        <v>157</v>
      </c>
      <c r="AA182" s="28" t="str">
        <f t="shared" si="2"/>
        <v/>
      </c>
    </row>
    <row r="183" spans="1:27" ht="15" customHeight="1" x14ac:dyDescent="0.25">
      <c r="A183" s="31" t="s">
        <v>561</v>
      </c>
      <c r="B183" s="29" t="s">
        <v>549</v>
      </c>
      <c r="C183" s="29" t="s">
        <v>562</v>
      </c>
      <c r="D183" s="28" t="s">
        <v>128</v>
      </c>
      <c r="E183" s="28" t="s">
        <v>81</v>
      </c>
      <c r="F183" s="28" t="s">
        <v>75</v>
      </c>
      <c r="G183" s="54" t="s">
        <v>76</v>
      </c>
      <c r="H183" s="28" t="s">
        <v>93</v>
      </c>
      <c r="I183" s="28" t="s">
        <v>129</v>
      </c>
      <c r="J183" s="30">
        <v>45065</v>
      </c>
      <c r="K183" s="30">
        <v>45103</v>
      </c>
      <c r="L183" s="30">
        <v>45105</v>
      </c>
      <c r="M183" s="30">
        <v>45078</v>
      </c>
      <c r="N183" s="30">
        <v>45096</v>
      </c>
      <c r="O183" s="28" t="s">
        <v>157</v>
      </c>
      <c r="P183" s="30" t="s">
        <v>157</v>
      </c>
      <c r="S183" s="37"/>
      <c r="T183" s="37"/>
      <c r="W183" s="37"/>
      <c r="X183" s="37"/>
      <c r="AA183" s="28" t="str">
        <f t="shared" si="2"/>
        <v/>
      </c>
    </row>
    <row r="184" spans="1:27" ht="15" customHeight="1" x14ac:dyDescent="0.25">
      <c r="A184" s="31" t="s">
        <v>561</v>
      </c>
      <c r="B184" s="29" t="s">
        <v>549</v>
      </c>
      <c r="C184" s="29" t="s">
        <v>562</v>
      </c>
      <c r="D184" s="28" t="s">
        <v>128</v>
      </c>
      <c r="E184" s="28" t="s">
        <v>81</v>
      </c>
      <c r="F184" s="28" t="s">
        <v>75</v>
      </c>
      <c r="G184" s="28" t="s">
        <v>76</v>
      </c>
      <c r="H184" s="28" t="s">
        <v>93</v>
      </c>
      <c r="I184" s="28" t="s">
        <v>129</v>
      </c>
      <c r="J184" s="30">
        <v>45065</v>
      </c>
      <c r="K184" s="30">
        <v>45103</v>
      </c>
      <c r="L184" s="30">
        <v>45105</v>
      </c>
      <c r="M184" s="30">
        <v>45096</v>
      </c>
      <c r="N184" s="30">
        <v>45096</v>
      </c>
      <c r="O184" s="28" t="s">
        <v>157</v>
      </c>
      <c r="P184" s="30" t="s">
        <v>157</v>
      </c>
      <c r="AA184" s="28" t="str">
        <f t="shared" si="2"/>
        <v/>
      </c>
    </row>
    <row r="185" spans="1:27" ht="15" customHeight="1" x14ac:dyDescent="0.25">
      <c r="A185" s="31" t="s">
        <v>563</v>
      </c>
      <c r="B185" s="29" t="s">
        <v>549</v>
      </c>
      <c r="C185" s="29" t="s">
        <v>564</v>
      </c>
      <c r="D185" s="28" t="s">
        <v>128</v>
      </c>
      <c r="E185" s="28" t="s">
        <v>81</v>
      </c>
      <c r="F185" s="28" t="s">
        <v>75</v>
      </c>
      <c r="G185" s="54" t="s">
        <v>76</v>
      </c>
      <c r="H185" s="28" t="s">
        <v>92</v>
      </c>
      <c r="I185" s="28" t="s">
        <v>129</v>
      </c>
      <c r="J185" s="30">
        <v>45065</v>
      </c>
      <c r="K185" s="30">
        <v>45103</v>
      </c>
      <c r="L185" s="30">
        <v>45105</v>
      </c>
      <c r="M185" s="30">
        <v>45096</v>
      </c>
      <c r="N185" s="30">
        <v>45096</v>
      </c>
      <c r="O185" s="28" t="s">
        <v>157</v>
      </c>
      <c r="P185" s="30" t="s">
        <v>157</v>
      </c>
      <c r="S185" s="37"/>
      <c r="T185" s="37"/>
      <c r="W185" s="37"/>
      <c r="X185" s="37"/>
      <c r="AA185" s="28" t="str">
        <f t="shared" si="2"/>
        <v/>
      </c>
    </row>
    <row r="186" spans="1:27" ht="15" customHeight="1" x14ac:dyDescent="0.25">
      <c r="A186" s="31" t="s">
        <v>563</v>
      </c>
      <c r="B186" s="29" t="s">
        <v>549</v>
      </c>
      <c r="C186" s="29" t="s">
        <v>564</v>
      </c>
      <c r="D186" s="28" t="s">
        <v>128</v>
      </c>
      <c r="E186" s="28" t="s">
        <v>81</v>
      </c>
      <c r="F186" s="28" t="s">
        <v>75</v>
      </c>
      <c r="G186" s="28" t="s">
        <v>76</v>
      </c>
      <c r="H186" s="28" t="s">
        <v>92</v>
      </c>
      <c r="I186" s="28" t="s">
        <v>129</v>
      </c>
      <c r="J186" s="30">
        <v>45065</v>
      </c>
      <c r="K186" s="30">
        <v>45103</v>
      </c>
      <c r="L186" s="30">
        <v>45105</v>
      </c>
      <c r="M186" s="30">
        <v>45078</v>
      </c>
      <c r="N186" s="30">
        <v>45096</v>
      </c>
      <c r="O186" s="28" t="s">
        <v>157</v>
      </c>
      <c r="P186" s="30" t="s">
        <v>157</v>
      </c>
      <c r="AA186" s="28" t="str">
        <f t="shared" si="2"/>
        <v/>
      </c>
    </row>
    <row r="187" spans="1:27" ht="15" customHeight="1" x14ac:dyDescent="0.25">
      <c r="A187" s="31" t="s">
        <v>565</v>
      </c>
      <c r="B187" s="29" t="s">
        <v>549</v>
      </c>
      <c r="C187" s="29" t="s">
        <v>566</v>
      </c>
      <c r="D187" s="28" t="s">
        <v>128</v>
      </c>
      <c r="E187" s="28" t="s">
        <v>81</v>
      </c>
      <c r="F187" s="28" t="s">
        <v>75</v>
      </c>
      <c r="G187" s="54" t="s">
        <v>76</v>
      </c>
      <c r="H187" s="28" t="s">
        <v>92</v>
      </c>
      <c r="I187" s="28" t="s">
        <v>129</v>
      </c>
      <c r="J187" s="30">
        <v>45065</v>
      </c>
      <c r="K187" s="30">
        <v>45103</v>
      </c>
      <c r="L187" s="30">
        <v>45105</v>
      </c>
      <c r="M187" s="30">
        <v>45096</v>
      </c>
      <c r="N187" s="30">
        <v>45096</v>
      </c>
      <c r="O187" s="28" t="s">
        <v>157</v>
      </c>
      <c r="P187" s="30" t="s">
        <v>157</v>
      </c>
      <c r="S187" s="37"/>
      <c r="T187" s="37"/>
      <c r="W187" s="37"/>
      <c r="X187" s="37"/>
      <c r="AA187" s="28" t="str">
        <f t="shared" si="2"/>
        <v/>
      </c>
    </row>
    <row r="188" spans="1:27" ht="15" customHeight="1" x14ac:dyDescent="0.25">
      <c r="A188" s="31" t="s">
        <v>565</v>
      </c>
      <c r="B188" s="29" t="s">
        <v>549</v>
      </c>
      <c r="C188" s="29" t="s">
        <v>566</v>
      </c>
      <c r="D188" s="28" t="s">
        <v>128</v>
      </c>
      <c r="E188" s="28" t="s">
        <v>81</v>
      </c>
      <c r="F188" s="28" t="s">
        <v>75</v>
      </c>
      <c r="G188" s="28" t="s">
        <v>76</v>
      </c>
      <c r="H188" s="28" t="s">
        <v>92</v>
      </c>
      <c r="I188" s="28" t="s">
        <v>129</v>
      </c>
      <c r="J188" s="30">
        <v>45065</v>
      </c>
      <c r="K188" s="30">
        <v>45103</v>
      </c>
      <c r="L188" s="30">
        <v>45105</v>
      </c>
      <c r="M188" s="30">
        <v>45083</v>
      </c>
      <c r="N188" s="30">
        <v>45096</v>
      </c>
      <c r="O188" s="28" t="s">
        <v>157</v>
      </c>
      <c r="P188" s="30" t="s">
        <v>157</v>
      </c>
      <c r="AA188" s="28" t="str">
        <f t="shared" si="2"/>
        <v/>
      </c>
    </row>
    <row r="189" spans="1:27" ht="15" customHeight="1" x14ac:dyDescent="0.25">
      <c r="A189" s="31" t="s">
        <v>567</v>
      </c>
      <c r="B189" s="29" t="s">
        <v>549</v>
      </c>
      <c r="C189" s="29" t="s">
        <v>568</v>
      </c>
      <c r="D189" s="28" t="s">
        <v>128</v>
      </c>
      <c r="E189" s="28" t="s">
        <v>81</v>
      </c>
      <c r="F189" s="28" t="s">
        <v>75</v>
      </c>
      <c r="G189" s="54" t="s">
        <v>76</v>
      </c>
      <c r="H189" s="28" t="s">
        <v>92</v>
      </c>
      <c r="I189" s="28" t="s">
        <v>129</v>
      </c>
      <c r="J189" s="30">
        <v>45065</v>
      </c>
      <c r="K189" s="30">
        <v>45103</v>
      </c>
      <c r="L189" s="30">
        <v>45105</v>
      </c>
      <c r="M189" s="30">
        <v>45096</v>
      </c>
      <c r="N189" s="30">
        <v>45096</v>
      </c>
      <c r="O189" s="28" t="s">
        <v>157</v>
      </c>
      <c r="P189" s="30" t="s">
        <v>157</v>
      </c>
      <c r="S189" s="37"/>
      <c r="T189" s="37"/>
      <c r="W189" s="37"/>
      <c r="X189" s="37"/>
      <c r="AA189" s="28" t="str">
        <f t="shared" si="2"/>
        <v/>
      </c>
    </row>
    <row r="190" spans="1:27" ht="15" customHeight="1" x14ac:dyDescent="0.25">
      <c r="A190" s="31" t="s">
        <v>567</v>
      </c>
      <c r="B190" s="29" t="s">
        <v>549</v>
      </c>
      <c r="C190" s="29" t="s">
        <v>568</v>
      </c>
      <c r="D190" s="28" t="s">
        <v>128</v>
      </c>
      <c r="E190" s="28" t="s">
        <v>81</v>
      </c>
      <c r="F190" s="28" t="s">
        <v>75</v>
      </c>
      <c r="G190" s="28" t="s">
        <v>76</v>
      </c>
      <c r="H190" s="28" t="s">
        <v>92</v>
      </c>
      <c r="I190" s="28" t="s">
        <v>129</v>
      </c>
      <c r="J190" s="30">
        <v>45065</v>
      </c>
      <c r="K190" s="30">
        <v>45103</v>
      </c>
      <c r="L190" s="30">
        <v>45105</v>
      </c>
      <c r="M190" s="30">
        <v>45083</v>
      </c>
      <c r="N190" s="30">
        <v>45096</v>
      </c>
      <c r="O190" s="28" t="s">
        <v>157</v>
      </c>
      <c r="P190" s="30" t="s">
        <v>157</v>
      </c>
      <c r="AA190" s="28" t="str">
        <f t="shared" si="2"/>
        <v/>
      </c>
    </row>
    <row r="191" spans="1:27" ht="15" customHeight="1" x14ac:dyDescent="0.25">
      <c r="A191" s="31" t="s">
        <v>569</v>
      </c>
      <c r="B191" s="29" t="s">
        <v>549</v>
      </c>
      <c r="C191" s="29" t="s">
        <v>570</v>
      </c>
      <c r="D191" s="28" t="s">
        <v>128</v>
      </c>
      <c r="E191" s="28" t="s">
        <v>81</v>
      </c>
      <c r="F191" s="28" t="s">
        <v>75</v>
      </c>
      <c r="G191" s="54" t="s">
        <v>76</v>
      </c>
      <c r="H191" s="28" t="s">
        <v>93</v>
      </c>
      <c r="I191" s="28" t="s">
        <v>129</v>
      </c>
      <c r="J191" s="30">
        <v>45065</v>
      </c>
      <c r="K191" s="30">
        <v>45103</v>
      </c>
      <c r="L191" s="30">
        <v>45105</v>
      </c>
      <c r="M191" s="30">
        <v>45097</v>
      </c>
      <c r="N191" s="30">
        <v>45097</v>
      </c>
      <c r="O191" s="28" t="s">
        <v>157</v>
      </c>
      <c r="P191" s="30" t="s">
        <v>157</v>
      </c>
      <c r="S191" s="37"/>
      <c r="T191" s="37"/>
      <c r="W191" s="37"/>
      <c r="X191" s="37"/>
      <c r="AA191" s="28" t="str">
        <f t="shared" si="2"/>
        <v/>
      </c>
    </row>
    <row r="192" spans="1:27" ht="15" customHeight="1" x14ac:dyDescent="0.25">
      <c r="A192" s="31" t="s">
        <v>569</v>
      </c>
      <c r="B192" s="29" t="s">
        <v>549</v>
      </c>
      <c r="C192" s="29" t="s">
        <v>570</v>
      </c>
      <c r="D192" s="28" t="s">
        <v>128</v>
      </c>
      <c r="E192" s="28" t="s">
        <v>81</v>
      </c>
      <c r="F192" s="28" t="s">
        <v>75</v>
      </c>
      <c r="G192" s="28" t="s">
        <v>76</v>
      </c>
      <c r="H192" s="28" t="s">
        <v>93</v>
      </c>
      <c r="I192" s="28" t="s">
        <v>129</v>
      </c>
      <c r="J192" s="30">
        <v>45065</v>
      </c>
      <c r="K192" s="30">
        <v>45103</v>
      </c>
      <c r="L192" s="30">
        <v>45105</v>
      </c>
      <c r="M192" s="30">
        <v>45096</v>
      </c>
      <c r="N192" s="30">
        <v>45097</v>
      </c>
      <c r="O192" s="28" t="s">
        <v>157</v>
      </c>
      <c r="P192" s="30" t="s">
        <v>157</v>
      </c>
      <c r="AA192" s="28" t="str">
        <f t="shared" si="2"/>
        <v/>
      </c>
    </row>
    <row r="193" spans="1:27" ht="15" customHeight="1" x14ac:dyDescent="0.25">
      <c r="A193" s="31" t="s">
        <v>571</v>
      </c>
      <c r="B193" s="29" t="s">
        <v>549</v>
      </c>
      <c r="C193" s="29" t="s">
        <v>572</v>
      </c>
      <c r="D193" s="28" t="s">
        <v>128</v>
      </c>
      <c r="E193" s="28" t="s">
        <v>81</v>
      </c>
      <c r="F193" s="28" t="s">
        <v>75</v>
      </c>
      <c r="G193" s="54" t="s">
        <v>76</v>
      </c>
      <c r="H193" s="28" t="s">
        <v>92</v>
      </c>
      <c r="I193" s="28" t="s">
        <v>129</v>
      </c>
      <c r="J193" s="30">
        <v>45065</v>
      </c>
      <c r="K193" s="30">
        <v>45103</v>
      </c>
      <c r="L193" s="30">
        <v>45105</v>
      </c>
      <c r="M193" s="30">
        <v>45098</v>
      </c>
      <c r="N193" s="30">
        <v>45098</v>
      </c>
      <c r="O193" s="28" t="s">
        <v>157</v>
      </c>
      <c r="P193" s="30" t="s">
        <v>157</v>
      </c>
      <c r="S193" s="37"/>
      <c r="T193" s="37"/>
      <c r="W193" s="37"/>
      <c r="X193" s="37"/>
      <c r="AA193" s="28" t="str">
        <f t="shared" si="2"/>
        <v/>
      </c>
    </row>
    <row r="194" spans="1:27" ht="15" customHeight="1" x14ac:dyDescent="0.25">
      <c r="A194" s="31" t="s">
        <v>571</v>
      </c>
      <c r="B194" s="29" t="s">
        <v>549</v>
      </c>
      <c r="C194" s="29" t="s">
        <v>572</v>
      </c>
      <c r="D194" s="28" t="s">
        <v>128</v>
      </c>
      <c r="E194" s="28" t="s">
        <v>81</v>
      </c>
      <c r="F194" s="28" t="s">
        <v>75</v>
      </c>
      <c r="G194" s="28" t="s">
        <v>76</v>
      </c>
      <c r="H194" s="28" t="s">
        <v>92</v>
      </c>
      <c r="I194" s="28" t="s">
        <v>129</v>
      </c>
      <c r="J194" s="30">
        <v>45065</v>
      </c>
      <c r="K194" s="30">
        <v>45103</v>
      </c>
      <c r="L194" s="30">
        <v>45105</v>
      </c>
      <c r="M194" s="30">
        <v>45097</v>
      </c>
      <c r="N194" s="30">
        <v>45098</v>
      </c>
      <c r="O194" s="28" t="s">
        <v>157</v>
      </c>
      <c r="P194" s="30" t="s">
        <v>157</v>
      </c>
      <c r="AA194" s="28" t="str">
        <f t="shared" si="2"/>
        <v/>
      </c>
    </row>
    <row r="195" spans="1:27" ht="15" customHeight="1" x14ac:dyDescent="0.25">
      <c r="A195" s="31" t="s">
        <v>573</v>
      </c>
      <c r="B195" s="29" t="s">
        <v>549</v>
      </c>
      <c r="C195" s="29" t="s">
        <v>574</v>
      </c>
      <c r="D195" s="28" t="s">
        <v>128</v>
      </c>
      <c r="E195" s="28" t="s">
        <v>81</v>
      </c>
      <c r="F195" s="28" t="s">
        <v>75</v>
      </c>
      <c r="G195" s="54" t="s">
        <v>76</v>
      </c>
      <c r="H195" s="28" t="s">
        <v>93</v>
      </c>
      <c r="I195" s="28" t="s">
        <v>129</v>
      </c>
      <c r="J195" s="30">
        <v>45065</v>
      </c>
      <c r="K195" s="30">
        <v>45103</v>
      </c>
      <c r="L195" s="30">
        <v>45105</v>
      </c>
      <c r="M195" s="30">
        <v>45096</v>
      </c>
      <c r="N195" s="30">
        <v>45096</v>
      </c>
      <c r="O195" s="28" t="s">
        <v>157</v>
      </c>
      <c r="P195" s="30" t="s">
        <v>157</v>
      </c>
      <c r="S195" s="37"/>
      <c r="T195" s="37"/>
      <c r="W195" s="37"/>
      <c r="X195" s="37"/>
      <c r="AA195" s="28" t="str">
        <f t="shared" si="2"/>
        <v/>
      </c>
    </row>
    <row r="196" spans="1:27" ht="15" customHeight="1" x14ac:dyDescent="0.25">
      <c r="A196" s="31" t="s">
        <v>573</v>
      </c>
      <c r="B196" s="29" t="s">
        <v>549</v>
      </c>
      <c r="C196" s="29" t="s">
        <v>574</v>
      </c>
      <c r="D196" s="28" t="s">
        <v>128</v>
      </c>
      <c r="E196" s="28" t="s">
        <v>81</v>
      </c>
      <c r="F196" s="28" t="s">
        <v>75</v>
      </c>
      <c r="G196" s="28" t="s">
        <v>76</v>
      </c>
      <c r="H196" s="28" t="s">
        <v>93</v>
      </c>
      <c r="I196" s="28" t="s">
        <v>129</v>
      </c>
      <c r="J196" s="30">
        <v>45065</v>
      </c>
      <c r="K196" s="30">
        <v>45103</v>
      </c>
      <c r="L196" s="30">
        <v>45105</v>
      </c>
      <c r="M196" s="30">
        <v>45092</v>
      </c>
      <c r="N196" s="30">
        <v>45096</v>
      </c>
      <c r="O196" s="28" t="s">
        <v>157</v>
      </c>
      <c r="P196" s="30" t="s">
        <v>157</v>
      </c>
      <c r="AA196" s="28" t="str">
        <f t="shared" si="2"/>
        <v/>
      </c>
    </row>
    <row r="197" spans="1:27" ht="15" customHeight="1" x14ac:dyDescent="0.25">
      <c r="A197" s="31" t="s">
        <v>575</v>
      </c>
      <c r="B197" s="29" t="s">
        <v>549</v>
      </c>
      <c r="C197" s="29" t="s">
        <v>576</v>
      </c>
      <c r="D197" s="28" t="s">
        <v>128</v>
      </c>
      <c r="E197" s="28" t="s">
        <v>81</v>
      </c>
      <c r="F197" s="28" t="s">
        <v>75</v>
      </c>
      <c r="G197" s="54" t="s">
        <v>76</v>
      </c>
      <c r="H197" s="28" t="s">
        <v>92</v>
      </c>
      <c r="I197" s="28" t="s">
        <v>129</v>
      </c>
      <c r="J197" s="30">
        <v>45065</v>
      </c>
      <c r="K197" s="30">
        <v>45103</v>
      </c>
      <c r="L197" s="30">
        <v>45105</v>
      </c>
      <c r="M197" s="30">
        <v>45099</v>
      </c>
      <c r="N197" s="30">
        <v>45100</v>
      </c>
      <c r="O197" s="28" t="s">
        <v>157</v>
      </c>
      <c r="P197" s="30" t="s">
        <v>157</v>
      </c>
      <c r="S197" s="37"/>
      <c r="T197" s="37"/>
      <c r="W197" s="37"/>
      <c r="X197" s="37"/>
      <c r="AA197" s="28" t="str">
        <f t="shared" si="2"/>
        <v/>
      </c>
    </row>
    <row r="198" spans="1:27" ht="15" customHeight="1" x14ac:dyDescent="0.25">
      <c r="A198" s="31" t="s">
        <v>575</v>
      </c>
      <c r="B198" s="29" t="s">
        <v>549</v>
      </c>
      <c r="C198" s="29" t="s">
        <v>576</v>
      </c>
      <c r="D198" s="28" t="s">
        <v>128</v>
      </c>
      <c r="E198" s="28" t="s">
        <v>81</v>
      </c>
      <c r="F198" s="28" t="s">
        <v>75</v>
      </c>
      <c r="G198" s="28" t="s">
        <v>76</v>
      </c>
      <c r="H198" s="28" t="s">
        <v>92</v>
      </c>
      <c r="I198" s="28" t="s">
        <v>129</v>
      </c>
      <c r="J198" s="30">
        <v>45065</v>
      </c>
      <c r="K198" s="30">
        <v>45103</v>
      </c>
      <c r="L198" s="30">
        <v>45105</v>
      </c>
      <c r="M198" s="30">
        <v>45100</v>
      </c>
      <c r="N198" s="30">
        <v>45100</v>
      </c>
      <c r="O198" s="28" t="s">
        <v>157</v>
      </c>
      <c r="P198" s="30" t="s">
        <v>157</v>
      </c>
      <c r="AA198" s="28" t="str">
        <f t="shared" si="2"/>
        <v/>
      </c>
    </row>
    <row r="199" spans="1:27" ht="15" customHeight="1" x14ac:dyDescent="0.25">
      <c r="A199" s="31" t="s">
        <v>577</v>
      </c>
      <c r="B199" s="29" t="s">
        <v>549</v>
      </c>
      <c r="C199" s="29" t="s">
        <v>578</v>
      </c>
      <c r="D199" s="28" t="s">
        <v>128</v>
      </c>
      <c r="E199" s="28" t="s">
        <v>81</v>
      </c>
      <c r="F199" s="28" t="s">
        <v>75</v>
      </c>
      <c r="G199" s="54" t="s">
        <v>76</v>
      </c>
      <c r="H199" s="28" t="s">
        <v>93</v>
      </c>
      <c r="I199" s="28" t="s">
        <v>129</v>
      </c>
      <c r="J199" s="30">
        <v>45065</v>
      </c>
      <c r="K199" s="30">
        <v>45103</v>
      </c>
      <c r="L199" s="30">
        <v>45105</v>
      </c>
      <c r="M199" s="30">
        <v>45097</v>
      </c>
      <c r="N199" s="30">
        <v>45097</v>
      </c>
      <c r="O199" s="28" t="s">
        <v>157</v>
      </c>
      <c r="P199" s="30" t="s">
        <v>157</v>
      </c>
      <c r="S199" s="37"/>
      <c r="T199" s="37"/>
      <c r="W199" s="37"/>
      <c r="X199" s="37"/>
      <c r="AA199" s="28" t="str">
        <f t="shared" si="2"/>
        <v/>
      </c>
    </row>
    <row r="200" spans="1:27" ht="15" customHeight="1" x14ac:dyDescent="0.25">
      <c r="A200" s="31" t="s">
        <v>577</v>
      </c>
      <c r="B200" s="29" t="s">
        <v>549</v>
      </c>
      <c r="C200" s="29" t="s">
        <v>578</v>
      </c>
      <c r="D200" s="28" t="s">
        <v>128</v>
      </c>
      <c r="E200" s="28" t="s">
        <v>81</v>
      </c>
      <c r="F200" s="28" t="s">
        <v>75</v>
      </c>
      <c r="G200" s="28" t="s">
        <v>76</v>
      </c>
      <c r="H200" s="28" t="s">
        <v>93</v>
      </c>
      <c r="I200" s="28" t="s">
        <v>129</v>
      </c>
      <c r="J200" s="30">
        <v>45065</v>
      </c>
      <c r="K200" s="30">
        <v>45103</v>
      </c>
      <c r="L200" s="30">
        <v>45105</v>
      </c>
      <c r="M200" s="30">
        <v>45097</v>
      </c>
      <c r="N200" s="30">
        <v>45097</v>
      </c>
      <c r="O200" s="28" t="s">
        <v>157</v>
      </c>
      <c r="P200" s="30" t="s">
        <v>157</v>
      </c>
      <c r="AA200" s="28" t="str">
        <f t="shared" ref="AA200:AA263" si="3">IFERROR(
IF(AND(X200="Não",Y200="Sim"),"REP",
IF(AND(X200="Sim",Y200="Não"),"Técnico",
IF(AND(X200="Sim",Y200="Sim"),"Ambos",""))),
"")</f>
        <v/>
      </c>
    </row>
    <row r="201" spans="1:27" ht="15" customHeight="1" x14ac:dyDescent="0.25">
      <c r="A201" s="31" t="s">
        <v>579</v>
      </c>
      <c r="B201" s="29" t="s">
        <v>549</v>
      </c>
      <c r="C201" s="29" t="s">
        <v>580</v>
      </c>
      <c r="D201" s="28" t="s">
        <v>128</v>
      </c>
      <c r="E201" s="28" t="s">
        <v>81</v>
      </c>
      <c r="F201" s="28" t="s">
        <v>75</v>
      </c>
      <c r="G201" s="54" t="s">
        <v>76</v>
      </c>
      <c r="H201" s="28" t="s">
        <v>92</v>
      </c>
      <c r="I201" s="28" t="s">
        <v>129</v>
      </c>
      <c r="J201" s="30">
        <v>45065</v>
      </c>
      <c r="K201" s="30">
        <v>45103</v>
      </c>
      <c r="L201" s="30">
        <v>45105</v>
      </c>
      <c r="M201" s="30">
        <v>45100</v>
      </c>
      <c r="N201" s="30">
        <v>45100</v>
      </c>
      <c r="O201" s="28" t="s">
        <v>157</v>
      </c>
      <c r="P201" s="30" t="s">
        <v>157</v>
      </c>
      <c r="S201" s="37"/>
      <c r="T201" s="37"/>
      <c r="W201" s="37"/>
      <c r="X201" s="37"/>
      <c r="AA201" s="28" t="str">
        <f t="shared" si="3"/>
        <v/>
      </c>
    </row>
    <row r="202" spans="1:27" ht="15" customHeight="1" x14ac:dyDescent="0.25">
      <c r="A202" s="31" t="s">
        <v>579</v>
      </c>
      <c r="B202" s="29" t="s">
        <v>549</v>
      </c>
      <c r="C202" s="29" t="s">
        <v>580</v>
      </c>
      <c r="D202" s="28" t="s">
        <v>128</v>
      </c>
      <c r="E202" s="28" t="s">
        <v>81</v>
      </c>
      <c r="F202" s="28" t="s">
        <v>75</v>
      </c>
      <c r="G202" s="28" t="s">
        <v>76</v>
      </c>
      <c r="H202" s="28" t="s">
        <v>92</v>
      </c>
      <c r="I202" s="28" t="s">
        <v>129</v>
      </c>
      <c r="J202" s="30">
        <v>45065</v>
      </c>
      <c r="K202" s="30">
        <v>45103</v>
      </c>
      <c r="L202" s="30">
        <v>45105</v>
      </c>
      <c r="M202" s="30">
        <v>45099</v>
      </c>
      <c r="N202" s="30">
        <v>45100</v>
      </c>
      <c r="O202" s="28" t="s">
        <v>157</v>
      </c>
      <c r="P202" s="30" t="s">
        <v>157</v>
      </c>
      <c r="AA202" s="28" t="str">
        <f t="shared" si="3"/>
        <v/>
      </c>
    </row>
    <row r="203" spans="1:27" ht="15" customHeight="1" x14ac:dyDescent="0.25">
      <c r="A203" s="31" t="s">
        <v>581</v>
      </c>
      <c r="B203" s="29" t="s">
        <v>549</v>
      </c>
      <c r="C203" s="29" t="s">
        <v>582</v>
      </c>
      <c r="D203" s="28" t="s">
        <v>128</v>
      </c>
      <c r="E203" s="28" t="s">
        <v>81</v>
      </c>
      <c r="F203" s="28" t="s">
        <v>75</v>
      </c>
      <c r="G203" s="54" t="s">
        <v>76</v>
      </c>
      <c r="H203" s="28" t="s">
        <v>93</v>
      </c>
      <c r="I203" s="28" t="s">
        <v>129</v>
      </c>
      <c r="J203" s="30">
        <v>45065</v>
      </c>
      <c r="K203" s="30">
        <v>45103</v>
      </c>
      <c r="L203" s="30">
        <v>45105</v>
      </c>
      <c r="M203" s="30">
        <v>45096</v>
      </c>
      <c r="N203" s="30">
        <v>45096</v>
      </c>
      <c r="O203" s="28" t="s">
        <v>157</v>
      </c>
      <c r="P203" s="30" t="s">
        <v>157</v>
      </c>
      <c r="S203" s="37"/>
      <c r="T203" s="37"/>
      <c r="W203" s="37"/>
      <c r="X203" s="37"/>
      <c r="AA203" s="28" t="str">
        <f t="shared" si="3"/>
        <v/>
      </c>
    </row>
    <row r="204" spans="1:27" ht="15" customHeight="1" x14ac:dyDescent="0.25">
      <c r="A204" s="31" t="s">
        <v>581</v>
      </c>
      <c r="B204" s="29" t="s">
        <v>549</v>
      </c>
      <c r="C204" s="29" t="s">
        <v>582</v>
      </c>
      <c r="D204" s="28" t="s">
        <v>128</v>
      </c>
      <c r="E204" s="28" t="s">
        <v>81</v>
      </c>
      <c r="F204" s="28" t="s">
        <v>75</v>
      </c>
      <c r="G204" s="28" t="s">
        <v>76</v>
      </c>
      <c r="H204" s="28" t="s">
        <v>93</v>
      </c>
      <c r="I204" s="28" t="s">
        <v>129</v>
      </c>
      <c r="J204" s="30">
        <v>45065</v>
      </c>
      <c r="K204" s="30">
        <v>45103</v>
      </c>
      <c r="L204" s="30">
        <v>45105</v>
      </c>
      <c r="M204" s="30">
        <v>45092</v>
      </c>
      <c r="N204" s="30">
        <v>45096</v>
      </c>
      <c r="O204" s="28" t="s">
        <v>157</v>
      </c>
      <c r="P204" s="30" t="s">
        <v>157</v>
      </c>
      <c r="AA204" s="28" t="str">
        <f t="shared" si="3"/>
        <v/>
      </c>
    </row>
    <row r="205" spans="1:27" ht="15" customHeight="1" x14ac:dyDescent="0.25">
      <c r="A205" s="31" t="s">
        <v>583</v>
      </c>
      <c r="B205" s="29" t="s">
        <v>549</v>
      </c>
      <c r="C205" s="29" t="s">
        <v>584</v>
      </c>
      <c r="D205" s="28" t="s">
        <v>128</v>
      </c>
      <c r="E205" s="28" t="s">
        <v>81</v>
      </c>
      <c r="F205" s="28" t="s">
        <v>75</v>
      </c>
      <c r="G205" s="54" t="s">
        <v>76</v>
      </c>
      <c r="H205" s="28" t="s">
        <v>93</v>
      </c>
      <c r="I205" s="28" t="s">
        <v>129</v>
      </c>
      <c r="J205" s="30">
        <v>45065</v>
      </c>
      <c r="K205" s="30">
        <v>45103</v>
      </c>
      <c r="L205" s="30">
        <v>45105</v>
      </c>
      <c r="M205" s="30">
        <v>45098</v>
      </c>
      <c r="N205" s="30">
        <v>45098</v>
      </c>
      <c r="O205" s="28" t="s">
        <v>157</v>
      </c>
      <c r="P205" s="30" t="s">
        <v>157</v>
      </c>
      <c r="S205" s="37"/>
      <c r="T205" s="37"/>
      <c r="W205" s="37"/>
      <c r="X205" s="37"/>
      <c r="AA205" s="28" t="str">
        <f t="shared" si="3"/>
        <v/>
      </c>
    </row>
    <row r="206" spans="1:27" ht="15" customHeight="1" x14ac:dyDescent="0.25">
      <c r="A206" s="31" t="s">
        <v>583</v>
      </c>
      <c r="B206" s="29" t="s">
        <v>549</v>
      </c>
      <c r="C206" s="29" t="s">
        <v>584</v>
      </c>
      <c r="D206" s="28" t="s">
        <v>128</v>
      </c>
      <c r="E206" s="28" t="s">
        <v>81</v>
      </c>
      <c r="F206" s="28" t="s">
        <v>75</v>
      </c>
      <c r="G206" s="28" t="s">
        <v>76</v>
      </c>
      <c r="H206" s="28" t="s">
        <v>93</v>
      </c>
      <c r="I206" s="28" t="s">
        <v>129</v>
      </c>
      <c r="J206" s="30">
        <v>45065</v>
      </c>
      <c r="K206" s="30">
        <v>45103</v>
      </c>
      <c r="L206" s="30">
        <v>45105</v>
      </c>
      <c r="M206" s="30">
        <v>45098</v>
      </c>
      <c r="N206" s="30">
        <v>45098</v>
      </c>
      <c r="O206" s="28" t="s">
        <v>157</v>
      </c>
      <c r="P206" s="30" t="s">
        <v>157</v>
      </c>
      <c r="AA206" s="28" t="str">
        <f t="shared" si="3"/>
        <v/>
      </c>
    </row>
    <row r="207" spans="1:27" ht="15" customHeight="1" x14ac:dyDescent="0.25">
      <c r="A207" s="31" t="s">
        <v>585</v>
      </c>
      <c r="B207" s="29" t="s">
        <v>586</v>
      </c>
      <c r="C207" s="29" t="s">
        <v>587</v>
      </c>
      <c r="D207" s="28" t="s">
        <v>128</v>
      </c>
      <c r="E207" s="28" t="s">
        <v>81</v>
      </c>
      <c r="F207" s="28" t="s">
        <v>75</v>
      </c>
      <c r="G207" s="54" t="s">
        <v>76</v>
      </c>
      <c r="H207" s="28" t="s">
        <v>93</v>
      </c>
      <c r="I207" s="28" t="s">
        <v>129</v>
      </c>
      <c r="J207" s="30">
        <v>45065</v>
      </c>
      <c r="K207" s="30">
        <v>45098</v>
      </c>
      <c r="L207" s="30">
        <v>45100</v>
      </c>
      <c r="M207" s="30">
        <v>45092</v>
      </c>
      <c r="N207" s="30">
        <v>45092</v>
      </c>
      <c r="O207" s="28" t="s">
        <v>157</v>
      </c>
      <c r="P207" s="30" t="s">
        <v>157</v>
      </c>
      <c r="S207" s="37"/>
      <c r="T207" s="37"/>
      <c r="W207" s="37"/>
      <c r="X207" s="37"/>
      <c r="AA207" s="28" t="str">
        <f t="shared" si="3"/>
        <v/>
      </c>
    </row>
    <row r="208" spans="1:27" ht="15" customHeight="1" x14ac:dyDescent="0.25">
      <c r="A208" s="31" t="s">
        <v>585</v>
      </c>
      <c r="B208" s="29" t="s">
        <v>586</v>
      </c>
      <c r="C208" s="29" t="s">
        <v>587</v>
      </c>
      <c r="D208" s="28" t="s">
        <v>128</v>
      </c>
      <c r="E208" s="28" t="s">
        <v>81</v>
      </c>
      <c r="F208" s="28" t="s">
        <v>75</v>
      </c>
      <c r="G208" s="28" t="s">
        <v>76</v>
      </c>
      <c r="H208" s="28" t="s">
        <v>93</v>
      </c>
      <c r="I208" s="28" t="s">
        <v>129</v>
      </c>
      <c r="J208" s="30">
        <v>45065</v>
      </c>
      <c r="K208" s="30">
        <v>45098</v>
      </c>
      <c r="L208" s="30">
        <v>45100</v>
      </c>
      <c r="M208" s="30">
        <v>45083</v>
      </c>
      <c r="N208" s="30">
        <v>45092</v>
      </c>
      <c r="O208" s="28" t="s">
        <v>157</v>
      </c>
      <c r="P208" s="30" t="s">
        <v>157</v>
      </c>
      <c r="AA208" s="28" t="str">
        <f t="shared" si="3"/>
        <v/>
      </c>
    </row>
    <row r="209" spans="1:27" ht="15" customHeight="1" x14ac:dyDescent="0.25">
      <c r="A209" s="31" t="s">
        <v>588</v>
      </c>
      <c r="B209" s="29" t="s">
        <v>586</v>
      </c>
      <c r="C209" s="29" t="s">
        <v>589</v>
      </c>
      <c r="D209" s="28" t="s">
        <v>128</v>
      </c>
      <c r="E209" s="28" t="s">
        <v>81</v>
      </c>
      <c r="F209" s="28" t="s">
        <v>75</v>
      </c>
      <c r="G209" s="54" t="s">
        <v>76</v>
      </c>
      <c r="H209" s="28" t="s">
        <v>93</v>
      </c>
      <c r="I209" s="28" t="s">
        <v>129</v>
      </c>
      <c r="J209" s="30">
        <v>45065</v>
      </c>
      <c r="K209" s="30">
        <v>45098</v>
      </c>
      <c r="L209" s="30">
        <v>45100</v>
      </c>
      <c r="M209" s="30">
        <v>45079</v>
      </c>
      <c r="N209" s="30">
        <v>45092</v>
      </c>
      <c r="O209" s="28" t="s">
        <v>157</v>
      </c>
      <c r="P209" s="30" t="s">
        <v>157</v>
      </c>
      <c r="S209" s="37"/>
      <c r="T209" s="37"/>
      <c r="W209" s="37"/>
      <c r="X209" s="37"/>
      <c r="AA209" s="28" t="str">
        <f t="shared" si="3"/>
        <v/>
      </c>
    </row>
    <row r="210" spans="1:27" ht="15" customHeight="1" x14ac:dyDescent="0.25">
      <c r="A210" s="31" t="s">
        <v>588</v>
      </c>
      <c r="B210" s="29" t="s">
        <v>586</v>
      </c>
      <c r="C210" s="29" t="s">
        <v>589</v>
      </c>
      <c r="D210" s="28" t="s">
        <v>128</v>
      </c>
      <c r="E210" s="28" t="s">
        <v>81</v>
      </c>
      <c r="F210" s="28" t="s">
        <v>75</v>
      </c>
      <c r="G210" s="28" t="s">
        <v>76</v>
      </c>
      <c r="H210" s="28" t="s">
        <v>93</v>
      </c>
      <c r="I210" s="28" t="s">
        <v>129</v>
      </c>
      <c r="J210" s="30">
        <v>45065</v>
      </c>
      <c r="K210" s="30">
        <v>45098</v>
      </c>
      <c r="L210" s="30">
        <v>45100</v>
      </c>
      <c r="M210" s="30">
        <v>45092</v>
      </c>
      <c r="N210" s="30">
        <v>45092</v>
      </c>
      <c r="O210" s="28" t="s">
        <v>157</v>
      </c>
      <c r="P210" s="30" t="s">
        <v>157</v>
      </c>
      <c r="AA210" s="28" t="str">
        <f t="shared" si="3"/>
        <v/>
      </c>
    </row>
    <row r="211" spans="1:27" ht="15" customHeight="1" x14ac:dyDescent="0.25">
      <c r="A211" s="31" t="s">
        <v>590</v>
      </c>
      <c r="B211" s="29" t="s">
        <v>586</v>
      </c>
      <c r="C211" s="29" t="s">
        <v>591</v>
      </c>
      <c r="D211" s="28" t="s">
        <v>128</v>
      </c>
      <c r="E211" s="28" t="s">
        <v>81</v>
      </c>
      <c r="F211" s="28" t="s">
        <v>75</v>
      </c>
      <c r="G211" s="54" t="s">
        <v>76</v>
      </c>
      <c r="H211" s="28" t="s">
        <v>93</v>
      </c>
      <c r="I211" s="28" t="s">
        <v>129</v>
      </c>
      <c r="J211" s="30">
        <v>45065</v>
      </c>
      <c r="K211" s="30">
        <v>45098</v>
      </c>
      <c r="L211" s="30">
        <v>45100</v>
      </c>
      <c r="M211" s="30">
        <v>45092</v>
      </c>
      <c r="N211" s="30">
        <v>45092</v>
      </c>
      <c r="O211" s="28" t="s">
        <v>157</v>
      </c>
      <c r="P211" s="30" t="s">
        <v>157</v>
      </c>
      <c r="S211" s="37"/>
      <c r="T211" s="37"/>
      <c r="W211" s="37"/>
      <c r="X211" s="37"/>
      <c r="AA211" s="28" t="str">
        <f t="shared" si="3"/>
        <v/>
      </c>
    </row>
    <row r="212" spans="1:27" ht="15" customHeight="1" x14ac:dyDescent="0.25">
      <c r="A212" s="31" t="s">
        <v>590</v>
      </c>
      <c r="B212" s="29" t="s">
        <v>586</v>
      </c>
      <c r="C212" s="29" t="s">
        <v>591</v>
      </c>
      <c r="D212" s="28" t="s">
        <v>128</v>
      </c>
      <c r="E212" s="28" t="s">
        <v>81</v>
      </c>
      <c r="F212" s="28" t="s">
        <v>75</v>
      </c>
      <c r="G212" s="28" t="s">
        <v>76</v>
      </c>
      <c r="H212" s="28" t="s">
        <v>93</v>
      </c>
      <c r="I212" s="28" t="s">
        <v>129</v>
      </c>
      <c r="J212" s="30">
        <v>45065</v>
      </c>
      <c r="K212" s="30">
        <v>45098</v>
      </c>
      <c r="L212" s="30">
        <v>45100</v>
      </c>
      <c r="M212" s="30">
        <v>45083</v>
      </c>
      <c r="N212" s="30">
        <v>45092</v>
      </c>
      <c r="O212" s="28" t="s">
        <v>157</v>
      </c>
      <c r="P212" s="30" t="s">
        <v>157</v>
      </c>
      <c r="AA212" s="28" t="str">
        <f t="shared" si="3"/>
        <v/>
      </c>
    </row>
    <row r="213" spans="1:27" ht="15" customHeight="1" x14ac:dyDescent="0.25">
      <c r="A213" s="31" t="s">
        <v>592</v>
      </c>
      <c r="B213" s="29" t="s">
        <v>586</v>
      </c>
      <c r="C213" s="29" t="s">
        <v>593</v>
      </c>
      <c r="E213" s="28" t="s">
        <v>81</v>
      </c>
      <c r="G213" s="54" t="s">
        <v>76</v>
      </c>
      <c r="H213" s="28" t="s">
        <v>93</v>
      </c>
      <c r="I213" s="28" t="s">
        <v>129</v>
      </c>
      <c r="J213" s="30">
        <v>45065</v>
      </c>
      <c r="K213" s="30">
        <v>45098</v>
      </c>
      <c r="L213" s="30">
        <v>45100</v>
      </c>
      <c r="M213" s="30">
        <v>45092</v>
      </c>
      <c r="N213" s="30">
        <v>45092</v>
      </c>
      <c r="O213" s="28" t="s">
        <v>157</v>
      </c>
      <c r="P213" s="30" t="s">
        <v>157</v>
      </c>
      <c r="S213" s="37"/>
      <c r="T213" s="37"/>
      <c r="W213" s="37"/>
      <c r="X213" s="37"/>
      <c r="AA213" s="28" t="str">
        <f t="shared" si="3"/>
        <v/>
      </c>
    </row>
    <row r="214" spans="1:27" ht="15" customHeight="1" x14ac:dyDescent="0.25">
      <c r="A214" s="31" t="s">
        <v>592</v>
      </c>
      <c r="B214" s="29" t="s">
        <v>586</v>
      </c>
      <c r="C214" s="29" t="s">
        <v>594</v>
      </c>
      <c r="D214" s="28" t="s">
        <v>128</v>
      </c>
      <c r="E214" s="28" t="s">
        <v>81</v>
      </c>
      <c r="F214" s="28" t="s">
        <v>75</v>
      </c>
      <c r="G214" s="54" t="s">
        <v>76</v>
      </c>
      <c r="H214" s="28" t="s">
        <v>93</v>
      </c>
      <c r="I214" s="28" t="s">
        <v>129</v>
      </c>
      <c r="J214" s="30">
        <v>45065</v>
      </c>
      <c r="K214" s="30">
        <v>45098</v>
      </c>
      <c r="L214" s="30">
        <v>45100</v>
      </c>
      <c r="M214" s="30">
        <v>45078</v>
      </c>
      <c r="N214" s="30">
        <v>45092</v>
      </c>
      <c r="O214" s="28" t="s">
        <v>157</v>
      </c>
      <c r="P214" s="30" t="s">
        <v>157</v>
      </c>
      <c r="S214" s="37"/>
      <c r="T214" s="37"/>
      <c r="W214" s="37"/>
      <c r="X214" s="37"/>
      <c r="AA214" s="28" t="str">
        <f t="shared" si="3"/>
        <v/>
      </c>
    </row>
    <row r="215" spans="1:27" ht="15" customHeight="1" x14ac:dyDescent="0.25">
      <c r="A215" s="31" t="s">
        <v>595</v>
      </c>
      <c r="B215" s="29" t="s">
        <v>586</v>
      </c>
      <c r="C215" s="29" t="s">
        <v>596</v>
      </c>
      <c r="D215" s="28" t="s">
        <v>128</v>
      </c>
      <c r="E215" s="28" t="s">
        <v>81</v>
      </c>
      <c r="F215" s="28" t="s">
        <v>75</v>
      </c>
      <c r="G215" s="28" t="s">
        <v>76</v>
      </c>
      <c r="H215" s="28" t="s">
        <v>93</v>
      </c>
      <c r="I215" s="28" t="s">
        <v>129</v>
      </c>
      <c r="J215" s="30">
        <v>45065</v>
      </c>
      <c r="K215" s="30">
        <v>45098</v>
      </c>
      <c r="L215" s="30">
        <v>45100</v>
      </c>
      <c r="M215" s="30">
        <v>45079</v>
      </c>
      <c r="N215" s="30">
        <v>45092</v>
      </c>
      <c r="O215" s="28" t="s">
        <v>157</v>
      </c>
      <c r="P215" s="30" t="s">
        <v>157</v>
      </c>
      <c r="AA215" s="28" t="str">
        <f t="shared" si="3"/>
        <v/>
      </c>
    </row>
    <row r="216" spans="1:27" ht="15" customHeight="1" x14ac:dyDescent="0.25">
      <c r="A216" s="31" t="s">
        <v>595</v>
      </c>
      <c r="B216" s="29" t="s">
        <v>586</v>
      </c>
      <c r="C216" s="29" t="s">
        <v>596</v>
      </c>
      <c r="D216" s="28" t="s">
        <v>128</v>
      </c>
      <c r="E216" s="28" t="s">
        <v>81</v>
      </c>
      <c r="F216" s="28" t="s">
        <v>75</v>
      </c>
      <c r="G216" s="54" t="s">
        <v>76</v>
      </c>
      <c r="H216" s="28" t="s">
        <v>93</v>
      </c>
      <c r="I216" s="28" t="s">
        <v>129</v>
      </c>
      <c r="J216" s="30">
        <v>45065</v>
      </c>
      <c r="K216" s="30">
        <v>45098</v>
      </c>
      <c r="L216" s="30">
        <v>45100</v>
      </c>
      <c r="M216" s="30">
        <v>45092</v>
      </c>
      <c r="N216" s="30">
        <v>45092</v>
      </c>
      <c r="O216" s="28" t="s">
        <v>157</v>
      </c>
      <c r="P216" s="30" t="s">
        <v>157</v>
      </c>
      <c r="S216" s="37"/>
      <c r="T216" s="37"/>
      <c r="W216" s="37"/>
      <c r="X216" s="37"/>
      <c r="AA216" s="28" t="str">
        <f t="shared" si="3"/>
        <v/>
      </c>
    </row>
    <row r="217" spans="1:27" ht="15" customHeight="1" x14ac:dyDescent="0.25">
      <c r="A217" s="31" t="s">
        <v>597</v>
      </c>
      <c r="B217" s="29" t="s">
        <v>586</v>
      </c>
      <c r="C217" s="29" t="s">
        <v>598</v>
      </c>
      <c r="D217" s="28" t="s">
        <v>128</v>
      </c>
      <c r="E217" s="28" t="s">
        <v>81</v>
      </c>
      <c r="F217" s="28" t="s">
        <v>75</v>
      </c>
      <c r="G217" s="28" t="s">
        <v>76</v>
      </c>
      <c r="H217" s="28" t="s">
        <v>93</v>
      </c>
      <c r="I217" s="28" t="s">
        <v>129</v>
      </c>
      <c r="J217" s="30">
        <v>45065</v>
      </c>
      <c r="K217" s="30">
        <v>45098</v>
      </c>
      <c r="L217" s="30">
        <v>45100</v>
      </c>
      <c r="M217" s="30">
        <v>45092</v>
      </c>
      <c r="N217" s="30">
        <v>45092</v>
      </c>
      <c r="O217" s="28" t="s">
        <v>157</v>
      </c>
      <c r="P217" s="30" t="s">
        <v>157</v>
      </c>
      <c r="AA217" s="28" t="str">
        <f t="shared" si="3"/>
        <v/>
      </c>
    </row>
    <row r="218" spans="1:27" ht="15" customHeight="1" x14ac:dyDescent="0.25">
      <c r="A218" s="31" t="s">
        <v>597</v>
      </c>
      <c r="B218" s="29" t="s">
        <v>586</v>
      </c>
      <c r="C218" s="29" t="s">
        <v>598</v>
      </c>
      <c r="D218" s="28" t="s">
        <v>128</v>
      </c>
      <c r="E218" s="28" t="s">
        <v>81</v>
      </c>
      <c r="F218" s="28" t="s">
        <v>75</v>
      </c>
      <c r="G218" s="54" t="s">
        <v>76</v>
      </c>
      <c r="H218" s="28" t="s">
        <v>93</v>
      </c>
      <c r="I218" s="28" t="s">
        <v>129</v>
      </c>
      <c r="J218" s="30">
        <v>45065</v>
      </c>
      <c r="K218" s="30">
        <v>45098</v>
      </c>
      <c r="L218" s="30">
        <v>45100</v>
      </c>
      <c r="M218" s="30">
        <v>45079</v>
      </c>
      <c r="N218" s="30">
        <v>45092</v>
      </c>
      <c r="O218" s="28" t="s">
        <v>157</v>
      </c>
      <c r="P218" s="30" t="s">
        <v>157</v>
      </c>
      <c r="S218" s="37"/>
      <c r="T218" s="37"/>
      <c r="W218" s="37"/>
      <c r="X218" s="37"/>
      <c r="AA218" s="28" t="str">
        <f t="shared" si="3"/>
        <v/>
      </c>
    </row>
    <row r="219" spans="1:27" ht="15" customHeight="1" x14ac:dyDescent="0.25">
      <c r="A219" s="31" t="s">
        <v>599</v>
      </c>
      <c r="B219" s="29" t="s">
        <v>586</v>
      </c>
      <c r="C219" s="29" t="s">
        <v>600</v>
      </c>
      <c r="D219" s="28" t="s">
        <v>128</v>
      </c>
      <c r="E219" s="28" t="s">
        <v>81</v>
      </c>
      <c r="F219" s="28" t="s">
        <v>75</v>
      </c>
      <c r="G219" s="28" t="s">
        <v>76</v>
      </c>
      <c r="H219" s="28" t="s">
        <v>93</v>
      </c>
      <c r="I219" s="28" t="s">
        <v>129</v>
      </c>
      <c r="J219" s="30">
        <v>45065</v>
      </c>
      <c r="K219" s="30">
        <v>45098</v>
      </c>
      <c r="L219" s="30">
        <v>45100</v>
      </c>
      <c r="M219" s="30">
        <v>45083</v>
      </c>
      <c r="N219" s="30">
        <v>45092</v>
      </c>
      <c r="O219" s="28" t="s">
        <v>157</v>
      </c>
      <c r="P219" s="30" t="s">
        <v>157</v>
      </c>
      <c r="AA219" s="28" t="str">
        <f t="shared" si="3"/>
        <v/>
      </c>
    </row>
    <row r="220" spans="1:27" ht="15" customHeight="1" x14ac:dyDescent="0.25">
      <c r="A220" s="31" t="s">
        <v>599</v>
      </c>
      <c r="B220" s="29" t="s">
        <v>586</v>
      </c>
      <c r="C220" s="29" t="s">
        <v>600</v>
      </c>
      <c r="D220" s="28" t="s">
        <v>128</v>
      </c>
      <c r="E220" s="28" t="s">
        <v>81</v>
      </c>
      <c r="F220" s="28" t="s">
        <v>75</v>
      </c>
      <c r="G220" s="28" t="s">
        <v>76</v>
      </c>
      <c r="H220" s="28" t="s">
        <v>93</v>
      </c>
      <c r="I220" s="28" t="s">
        <v>129</v>
      </c>
      <c r="J220" s="30">
        <v>45065</v>
      </c>
      <c r="K220" s="30">
        <v>45098</v>
      </c>
      <c r="L220" s="30">
        <v>45100</v>
      </c>
      <c r="M220" s="30">
        <v>45092</v>
      </c>
      <c r="N220" s="30">
        <v>45092</v>
      </c>
      <c r="O220" s="28" t="s">
        <v>157</v>
      </c>
      <c r="P220" s="30" t="s">
        <v>157</v>
      </c>
      <c r="S220" s="37"/>
      <c r="T220" s="37"/>
      <c r="W220" s="37"/>
      <c r="X220" s="37"/>
      <c r="AA220" s="28" t="str">
        <f t="shared" si="3"/>
        <v/>
      </c>
    </row>
    <row r="221" spans="1:27" ht="15" customHeight="1" x14ac:dyDescent="0.25">
      <c r="A221" s="31" t="s">
        <v>601</v>
      </c>
      <c r="B221" s="29" t="s">
        <v>586</v>
      </c>
      <c r="C221" s="29" t="s">
        <v>602</v>
      </c>
      <c r="D221" s="28" t="s">
        <v>128</v>
      </c>
      <c r="E221" s="28" t="s">
        <v>81</v>
      </c>
      <c r="F221" s="28" t="s">
        <v>75</v>
      </c>
      <c r="G221" s="28" t="s">
        <v>76</v>
      </c>
      <c r="H221" s="28" t="s">
        <v>93</v>
      </c>
      <c r="I221" s="28" t="s">
        <v>129</v>
      </c>
      <c r="J221" s="30">
        <v>45065</v>
      </c>
      <c r="K221" s="30">
        <v>45098</v>
      </c>
      <c r="L221" s="30">
        <v>45100</v>
      </c>
      <c r="M221" s="30">
        <v>45084</v>
      </c>
      <c r="N221" s="30">
        <v>45092</v>
      </c>
      <c r="O221" s="28" t="s">
        <v>157</v>
      </c>
      <c r="P221" s="30" t="s">
        <v>157</v>
      </c>
      <c r="AA221" s="28" t="str">
        <f t="shared" si="3"/>
        <v/>
      </c>
    </row>
    <row r="222" spans="1:27" ht="15" customHeight="1" x14ac:dyDescent="0.25">
      <c r="A222" s="31" t="s">
        <v>601</v>
      </c>
      <c r="B222" s="29" t="s">
        <v>586</v>
      </c>
      <c r="C222" s="29" t="s">
        <v>602</v>
      </c>
      <c r="D222" s="28" t="s">
        <v>128</v>
      </c>
      <c r="E222" s="28" t="s">
        <v>81</v>
      </c>
      <c r="F222" s="28" t="s">
        <v>75</v>
      </c>
      <c r="G222" s="54" t="s">
        <v>76</v>
      </c>
      <c r="H222" s="28" t="s">
        <v>93</v>
      </c>
      <c r="I222" s="28" t="s">
        <v>129</v>
      </c>
      <c r="J222" s="30">
        <v>45065</v>
      </c>
      <c r="K222" s="30">
        <v>45098</v>
      </c>
      <c r="L222" s="30">
        <v>45100</v>
      </c>
      <c r="M222" s="30">
        <v>45092</v>
      </c>
      <c r="N222" s="30">
        <v>45092</v>
      </c>
      <c r="O222" s="28" t="s">
        <v>157</v>
      </c>
      <c r="P222" s="30" t="s">
        <v>157</v>
      </c>
      <c r="S222" s="37"/>
      <c r="T222" s="37"/>
      <c r="W222" s="37"/>
      <c r="X222" s="37"/>
      <c r="AA222" s="28" t="str">
        <f t="shared" si="3"/>
        <v/>
      </c>
    </row>
    <row r="223" spans="1:27" ht="15" customHeight="1" x14ac:dyDescent="0.25">
      <c r="A223" s="31" t="s">
        <v>603</v>
      </c>
      <c r="B223" s="29" t="s">
        <v>130</v>
      </c>
      <c r="C223" s="29" t="s">
        <v>604</v>
      </c>
      <c r="D223" s="28" t="s">
        <v>131</v>
      </c>
      <c r="E223" s="28" t="s">
        <v>81</v>
      </c>
      <c r="F223" s="28" t="s">
        <v>75</v>
      </c>
      <c r="G223" s="28" t="s">
        <v>76</v>
      </c>
      <c r="H223" s="28" t="s">
        <v>92</v>
      </c>
      <c r="I223" s="28" t="s">
        <v>129</v>
      </c>
      <c r="J223" s="30">
        <v>45063</v>
      </c>
      <c r="K223" s="30">
        <v>45091</v>
      </c>
      <c r="L223" s="30">
        <v>45093</v>
      </c>
      <c r="M223" s="30">
        <v>45076</v>
      </c>
      <c r="N223" s="30">
        <v>45092</v>
      </c>
      <c r="O223" s="28" t="s">
        <v>157</v>
      </c>
      <c r="P223" s="30" t="s">
        <v>157</v>
      </c>
      <c r="AA223" s="28" t="str">
        <f t="shared" si="3"/>
        <v/>
      </c>
    </row>
    <row r="224" spans="1:27" ht="15" customHeight="1" x14ac:dyDescent="0.25">
      <c r="A224" s="31" t="s">
        <v>605</v>
      </c>
      <c r="B224" s="29" t="s">
        <v>130</v>
      </c>
      <c r="C224" s="29" t="s">
        <v>606</v>
      </c>
      <c r="D224" s="28" t="s">
        <v>131</v>
      </c>
      <c r="E224" s="28" t="s">
        <v>81</v>
      </c>
      <c r="F224" s="28" t="s">
        <v>75</v>
      </c>
      <c r="G224" s="54" t="s">
        <v>76</v>
      </c>
      <c r="H224" s="28" t="s">
        <v>93</v>
      </c>
      <c r="I224" s="28" t="s">
        <v>129</v>
      </c>
      <c r="J224" s="30">
        <v>45063</v>
      </c>
      <c r="K224" s="30">
        <v>45091</v>
      </c>
      <c r="L224" s="30">
        <v>45093</v>
      </c>
      <c r="M224" s="30">
        <v>45078</v>
      </c>
      <c r="N224" s="30">
        <v>45092</v>
      </c>
      <c r="O224" s="28" t="s">
        <v>157</v>
      </c>
      <c r="P224" s="30" t="s">
        <v>157</v>
      </c>
      <c r="S224" s="37"/>
      <c r="T224" s="37"/>
      <c r="W224" s="37"/>
      <c r="X224" s="37"/>
      <c r="AA224" s="28" t="str">
        <f t="shared" si="3"/>
        <v/>
      </c>
    </row>
    <row r="225" spans="1:27" ht="15" customHeight="1" x14ac:dyDescent="0.25">
      <c r="A225" s="31" t="s">
        <v>605</v>
      </c>
      <c r="B225" s="29" t="s">
        <v>130</v>
      </c>
      <c r="C225" s="29" t="s">
        <v>606</v>
      </c>
      <c r="D225" s="28" t="s">
        <v>607</v>
      </c>
      <c r="E225" s="28" t="s">
        <v>81</v>
      </c>
      <c r="F225" s="28" t="s">
        <v>75</v>
      </c>
      <c r="G225" s="28" t="s">
        <v>76</v>
      </c>
      <c r="H225" s="28" t="s">
        <v>93</v>
      </c>
      <c r="I225" s="28" t="s">
        <v>129</v>
      </c>
      <c r="J225" s="30">
        <v>45063</v>
      </c>
      <c r="K225" s="30">
        <v>45091</v>
      </c>
      <c r="L225" s="30">
        <v>45093</v>
      </c>
      <c r="M225" s="30">
        <v>45092</v>
      </c>
      <c r="N225" s="30">
        <v>45092</v>
      </c>
      <c r="O225" s="28" t="s">
        <v>156</v>
      </c>
      <c r="P225" s="30" t="s">
        <v>157</v>
      </c>
      <c r="AA225" s="28" t="str">
        <f t="shared" si="3"/>
        <v/>
      </c>
    </row>
    <row r="226" spans="1:27" s="63" customFormat="1" ht="15" customHeight="1" x14ac:dyDescent="0.25">
      <c r="A226" s="59" t="s">
        <v>608</v>
      </c>
      <c r="B226" s="60" t="s">
        <v>130</v>
      </c>
      <c r="C226" s="60" t="s">
        <v>609</v>
      </c>
      <c r="D226" s="61" t="s">
        <v>112</v>
      </c>
      <c r="E226" s="61" t="s">
        <v>81</v>
      </c>
      <c r="F226" s="61" t="s">
        <v>75</v>
      </c>
      <c r="G226" s="64" t="s">
        <v>76</v>
      </c>
      <c r="H226" s="61" t="s">
        <v>84</v>
      </c>
      <c r="I226" s="61" t="s">
        <v>129</v>
      </c>
      <c r="J226" s="62">
        <v>45063</v>
      </c>
      <c r="K226" s="62">
        <v>45091</v>
      </c>
      <c r="L226" s="62">
        <v>45093</v>
      </c>
      <c r="M226" s="62">
        <v>45079</v>
      </c>
      <c r="N226" s="62">
        <v>45100</v>
      </c>
      <c r="O226" s="61" t="s">
        <v>157</v>
      </c>
      <c r="P226" s="62" t="s">
        <v>156</v>
      </c>
      <c r="Q226" s="62"/>
      <c r="R226" s="62"/>
      <c r="S226" s="65"/>
      <c r="T226" s="65"/>
      <c r="U226" s="62"/>
      <c r="V226" s="62"/>
      <c r="W226" s="65"/>
      <c r="X226" s="65"/>
      <c r="Y226" s="61"/>
      <c r="Z226" s="61"/>
      <c r="AA226" s="61" t="str">
        <f t="shared" si="3"/>
        <v/>
      </c>
    </row>
    <row r="227" spans="1:27" ht="15" customHeight="1" x14ac:dyDescent="0.25">
      <c r="A227" s="31" t="s">
        <v>610</v>
      </c>
      <c r="B227" s="29" t="s">
        <v>130</v>
      </c>
      <c r="C227" s="29" t="s">
        <v>611</v>
      </c>
      <c r="D227" s="28" t="s">
        <v>607</v>
      </c>
      <c r="E227" s="28" t="s">
        <v>81</v>
      </c>
      <c r="F227" s="28" t="s">
        <v>75</v>
      </c>
      <c r="G227" s="28" t="s">
        <v>76</v>
      </c>
      <c r="H227" s="28" t="s">
        <v>84</v>
      </c>
      <c r="I227" s="28" t="s">
        <v>129</v>
      </c>
      <c r="J227" s="30">
        <v>45063</v>
      </c>
      <c r="K227" s="30">
        <v>45091</v>
      </c>
      <c r="L227" s="30">
        <v>45093</v>
      </c>
      <c r="M227" s="30">
        <v>45079</v>
      </c>
      <c r="N227" s="30">
        <v>45091</v>
      </c>
      <c r="O227" s="28" t="s">
        <v>157</v>
      </c>
      <c r="P227" s="30" t="s">
        <v>157</v>
      </c>
      <c r="AA227" s="28" t="str">
        <f t="shared" si="3"/>
        <v/>
      </c>
    </row>
    <row r="228" spans="1:27" s="63" customFormat="1" ht="15" customHeight="1" x14ac:dyDescent="0.25">
      <c r="A228" s="59" t="s">
        <v>612</v>
      </c>
      <c r="B228" s="60" t="s">
        <v>130</v>
      </c>
      <c r="C228" s="60" t="s">
        <v>613</v>
      </c>
      <c r="D228" s="61" t="s">
        <v>131</v>
      </c>
      <c r="E228" s="61" t="s">
        <v>81</v>
      </c>
      <c r="F228" s="61" t="s">
        <v>75</v>
      </c>
      <c r="G228" s="61" t="s">
        <v>76</v>
      </c>
      <c r="H228" s="61" t="s">
        <v>84</v>
      </c>
      <c r="I228" s="61" t="s">
        <v>82</v>
      </c>
      <c r="J228" s="62">
        <v>45063</v>
      </c>
      <c r="K228" s="62">
        <v>45091</v>
      </c>
      <c r="L228" s="62">
        <v>45093</v>
      </c>
      <c r="M228" s="62">
        <v>45096</v>
      </c>
      <c r="N228" s="62">
        <v>45100</v>
      </c>
      <c r="O228" s="61" t="s">
        <v>156</v>
      </c>
      <c r="P228" s="62" t="s">
        <v>156</v>
      </c>
      <c r="Q228" s="62"/>
      <c r="R228" s="62"/>
      <c r="S228" s="65"/>
      <c r="T228" s="65"/>
      <c r="U228" s="62"/>
      <c r="V228" s="62"/>
      <c r="W228" s="65"/>
      <c r="X228" s="65"/>
      <c r="Y228" s="61"/>
      <c r="Z228" s="61"/>
      <c r="AA228" s="61" t="str">
        <f t="shared" si="3"/>
        <v/>
      </c>
    </row>
    <row r="229" spans="1:27" s="63" customFormat="1" ht="15" customHeight="1" x14ac:dyDescent="0.25">
      <c r="A229" s="59" t="s">
        <v>612</v>
      </c>
      <c r="B229" s="60" t="s">
        <v>130</v>
      </c>
      <c r="C229" s="60" t="s">
        <v>613</v>
      </c>
      <c r="D229" s="61" t="s">
        <v>131</v>
      </c>
      <c r="E229" s="61" t="s">
        <v>81</v>
      </c>
      <c r="F229" s="61" t="s">
        <v>75</v>
      </c>
      <c r="G229" s="61" t="s">
        <v>76</v>
      </c>
      <c r="H229" s="61" t="s">
        <v>84</v>
      </c>
      <c r="I229" s="61" t="s">
        <v>129</v>
      </c>
      <c r="J229" s="62">
        <v>45063</v>
      </c>
      <c r="K229" s="62">
        <v>45091</v>
      </c>
      <c r="L229" s="62">
        <v>45093</v>
      </c>
      <c r="M229" s="62">
        <v>45096</v>
      </c>
      <c r="N229" s="62">
        <v>45100</v>
      </c>
      <c r="O229" s="61" t="s">
        <v>156</v>
      </c>
      <c r="P229" s="62" t="s">
        <v>156</v>
      </c>
      <c r="Q229" s="62"/>
      <c r="R229" s="62"/>
      <c r="S229" s="61"/>
      <c r="T229" s="61"/>
      <c r="U229" s="62"/>
      <c r="V229" s="62"/>
      <c r="W229" s="61"/>
      <c r="X229" s="61"/>
      <c r="Y229" s="61"/>
      <c r="Z229" s="61"/>
      <c r="AA229" s="61" t="str">
        <f t="shared" si="3"/>
        <v/>
      </c>
    </row>
    <row r="230" spans="1:27" s="63" customFormat="1" ht="15" customHeight="1" x14ac:dyDescent="0.25">
      <c r="A230" s="59" t="s">
        <v>614</v>
      </c>
      <c r="B230" s="60" t="s">
        <v>130</v>
      </c>
      <c r="C230" s="60" t="s">
        <v>615</v>
      </c>
      <c r="D230" s="61" t="s">
        <v>131</v>
      </c>
      <c r="E230" s="61" t="s">
        <v>81</v>
      </c>
      <c r="F230" s="61" t="s">
        <v>75</v>
      </c>
      <c r="G230" s="64" t="s">
        <v>76</v>
      </c>
      <c r="H230" s="61" t="s">
        <v>84</v>
      </c>
      <c r="I230" s="61" t="s">
        <v>82</v>
      </c>
      <c r="J230" s="62">
        <v>45063</v>
      </c>
      <c r="K230" s="62">
        <v>45091</v>
      </c>
      <c r="L230" s="62">
        <v>45093</v>
      </c>
      <c r="M230" s="62">
        <v>45096</v>
      </c>
      <c r="N230" s="62">
        <v>45098</v>
      </c>
      <c r="O230" s="61" t="s">
        <v>156</v>
      </c>
      <c r="P230" s="62" t="s">
        <v>156</v>
      </c>
      <c r="Q230" s="62"/>
      <c r="R230" s="62"/>
      <c r="S230" s="65"/>
      <c r="T230" s="65"/>
      <c r="U230" s="62"/>
      <c r="V230" s="62"/>
      <c r="W230" s="65"/>
      <c r="X230" s="65"/>
      <c r="Y230" s="61"/>
      <c r="Z230" s="61"/>
      <c r="AA230" s="61" t="str">
        <f t="shared" si="3"/>
        <v/>
      </c>
    </row>
    <row r="231" spans="1:27" s="63" customFormat="1" ht="15" customHeight="1" x14ac:dyDescent="0.25">
      <c r="A231" s="59" t="s">
        <v>614</v>
      </c>
      <c r="B231" s="60" t="s">
        <v>130</v>
      </c>
      <c r="C231" s="60" t="s">
        <v>615</v>
      </c>
      <c r="D231" s="61" t="s">
        <v>131</v>
      </c>
      <c r="E231" s="61" t="s">
        <v>81</v>
      </c>
      <c r="F231" s="61" t="s">
        <v>75</v>
      </c>
      <c r="G231" s="61" t="s">
        <v>76</v>
      </c>
      <c r="H231" s="61" t="s">
        <v>84</v>
      </c>
      <c r="I231" s="61" t="s">
        <v>129</v>
      </c>
      <c r="J231" s="62">
        <v>45063</v>
      </c>
      <c r="K231" s="62">
        <v>45091</v>
      </c>
      <c r="L231" s="62">
        <v>45093</v>
      </c>
      <c r="M231" s="62">
        <v>45096</v>
      </c>
      <c r="N231" s="62">
        <v>45098</v>
      </c>
      <c r="O231" s="61" t="s">
        <v>156</v>
      </c>
      <c r="P231" s="62" t="s">
        <v>156</v>
      </c>
      <c r="Q231" s="62"/>
      <c r="R231" s="62"/>
      <c r="S231" s="61"/>
      <c r="T231" s="61"/>
      <c r="U231" s="62"/>
      <c r="V231" s="62"/>
      <c r="W231" s="61"/>
      <c r="X231" s="61"/>
      <c r="Y231" s="61"/>
      <c r="Z231" s="61"/>
      <c r="AA231" s="61" t="str">
        <f t="shared" si="3"/>
        <v/>
      </c>
    </row>
    <row r="232" spans="1:27" ht="15" customHeight="1" x14ac:dyDescent="0.25">
      <c r="A232" s="31" t="s">
        <v>616</v>
      </c>
      <c r="B232" s="29" t="s">
        <v>118</v>
      </c>
      <c r="C232" s="29" t="s">
        <v>617</v>
      </c>
      <c r="D232" s="28" t="s">
        <v>98</v>
      </c>
      <c r="E232" s="28" t="s">
        <v>96</v>
      </c>
      <c r="F232" s="28" t="s">
        <v>75</v>
      </c>
      <c r="G232" s="54" t="s">
        <v>76</v>
      </c>
      <c r="H232" s="28" t="s">
        <v>93</v>
      </c>
      <c r="I232" s="28" t="s">
        <v>101</v>
      </c>
      <c r="J232" s="30">
        <v>45062</v>
      </c>
      <c r="K232" s="30">
        <v>45091</v>
      </c>
      <c r="L232" s="30">
        <v>45093</v>
      </c>
      <c r="M232" s="30">
        <v>45084</v>
      </c>
      <c r="N232" s="30">
        <v>45089</v>
      </c>
      <c r="O232" s="28" t="s">
        <v>157</v>
      </c>
      <c r="P232" s="30" t="s">
        <v>157</v>
      </c>
      <c r="S232" s="37"/>
      <c r="T232" s="37"/>
      <c r="W232" s="37"/>
      <c r="X232" s="37"/>
      <c r="AA232" s="28" t="str">
        <f t="shared" si="3"/>
        <v/>
      </c>
    </row>
    <row r="233" spans="1:27" ht="15" customHeight="1" x14ac:dyDescent="0.25">
      <c r="A233" s="31" t="s">
        <v>618</v>
      </c>
      <c r="B233" s="29" t="s">
        <v>619</v>
      </c>
      <c r="C233" s="29" t="s">
        <v>620</v>
      </c>
      <c r="D233" s="28" t="s">
        <v>132</v>
      </c>
      <c r="E233" s="28" t="s">
        <v>74</v>
      </c>
      <c r="F233" s="28" t="s">
        <v>75</v>
      </c>
      <c r="G233" s="28" t="s">
        <v>76</v>
      </c>
      <c r="H233" s="28" t="s">
        <v>93</v>
      </c>
      <c r="I233" s="28" t="s">
        <v>78</v>
      </c>
      <c r="J233" s="30">
        <v>45054</v>
      </c>
      <c r="K233" s="30">
        <v>45079</v>
      </c>
      <c r="L233" s="30">
        <v>45083</v>
      </c>
      <c r="M233" s="30">
        <v>45079</v>
      </c>
      <c r="N233" s="30">
        <v>45084</v>
      </c>
      <c r="O233" s="28" t="s">
        <v>157</v>
      </c>
      <c r="P233" s="30" t="s">
        <v>157</v>
      </c>
      <c r="AA233" s="28" t="str">
        <f t="shared" si="3"/>
        <v/>
      </c>
    </row>
    <row r="234" spans="1:27" ht="15" customHeight="1" x14ac:dyDescent="0.25">
      <c r="A234" s="31" t="s">
        <v>621</v>
      </c>
      <c r="B234" s="29" t="s">
        <v>619</v>
      </c>
      <c r="C234" s="29" t="s">
        <v>622</v>
      </c>
      <c r="D234" s="28" t="s">
        <v>132</v>
      </c>
      <c r="E234" s="28" t="s">
        <v>74</v>
      </c>
      <c r="F234" s="28" t="s">
        <v>75</v>
      </c>
      <c r="G234" s="54" t="s">
        <v>76</v>
      </c>
      <c r="H234" s="28" t="s">
        <v>93</v>
      </c>
      <c r="I234" s="28" t="s">
        <v>78</v>
      </c>
      <c r="J234" s="30">
        <v>45057</v>
      </c>
      <c r="K234" s="30">
        <v>45079</v>
      </c>
      <c r="L234" s="30">
        <v>45083</v>
      </c>
      <c r="M234" s="30">
        <v>45084</v>
      </c>
      <c r="N234" s="30">
        <v>45085</v>
      </c>
      <c r="O234" s="28" t="s">
        <v>156</v>
      </c>
      <c r="P234" s="30" t="s">
        <v>157</v>
      </c>
      <c r="S234" s="37"/>
      <c r="T234" s="37"/>
      <c r="W234" s="37"/>
      <c r="X234" s="37"/>
      <c r="AA234" s="28" t="str">
        <f t="shared" si="3"/>
        <v/>
      </c>
    </row>
    <row r="235" spans="1:27" ht="15" customHeight="1" x14ac:dyDescent="0.25">
      <c r="A235" s="31" t="s">
        <v>623</v>
      </c>
      <c r="B235" s="29" t="s">
        <v>619</v>
      </c>
      <c r="C235" s="29" t="s">
        <v>624</v>
      </c>
      <c r="D235" s="28" t="s">
        <v>625</v>
      </c>
      <c r="E235" s="28" t="s">
        <v>74</v>
      </c>
      <c r="F235" s="28" t="s">
        <v>75</v>
      </c>
      <c r="G235" s="28" t="s">
        <v>76</v>
      </c>
      <c r="H235" s="28" t="s">
        <v>93</v>
      </c>
      <c r="I235" s="28" t="s">
        <v>78</v>
      </c>
      <c r="J235" s="30">
        <v>45054</v>
      </c>
      <c r="K235" s="30">
        <v>45079</v>
      </c>
      <c r="L235" s="30">
        <v>45083</v>
      </c>
      <c r="M235" s="30">
        <v>45079</v>
      </c>
      <c r="N235" s="30">
        <v>45084</v>
      </c>
      <c r="O235" s="28" t="s">
        <v>157</v>
      </c>
      <c r="P235" s="30" t="s">
        <v>157</v>
      </c>
      <c r="AA235" s="28" t="str">
        <f t="shared" si="3"/>
        <v/>
      </c>
    </row>
    <row r="236" spans="1:27" ht="15" customHeight="1" x14ac:dyDescent="0.25">
      <c r="A236" s="31" t="s">
        <v>626</v>
      </c>
      <c r="B236" s="29" t="s">
        <v>133</v>
      </c>
      <c r="C236" s="29" t="s">
        <v>627</v>
      </c>
      <c r="D236" s="28" t="s">
        <v>134</v>
      </c>
      <c r="E236" s="28" t="s">
        <v>81</v>
      </c>
      <c r="F236" s="28" t="s">
        <v>75</v>
      </c>
      <c r="G236" s="54" t="s">
        <v>76</v>
      </c>
      <c r="H236" s="28" t="s">
        <v>84</v>
      </c>
      <c r="I236" s="28" t="s">
        <v>87</v>
      </c>
      <c r="J236" s="30">
        <v>45068</v>
      </c>
      <c r="K236" s="30">
        <v>45110</v>
      </c>
      <c r="L236" s="30">
        <v>45112</v>
      </c>
      <c r="M236" s="30">
        <v>45105</v>
      </c>
      <c r="N236" s="30">
        <v>45107</v>
      </c>
      <c r="O236" s="28" t="s">
        <v>157</v>
      </c>
      <c r="P236" s="30" t="s">
        <v>157</v>
      </c>
      <c r="S236" s="37"/>
      <c r="T236" s="37"/>
      <c r="W236" s="37"/>
      <c r="X236" s="37"/>
      <c r="AA236" s="28" t="str">
        <f t="shared" si="3"/>
        <v/>
      </c>
    </row>
    <row r="237" spans="1:27" ht="15" customHeight="1" x14ac:dyDescent="0.25">
      <c r="A237" s="31" t="s">
        <v>628</v>
      </c>
      <c r="B237" s="29" t="s">
        <v>133</v>
      </c>
      <c r="C237" s="29" t="s">
        <v>629</v>
      </c>
      <c r="D237" s="28" t="s">
        <v>128</v>
      </c>
      <c r="E237" s="28" t="s">
        <v>81</v>
      </c>
      <c r="F237" s="28" t="s">
        <v>75</v>
      </c>
      <c r="G237" s="28" t="s">
        <v>76</v>
      </c>
      <c r="H237" s="28" t="s">
        <v>92</v>
      </c>
      <c r="I237" s="28" t="s">
        <v>129</v>
      </c>
      <c r="J237" s="30">
        <v>45068</v>
      </c>
      <c r="K237" s="30">
        <v>45096</v>
      </c>
      <c r="L237" s="30">
        <v>45098</v>
      </c>
      <c r="M237" s="30">
        <v>45070</v>
      </c>
      <c r="N237" s="30">
        <v>45098</v>
      </c>
      <c r="O237" s="28" t="s">
        <v>157</v>
      </c>
      <c r="P237" s="30" t="s">
        <v>157</v>
      </c>
      <c r="AA237" s="28" t="str">
        <f t="shared" si="3"/>
        <v/>
      </c>
    </row>
    <row r="238" spans="1:27" ht="15" customHeight="1" x14ac:dyDescent="0.25">
      <c r="A238" s="31" t="s">
        <v>628</v>
      </c>
      <c r="B238" s="29" t="s">
        <v>133</v>
      </c>
      <c r="C238" s="29" t="s">
        <v>629</v>
      </c>
      <c r="D238" s="28" t="s">
        <v>128</v>
      </c>
      <c r="E238" s="28" t="s">
        <v>81</v>
      </c>
      <c r="F238" s="28" t="s">
        <v>75</v>
      </c>
      <c r="G238" s="54" t="s">
        <v>76</v>
      </c>
      <c r="H238" s="28" t="s">
        <v>92</v>
      </c>
      <c r="I238" s="28" t="s">
        <v>129</v>
      </c>
      <c r="J238" s="30">
        <v>45068</v>
      </c>
      <c r="K238" s="30">
        <v>45096</v>
      </c>
      <c r="L238" s="30">
        <v>45098</v>
      </c>
      <c r="M238" s="30">
        <v>45097</v>
      </c>
      <c r="N238" s="30">
        <v>45099</v>
      </c>
      <c r="O238" s="28" t="s">
        <v>156</v>
      </c>
      <c r="P238" s="30" t="s">
        <v>157</v>
      </c>
      <c r="S238" s="37"/>
      <c r="T238" s="37"/>
      <c r="W238" s="37"/>
      <c r="X238" s="37"/>
      <c r="AA238" s="28" t="str">
        <f t="shared" si="3"/>
        <v/>
      </c>
    </row>
    <row r="239" spans="1:27" ht="15" customHeight="1" x14ac:dyDescent="0.25">
      <c r="A239" s="31" t="s">
        <v>630</v>
      </c>
      <c r="B239" s="29" t="s">
        <v>133</v>
      </c>
      <c r="C239" s="29" t="s">
        <v>631</v>
      </c>
      <c r="D239" s="28" t="s">
        <v>128</v>
      </c>
      <c r="E239" s="28" t="s">
        <v>81</v>
      </c>
      <c r="F239" s="28" t="s">
        <v>75</v>
      </c>
      <c r="G239" s="28" t="s">
        <v>76</v>
      </c>
      <c r="H239" s="28" t="s">
        <v>92</v>
      </c>
      <c r="I239" s="28" t="s">
        <v>129</v>
      </c>
      <c r="J239" s="30">
        <v>45068</v>
      </c>
      <c r="K239" s="30">
        <v>45096</v>
      </c>
      <c r="L239" s="30">
        <v>45098</v>
      </c>
      <c r="M239" s="30">
        <v>45072</v>
      </c>
      <c r="N239" s="30">
        <v>45098</v>
      </c>
      <c r="O239" s="28" t="s">
        <v>157</v>
      </c>
      <c r="P239" s="30" t="s">
        <v>157</v>
      </c>
      <c r="AA239" s="28" t="str">
        <f t="shared" si="3"/>
        <v/>
      </c>
    </row>
    <row r="240" spans="1:27" ht="15" customHeight="1" x14ac:dyDescent="0.25">
      <c r="A240" s="31" t="s">
        <v>630</v>
      </c>
      <c r="B240" s="29" t="s">
        <v>133</v>
      </c>
      <c r="C240" s="29" t="s">
        <v>632</v>
      </c>
      <c r="D240" s="28" t="s">
        <v>128</v>
      </c>
      <c r="E240" s="28" t="s">
        <v>81</v>
      </c>
      <c r="F240" s="28" t="s">
        <v>75</v>
      </c>
      <c r="G240" s="54" t="s">
        <v>76</v>
      </c>
      <c r="H240" s="28" t="s">
        <v>92</v>
      </c>
      <c r="I240" s="28" t="s">
        <v>129</v>
      </c>
      <c r="J240" s="30">
        <v>45068</v>
      </c>
      <c r="K240" s="30">
        <v>45096</v>
      </c>
      <c r="L240" s="30">
        <v>45098</v>
      </c>
      <c r="M240" s="30">
        <v>45097</v>
      </c>
      <c r="N240" s="30">
        <v>45099</v>
      </c>
      <c r="O240" s="28" t="s">
        <v>156</v>
      </c>
      <c r="P240" s="30" t="s">
        <v>157</v>
      </c>
      <c r="S240" s="37"/>
      <c r="T240" s="37"/>
      <c r="W240" s="37"/>
      <c r="X240" s="37"/>
      <c r="AA240" s="28" t="str">
        <f t="shared" si="3"/>
        <v/>
      </c>
    </row>
    <row r="241" spans="1:27" ht="15" customHeight="1" x14ac:dyDescent="0.25">
      <c r="A241" s="31" t="s">
        <v>633</v>
      </c>
      <c r="B241" s="29" t="s">
        <v>133</v>
      </c>
      <c r="C241" s="29" t="s">
        <v>634</v>
      </c>
      <c r="D241" s="28" t="s">
        <v>128</v>
      </c>
      <c r="E241" s="28" t="s">
        <v>81</v>
      </c>
      <c r="F241" s="28" t="s">
        <v>75</v>
      </c>
      <c r="G241" s="28" t="s">
        <v>76</v>
      </c>
      <c r="H241" s="28" t="s">
        <v>92</v>
      </c>
      <c r="I241" s="28" t="s">
        <v>129</v>
      </c>
      <c r="J241" s="30">
        <v>45068</v>
      </c>
      <c r="K241" s="30">
        <v>45096</v>
      </c>
      <c r="L241" s="30">
        <v>45098</v>
      </c>
      <c r="M241" s="30">
        <v>45071</v>
      </c>
      <c r="N241" s="30">
        <v>45098</v>
      </c>
      <c r="O241" s="28" t="s">
        <v>157</v>
      </c>
      <c r="P241" s="30" t="s">
        <v>157</v>
      </c>
      <c r="AA241" s="28" t="str">
        <f t="shared" si="3"/>
        <v/>
      </c>
    </row>
    <row r="242" spans="1:27" ht="15" customHeight="1" x14ac:dyDescent="0.25">
      <c r="A242" s="31" t="s">
        <v>633</v>
      </c>
      <c r="B242" s="29" t="s">
        <v>133</v>
      </c>
      <c r="C242" s="29" t="s">
        <v>634</v>
      </c>
      <c r="D242" s="28" t="s">
        <v>128</v>
      </c>
      <c r="E242" s="28" t="s">
        <v>81</v>
      </c>
      <c r="F242" s="28" t="s">
        <v>75</v>
      </c>
      <c r="G242" s="54" t="s">
        <v>76</v>
      </c>
      <c r="H242" s="28" t="s">
        <v>92</v>
      </c>
      <c r="I242" s="28" t="s">
        <v>82</v>
      </c>
      <c r="J242" s="30">
        <v>45068</v>
      </c>
      <c r="K242" s="30">
        <v>45096</v>
      </c>
      <c r="L242" s="30">
        <v>45098</v>
      </c>
      <c r="M242" s="30">
        <v>45097</v>
      </c>
      <c r="N242" s="30">
        <v>45099</v>
      </c>
      <c r="O242" s="28" t="s">
        <v>156</v>
      </c>
      <c r="P242" s="30" t="s">
        <v>157</v>
      </c>
      <c r="S242" s="37"/>
      <c r="T242" s="37"/>
      <c r="W242" s="37"/>
      <c r="X242" s="37"/>
      <c r="AA242" s="28" t="str">
        <f t="shared" si="3"/>
        <v/>
      </c>
    </row>
    <row r="243" spans="1:27" ht="15" customHeight="1" x14ac:dyDescent="0.25">
      <c r="A243" s="31" t="s">
        <v>635</v>
      </c>
      <c r="B243" s="29" t="s">
        <v>133</v>
      </c>
      <c r="C243" s="29" t="s">
        <v>636</v>
      </c>
      <c r="D243" s="28" t="s">
        <v>128</v>
      </c>
      <c r="E243" s="28" t="s">
        <v>81</v>
      </c>
      <c r="F243" s="28" t="s">
        <v>75</v>
      </c>
      <c r="G243" s="28" t="s">
        <v>76</v>
      </c>
      <c r="H243" s="28" t="s">
        <v>92</v>
      </c>
      <c r="I243" s="28" t="s">
        <v>129</v>
      </c>
      <c r="J243" s="30">
        <v>45068</v>
      </c>
      <c r="K243" s="30">
        <v>45096</v>
      </c>
      <c r="L243" s="30">
        <v>45098</v>
      </c>
      <c r="M243" s="30">
        <v>45072</v>
      </c>
      <c r="N243" s="30">
        <v>45098</v>
      </c>
      <c r="O243" s="28" t="s">
        <v>157</v>
      </c>
      <c r="P243" s="30" t="s">
        <v>157</v>
      </c>
      <c r="AA243" s="28" t="str">
        <f t="shared" si="3"/>
        <v/>
      </c>
    </row>
    <row r="244" spans="1:27" ht="15" customHeight="1" x14ac:dyDescent="0.25">
      <c r="A244" s="31" t="s">
        <v>635</v>
      </c>
      <c r="B244" s="29" t="s">
        <v>133</v>
      </c>
      <c r="C244" s="29" t="s">
        <v>636</v>
      </c>
      <c r="D244" s="28" t="s">
        <v>128</v>
      </c>
      <c r="E244" s="28" t="s">
        <v>81</v>
      </c>
      <c r="F244" s="28" t="s">
        <v>75</v>
      </c>
      <c r="G244" s="54" t="s">
        <v>76</v>
      </c>
      <c r="H244" s="28" t="s">
        <v>92</v>
      </c>
      <c r="I244" s="28" t="s">
        <v>82</v>
      </c>
      <c r="J244" s="30">
        <v>45068</v>
      </c>
      <c r="K244" s="30">
        <v>45096</v>
      </c>
      <c r="L244" s="30">
        <v>45098</v>
      </c>
      <c r="M244" s="30">
        <v>45097</v>
      </c>
      <c r="N244" s="30">
        <v>45099</v>
      </c>
      <c r="O244" s="28" t="s">
        <v>156</v>
      </c>
      <c r="P244" s="30" t="s">
        <v>157</v>
      </c>
      <c r="S244" s="37"/>
      <c r="T244" s="37"/>
      <c r="W244" s="37"/>
      <c r="X244" s="37"/>
      <c r="AA244" s="28" t="str">
        <f t="shared" si="3"/>
        <v/>
      </c>
    </row>
    <row r="245" spans="1:27" ht="15" customHeight="1" x14ac:dyDescent="0.25">
      <c r="A245" s="31" t="s">
        <v>135</v>
      </c>
      <c r="B245" s="29" t="s">
        <v>133</v>
      </c>
      <c r="C245" s="29" t="s">
        <v>136</v>
      </c>
      <c r="D245" s="28" t="s">
        <v>128</v>
      </c>
      <c r="E245" s="28" t="s">
        <v>81</v>
      </c>
      <c r="F245" s="28" t="s">
        <v>75</v>
      </c>
      <c r="G245" s="28" t="s">
        <v>76</v>
      </c>
      <c r="H245" s="28" t="s">
        <v>92</v>
      </c>
      <c r="I245" s="28" t="s">
        <v>129</v>
      </c>
      <c r="J245" s="30">
        <v>45068</v>
      </c>
      <c r="K245" s="30">
        <v>45096</v>
      </c>
      <c r="L245" s="30">
        <v>45098</v>
      </c>
      <c r="M245" s="30">
        <v>45072</v>
      </c>
      <c r="N245" s="30">
        <v>45099</v>
      </c>
      <c r="O245" s="28" t="s">
        <v>157</v>
      </c>
      <c r="P245" s="30" t="s">
        <v>157</v>
      </c>
      <c r="AA245" s="28" t="str">
        <f t="shared" si="3"/>
        <v/>
      </c>
    </row>
    <row r="246" spans="1:27" ht="15" customHeight="1" x14ac:dyDescent="0.25">
      <c r="A246" s="31" t="s">
        <v>637</v>
      </c>
      <c r="B246" s="29" t="s">
        <v>638</v>
      </c>
      <c r="C246" s="29" t="s">
        <v>639</v>
      </c>
      <c r="D246" s="28" t="s">
        <v>640</v>
      </c>
      <c r="E246" s="28" t="s">
        <v>96</v>
      </c>
      <c r="F246" s="28" t="s">
        <v>75</v>
      </c>
      <c r="G246" s="54" t="s">
        <v>96</v>
      </c>
      <c r="H246" s="28" t="s">
        <v>93</v>
      </c>
      <c r="I246" s="28" t="s">
        <v>82</v>
      </c>
      <c r="J246" s="30">
        <v>45056</v>
      </c>
      <c r="K246" s="30">
        <v>45091</v>
      </c>
      <c r="L246" s="30">
        <v>45092</v>
      </c>
      <c r="M246" s="30">
        <v>45090</v>
      </c>
      <c r="N246" s="30">
        <v>45092</v>
      </c>
      <c r="O246" s="28" t="s">
        <v>157</v>
      </c>
      <c r="P246" s="30" t="s">
        <v>157</v>
      </c>
      <c r="S246" s="37"/>
      <c r="T246" s="37"/>
      <c r="W246" s="37"/>
      <c r="X246" s="37"/>
      <c r="AA246" s="28" t="str">
        <f t="shared" si="3"/>
        <v/>
      </c>
    </row>
    <row r="247" spans="1:27" ht="15" customHeight="1" x14ac:dyDescent="0.25">
      <c r="A247" s="31" t="s">
        <v>641</v>
      </c>
      <c r="B247" s="29" t="s">
        <v>116</v>
      </c>
      <c r="C247" s="29" t="s">
        <v>642</v>
      </c>
      <c r="D247" s="28" t="s">
        <v>323</v>
      </c>
      <c r="E247" s="28" t="s">
        <v>86</v>
      </c>
      <c r="F247" s="28" t="s">
        <v>75</v>
      </c>
      <c r="G247" s="28" t="s">
        <v>102</v>
      </c>
      <c r="H247" s="28" t="s">
        <v>77</v>
      </c>
      <c r="I247" s="28" t="s">
        <v>87</v>
      </c>
      <c r="J247" s="30">
        <v>45076</v>
      </c>
      <c r="K247" s="30">
        <v>45098</v>
      </c>
      <c r="L247" s="30">
        <v>45100</v>
      </c>
      <c r="M247" s="30">
        <v>45098</v>
      </c>
      <c r="N247" s="30">
        <v>45099</v>
      </c>
      <c r="O247" s="28" t="s">
        <v>157</v>
      </c>
      <c r="P247" s="30" t="s">
        <v>157</v>
      </c>
      <c r="AA247" s="28" t="str">
        <f t="shared" si="3"/>
        <v/>
      </c>
    </row>
    <row r="248" spans="1:27" ht="15" customHeight="1" x14ac:dyDescent="0.25">
      <c r="A248" s="31" t="s">
        <v>643</v>
      </c>
      <c r="B248" s="29" t="s">
        <v>644</v>
      </c>
      <c r="C248" s="29" t="s">
        <v>645</v>
      </c>
      <c r="D248" s="28" t="s">
        <v>646</v>
      </c>
      <c r="E248" s="28" t="s">
        <v>81</v>
      </c>
      <c r="F248" s="28" t="s">
        <v>75</v>
      </c>
      <c r="G248" s="54" t="s">
        <v>102</v>
      </c>
      <c r="H248" s="28" t="s">
        <v>92</v>
      </c>
      <c r="I248" s="28" t="s">
        <v>82</v>
      </c>
      <c r="J248" s="30">
        <v>45083</v>
      </c>
      <c r="K248" s="30">
        <v>45105</v>
      </c>
      <c r="L248" s="30">
        <v>45107</v>
      </c>
      <c r="M248" s="30">
        <v>45098</v>
      </c>
      <c r="N248" s="30">
        <v>45107</v>
      </c>
      <c r="O248" s="28" t="s">
        <v>157</v>
      </c>
      <c r="P248" s="30" t="s">
        <v>157</v>
      </c>
      <c r="S248" s="37"/>
      <c r="T248" s="37"/>
      <c r="W248" s="37"/>
      <c r="X248" s="37"/>
      <c r="AA248" s="28" t="str">
        <f t="shared" si="3"/>
        <v/>
      </c>
    </row>
    <row r="249" spans="1:27" ht="15" customHeight="1" x14ac:dyDescent="0.25">
      <c r="A249" s="31" t="s">
        <v>647</v>
      </c>
      <c r="B249" s="29" t="s">
        <v>644</v>
      </c>
      <c r="C249" s="29" t="s">
        <v>648</v>
      </c>
      <c r="D249" s="28" t="s">
        <v>646</v>
      </c>
      <c r="E249" s="28" t="s">
        <v>81</v>
      </c>
      <c r="F249" s="28" t="s">
        <v>75</v>
      </c>
      <c r="G249" s="28" t="s">
        <v>102</v>
      </c>
      <c r="H249" s="28" t="s">
        <v>92</v>
      </c>
      <c r="I249" s="28" t="s">
        <v>82</v>
      </c>
      <c r="J249" s="30">
        <v>45083</v>
      </c>
      <c r="K249" s="30">
        <v>45105</v>
      </c>
      <c r="L249" s="30">
        <v>45107</v>
      </c>
      <c r="M249" s="30">
        <v>45098</v>
      </c>
      <c r="N249" s="30">
        <v>45107</v>
      </c>
      <c r="O249" s="28" t="s">
        <v>157</v>
      </c>
      <c r="P249" s="30" t="s">
        <v>157</v>
      </c>
      <c r="AA249" s="28" t="str">
        <f t="shared" si="3"/>
        <v/>
      </c>
    </row>
    <row r="250" spans="1:27" ht="15" customHeight="1" x14ac:dyDescent="0.25">
      <c r="A250" s="31" t="s">
        <v>649</v>
      </c>
      <c r="B250" s="29" t="s">
        <v>644</v>
      </c>
      <c r="C250" s="29" t="s">
        <v>650</v>
      </c>
      <c r="D250" s="28" t="s">
        <v>646</v>
      </c>
      <c r="E250" s="28" t="s">
        <v>81</v>
      </c>
      <c r="F250" s="28" t="s">
        <v>75</v>
      </c>
      <c r="G250" s="54" t="s">
        <v>102</v>
      </c>
      <c r="H250" s="28" t="s">
        <v>92</v>
      </c>
      <c r="I250" s="28" t="s">
        <v>82</v>
      </c>
      <c r="J250" s="30">
        <v>45083</v>
      </c>
      <c r="K250" s="30">
        <v>45105</v>
      </c>
      <c r="L250" s="30">
        <v>45107</v>
      </c>
      <c r="M250" s="30">
        <v>45098</v>
      </c>
      <c r="N250" s="30">
        <v>45107</v>
      </c>
      <c r="O250" s="28" t="s">
        <v>157</v>
      </c>
      <c r="P250" s="30" t="s">
        <v>157</v>
      </c>
      <c r="S250" s="37"/>
      <c r="T250" s="37"/>
      <c r="W250" s="37"/>
      <c r="X250" s="37"/>
      <c r="AA250" s="28" t="str">
        <f t="shared" si="3"/>
        <v/>
      </c>
    </row>
    <row r="251" spans="1:27" ht="15" customHeight="1" x14ac:dyDescent="0.25">
      <c r="A251" s="31" t="s">
        <v>651</v>
      </c>
      <c r="B251" s="29" t="s">
        <v>644</v>
      </c>
      <c r="C251" s="29" t="s">
        <v>652</v>
      </c>
      <c r="D251" s="28" t="s">
        <v>653</v>
      </c>
      <c r="E251" s="28" t="s">
        <v>81</v>
      </c>
      <c r="F251" s="28" t="s">
        <v>75</v>
      </c>
      <c r="G251" s="28" t="s">
        <v>102</v>
      </c>
      <c r="H251" s="28" t="s">
        <v>92</v>
      </c>
      <c r="I251" s="28" t="s">
        <v>82</v>
      </c>
      <c r="J251" s="30">
        <v>45083</v>
      </c>
      <c r="K251" s="30">
        <v>45105</v>
      </c>
      <c r="L251" s="30">
        <v>45107</v>
      </c>
      <c r="M251" s="30">
        <v>45106</v>
      </c>
      <c r="N251" s="30">
        <v>45107</v>
      </c>
      <c r="O251" s="28" t="s">
        <v>156</v>
      </c>
      <c r="P251" s="30" t="s">
        <v>157</v>
      </c>
      <c r="AA251" s="28" t="str">
        <f t="shared" si="3"/>
        <v/>
      </c>
    </row>
    <row r="252" spans="1:27" ht="15" customHeight="1" x14ac:dyDescent="0.25">
      <c r="A252" s="31" t="s">
        <v>654</v>
      </c>
      <c r="B252" s="29" t="s">
        <v>644</v>
      </c>
      <c r="C252" s="29" t="s">
        <v>655</v>
      </c>
      <c r="D252" s="28" t="s">
        <v>653</v>
      </c>
      <c r="E252" s="28" t="s">
        <v>81</v>
      </c>
      <c r="F252" s="28" t="s">
        <v>75</v>
      </c>
      <c r="G252" s="54" t="s">
        <v>102</v>
      </c>
      <c r="H252" s="28" t="s">
        <v>92</v>
      </c>
      <c r="I252" s="28" t="s">
        <v>82</v>
      </c>
      <c r="J252" s="30">
        <v>45083</v>
      </c>
      <c r="K252" s="30">
        <v>45105</v>
      </c>
      <c r="L252" s="30">
        <v>45107</v>
      </c>
      <c r="M252" s="30">
        <v>45106</v>
      </c>
      <c r="N252" s="30">
        <v>45107</v>
      </c>
      <c r="O252" s="28" t="s">
        <v>156</v>
      </c>
      <c r="P252" s="30" t="s">
        <v>157</v>
      </c>
      <c r="S252" s="37"/>
      <c r="T252" s="37"/>
      <c r="W252" s="37"/>
      <c r="X252" s="37"/>
      <c r="AA252" s="28" t="str">
        <f t="shared" si="3"/>
        <v/>
      </c>
    </row>
    <row r="253" spans="1:27" ht="15" customHeight="1" x14ac:dyDescent="0.25">
      <c r="A253" s="31" t="s">
        <v>656</v>
      </c>
      <c r="B253" s="29" t="s">
        <v>644</v>
      </c>
      <c r="C253" s="29" t="s">
        <v>657</v>
      </c>
      <c r="D253" s="28" t="s">
        <v>658</v>
      </c>
      <c r="E253" s="28" t="s">
        <v>81</v>
      </c>
      <c r="F253" s="28" t="s">
        <v>75</v>
      </c>
      <c r="G253" s="28" t="s">
        <v>102</v>
      </c>
      <c r="H253" s="28" t="s">
        <v>92</v>
      </c>
      <c r="I253" s="28" t="s">
        <v>82</v>
      </c>
      <c r="J253" s="30">
        <v>45083</v>
      </c>
      <c r="K253" s="30">
        <v>45105</v>
      </c>
      <c r="L253" s="30">
        <v>45107</v>
      </c>
      <c r="M253" s="30">
        <v>45106</v>
      </c>
      <c r="N253" s="30">
        <v>45107</v>
      </c>
      <c r="O253" s="28" t="s">
        <v>156</v>
      </c>
      <c r="P253" s="30" t="s">
        <v>157</v>
      </c>
      <c r="AA253" s="28" t="str">
        <f t="shared" si="3"/>
        <v/>
      </c>
    </row>
    <row r="254" spans="1:27" ht="15" customHeight="1" x14ac:dyDescent="0.25">
      <c r="A254" s="31" t="s">
        <v>659</v>
      </c>
      <c r="B254" s="29" t="s">
        <v>644</v>
      </c>
      <c r="C254" s="29" t="s">
        <v>660</v>
      </c>
      <c r="D254" s="28" t="s">
        <v>658</v>
      </c>
      <c r="E254" s="28" t="s">
        <v>81</v>
      </c>
      <c r="F254" s="28" t="s">
        <v>75</v>
      </c>
      <c r="G254" s="54" t="s">
        <v>102</v>
      </c>
      <c r="H254" s="28" t="s">
        <v>92</v>
      </c>
      <c r="I254" s="28" t="s">
        <v>82</v>
      </c>
      <c r="J254" s="30">
        <v>45083</v>
      </c>
      <c r="K254" s="30">
        <v>45105</v>
      </c>
      <c r="L254" s="30">
        <v>45107</v>
      </c>
      <c r="M254" s="30">
        <v>45106</v>
      </c>
      <c r="N254" s="30">
        <v>45107</v>
      </c>
      <c r="O254" s="28" t="s">
        <v>156</v>
      </c>
      <c r="P254" s="30" t="s">
        <v>157</v>
      </c>
      <c r="S254" s="37"/>
      <c r="T254" s="37"/>
      <c r="W254" s="37"/>
      <c r="X254" s="37"/>
      <c r="AA254" s="28" t="str">
        <f t="shared" si="3"/>
        <v/>
      </c>
    </row>
    <row r="255" spans="1:27" s="63" customFormat="1" ht="15" customHeight="1" x14ac:dyDescent="0.25">
      <c r="A255" s="59" t="s">
        <v>661</v>
      </c>
      <c r="B255" s="60" t="s">
        <v>662</v>
      </c>
      <c r="C255" s="60" t="s">
        <v>663</v>
      </c>
      <c r="D255" s="61" t="s">
        <v>137</v>
      </c>
      <c r="E255" s="61" t="s">
        <v>91</v>
      </c>
      <c r="F255" s="61" t="s">
        <v>75</v>
      </c>
      <c r="G255" s="61" t="s">
        <v>102</v>
      </c>
      <c r="H255" s="61" t="s">
        <v>77</v>
      </c>
      <c r="I255" s="61" t="s">
        <v>103</v>
      </c>
      <c r="J255" s="62">
        <v>45078</v>
      </c>
      <c r="K255" s="62">
        <v>45091</v>
      </c>
      <c r="L255" s="62">
        <v>45093</v>
      </c>
      <c r="M255" s="62">
        <v>45091</v>
      </c>
      <c r="N255" s="62">
        <v>45096</v>
      </c>
      <c r="O255" s="61" t="s">
        <v>157</v>
      </c>
      <c r="P255" s="62" t="s">
        <v>156</v>
      </c>
      <c r="Q255" s="62"/>
      <c r="R255" s="62"/>
      <c r="S255" s="61"/>
      <c r="T255" s="61"/>
      <c r="U255" s="62"/>
      <c r="V255" s="62"/>
      <c r="W255" s="61"/>
      <c r="X255" s="61"/>
      <c r="Y255" s="61"/>
      <c r="Z255" s="61"/>
      <c r="AA255" s="61" t="str">
        <f t="shared" si="3"/>
        <v/>
      </c>
    </row>
    <row r="256" spans="1:27" s="63" customFormat="1" ht="15" customHeight="1" x14ac:dyDescent="0.25">
      <c r="A256" s="59" t="s">
        <v>664</v>
      </c>
      <c r="B256" s="60" t="s">
        <v>665</v>
      </c>
      <c r="C256" s="60" t="s">
        <v>666</v>
      </c>
      <c r="D256" s="61" t="s">
        <v>452</v>
      </c>
      <c r="E256" s="61" t="s">
        <v>96</v>
      </c>
      <c r="F256" s="61" t="s">
        <v>75</v>
      </c>
      <c r="G256" s="64" t="s">
        <v>102</v>
      </c>
      <c r="H256" s="61" t="s">
        <v>93</v>
      </c>
      <c r="I256" s="61" t="s">
        <v>78</v>
      </c>
      <c r="J256" s="62">
        <v>45057</v>
      </c>
      <c r="K256" s="62">
        <v>45082</v>
      </c>
      <c r="L256" s="62">
        <v>45084</v>
      </c>
      <c r="M256" s="62">
        <v>45092</v>
      </c>
      <c r="N256" s="62">
        <v>45097</v>
      </c>
      <c r="O256" s="61" t="s">
        <v>156</v>
      </c>
      <c r="P256" s="62" t="s">
        <v>156</v>
      </c>
      <c r="Q256" s="62"/>
      <c r="R256" s="62"/>
      <c r="S256" s="65"/>
      <c r="T256" s="65"/>
      <c r="U256" s="62"/>
      <c r="V256" s="62"/>
      <c r="W256" s="65"/>
      <c r="X256" s="65"/>
      <c r="Y256" s="61"/>
      <c r="Z256" s="61"/>
      <c r="AA256" s="61" t="str">
        <f t="shared" si="3"/>
        <v/>
      </c>
    </row>
    <row r="257" spans="1:27" ht="15" customHeight="1" x14ac:dyDescent="0.25">
      <c r="A257" s="31" t="s">
        <v>667</v>
      </c>
      <c r="B257" s="29" t="s">
        <v>668</v>
      </c>
      <c r="C257" s="29" t="s">
        <v>669</v>
      </c>
      <c r="D257" s="28" t="s">
        <v>105</v>
      </c>
      <c r="E257" s="28" t="s">
        <v>96</v>
      </c>
      <c r="F257" s="28" t="s">
        <v>75</v>
      </c>
      <c r="G257" s="28" t="s">
        <v>76</v>
      </c>
      <c r="H257" s="28" t="s">
        <v>84</v>
      </c>
      <c r="I257" s="28" t="s">
        <v>78</v>
      </c>
      <c r="J257" s="30">
        <v>45064</v>
      </c>
      <c r="K257" s="30">
        <v>45104</v>
      </c>
      <c r="L257" s="30">
        <v>45106</v>
      </c>
      <c r="M257" s="30">
        <v>45100</v>
      </c>
      <c r="N257" s="30">
        <v>45104</v>
      </c>
      <c r="O257" s="28" t="s">
        <v>157</v>
      </c>
      <c r="P257" s="30" t="s">
        <v>157</v>
      </c>
      <c r="AA257" s="28" t="str">
        <f t="shared" si="3"/>
        <v/>
      </c>
    </row>
    <row r="258" spans="1:27" ht="15" customHeight="1" x14ac:dyDescent="0.25">
      <c r="A258" s="31" t="s">
        <v>670</v>
      </c>
      <c r="B258" s="29" t="s">
        <v>671</v>
      </c>
      <c r="C258" s="29" t="s">
        <v>672</v>
      </c>
      <c r="D258" s="28" t="s">
        <v>673</v>
      </c>
      <c r="E258" s="28" t="s">
        <v>102</v>
      </c>
      <c r="F258" s="28" t="s">
        <v>75</v>
      </c>
      <c r="G258" s="54" t="s">
        <v>102</v>
      </c>
      <c r="H258" s="28" t="s">
        <v>92</v>
      </c>
      <c r="I258" s="28" t="s">
        <v>78</v>
      </c>
      <c r="J258" s="30">
        <v>45075</v>
      </c>
      <c r="K258" s="30">
        <v>45097</v>
      </c>
      <c r="L258" s="30">
        <v>45099</v>
      </c>
      <c r="M258" s="30">
        <v>45092</v>
      </c>
      <c r="N258" s="30">
        <v>45098</v>
      </c>
      <c r="O258" s="28" t="s">
        <v>157</v>
      </c>
      <c r="P258" s="30" t="s">
        <v>157</v>
      </c>
      <c r="S258" s="37"/>
      <c r="T258" s="37"/>
      <c r="W258" s="37"/>
      <c r="X258" s="37"/>
      <c r="AA258" s="28" t="str">
        <f t="shared" si="3"/>
        <v/>
      </c>
    </row>
    <row r="259" spans="1:27" ht="15" customHeight="1" x14ac:dyDescent="0.25">
      <c r="A259" s="31" t="s">
        <v>674</v>
      </c>
      <c r="B259" s="29" t="s">
        <v>671</v>
      </c>
      <c r="C259" s="29" t="s">
        <v>675</v>
      </c>
      <c r="D259" s="28" t="s">
        <v>676</v>
      </c>
      <c r="E259" s="28" t="s">
        <v>102</v>
      </c>
      <c r="F259" s="28" t="s">
        <v>75</v>
      </c>
      <c r="G259" s="28" t="s">
        <v>102</v>
      </c>
      <c r="H259" s="28" t="s">
        <v>92</v>
      </c>
      <c r="I259" s="28" t="s">
        <v>78</v>
      </c>
      <c r="J259" s="30">
        <v>45075</v>
      </c>
      <c r="K259" s="30">
        <v>45097</v>
      </c>
      <c r="L259" s="30">
        <v>45099</v>
      </c>
      <c r="M259" s="30">
        <v>45091</v>
      </c>
      <c r="N259" s="30">
        <v>45097</v>
      </c>
      <c r="O259" s="28" t="s">
        <v>157</v>
      </c>
      <c r="P259" s="30" t="s">
        <v>157</v>
      </c>
      <c r="AA259" s="28" t="str">
        <f t="shared" si="3"/>
        <v/>
      </c>
    </row>
    <row r="260" spans="1:27" s="63" customFormat="1" ht="15" customHeight="1" x14ac:dyDescent="0.25">
      <c r="A260" s="59" t="s">
        <v>677</v>
      </c>
      <c r="B260" s="60" t="s">
        <v>678</v>
      </c>
      <c r="C260" s="60" t="s">
        <v>679</v>
      </c>
      <c r="D260" s="61" t="s">
        <v>680</v>
      </c>
      <c r="E260" s="61" t="s">
        <v>86</v>
      </c>
      <c r="F260" s="61" t="s">
        <v>75</v>
      </c>
      <c r="G260" s="64" t="s">
        <v>76</v>
      </c>
      <c r="H260" s="61" t="s">
        <v>77</v>
      </c>
      <c r="I260" s="61" t="s">
        <v>87</v>
      </c>
      <c r="J260" s="62">
        <v>45069</v>
      </c>
      <c r="K260" s="62">
        <v>45089</v>
      </c>
      <c r="L260" s="62">
        <v>45091</v>
      </c>
      <c r="M260" s="62">
        <v>45090</v>
      </c>
      <c r="N260" s="62">
        <v>45097</v>
      </c>
      <c r="O260" s="61" t="s">
        <v>156</v>
      </c>
      <c r="P260" s="62" t="s">
        <v>156</v>
      </c>
      <c r="Q260" s="62"/>
      <c r="R260" s="62"/>
      <c r="S260" s="65"/>
      <c r="T260" s="65"/>
      <c r="U260" s="62"/>
      <c r="V260" s="62"/>
      <c r="W260" s="65"/>
      <c r="X260" s="65"/>
      <c r="Y260" s="61"/>
      <c r="Z260" s="61"/>
      <c r="AA260" s="61" t="str">
        <f t="shared" si="3"/>
        <v/>
      </c>
    </row>
    <row r="261" spans="1:27" ht="15" customHeight="1" x14ac:dyDescent="0.25">
      <c r="A261" s="31" t="s">
        <v>677</v>
      </c>
      <c r="B261" s="29" t="s">
        <v>678</v>
      </c>
      <c r="C261" s="29" t="s">
        <v>679</v>
      </c>
      <c r="D261" s="28" t="s">
        <v>680</v>
      </c>
      <c r="E261" s="28" t="s">
        <v>86</v>
      </c>
      <c r="F261" s="28" t="s">
        <v>75</v>
      </c>
      <c r="G261" s="28" t="s">
        <v>76</v>
      </c>
      <c r="H261" s="28" t="s">
        <v>77</v>
      </c>
      <c r="I261" s="28" t="s">
        <v>87</v>
      </c>
      <c r="J261" s="30">
        <v>45069</v>
      </c>
      <c r="K261" s="30">
        <v>45096</v>
      </c>
      <c r="L261" s="30">
        <v>45098</v>
      </c>
      <c r="M261" s="30">
        <v>45092</v>
      </c>
      <c r="N261" s="30">
        <v>45097</v>
      </c>
      <c r="O261" s="28" t="s">
        <v>157</v>
      </c>
      <c r="P261" s="30" t="s">
        <v>157</v>
      </c>
      <c r="AA261" s="28" t="str">
        <f t="shared" si="3"/>
        <v/>
      </c>
    </row>
    <row r="262" spans="1:27" ht="15" customHeight="1" x14ac:dyDescent="0.25">
      <c r="A262" s="31" t="s">
        <v>677</v>
      </c>
      <c r="B262" s="29" t="s">
        <v>678</v>
      </c>
      <c r="C262" s="29" t="s">
        <v>679</v>
      </c>
      <c r="D262" s="28" t="s">
        <v>680</v>
      </c>
      <c r="E262" s="28" t="s">
        <v>86</v>
      </c>
      <c r="F262" s="28" t="s">
        <v>75</v>
      </c>
      <c r="G262" s="54" t="s">
        <v>76</v>
      </c>
      <c r="H262" s="28" t="s">
        <v>77</v>
      </c>
      <c r="I262" s="28" t="s">
        <v>94</v>
      </c>
      <c r="J262" s="30">
        <v>45069</v>
      </c>
      <c r="K262" s="30">
        <v>45096</v>
      </c>
      <c r="L262" s="30">
        <v>45098</v>
      </c>
      <c r="M262" s="30">
        <v>45090</v>
      </c>
      <c r="N262" s="30">
        <v>45097</v>
      </c>
      <c r="O262" s="28" t="s">
        <v>157</v>
      </c>
      <c r="P262" s="30" t="s">
        <v>157</v>
      </c>
      <c r="S262" s="37"/>
      <c r="T262" s="37"/>
      <c r="W262" s="37"/>
      <c r="X262" s="37"/>
      <c r="AA262" s="28" t="str">
        <f t="shared" si="3"/>
        <v/>
      </c>
    </row>
    <row r="263" spans="1:27" ht="15" customHeight="1" x14ac:dyDescent="0.25">
      <c r="A263" s="31" t="s">
        <v>681</v>
      </c>
      <c r="B263" s="29" t="s">
        <v>138</v>
      </c>
      <c r="C263" s="29" t="s">
        <v>139</v>
      </c>
      <c r="D263" s="28" t="s">
        <v>682</v>
      </c>
      <c r="E263" s="28" t="s">
        <v>102</v>
      </c>
      <c r="F263" s="28" t="s">
        <v>75</v>
      </c>
      <c r="G263" s="28" t="s">
        <v>102</v>
      </c>
      <c r="H263" s="28" t="s">
        <v>77</v>
      </c>
      <c r="I263" s="28" t="s">
        <v>78</v>
      </c>
      <c r="J263" s="30">
        <v>45069</v>
      </c>
      <c r="K263" s="30">
        <v>45096</v>
      </c>
      <c r="L263" s="30">
        <v>45098</v>
      </c>
      <c r="M263" s="30">
        <v>45097</v>
      </c>
      <c r="N263" s="30">
        <v>45099</v>
      </c>
      <c r="O263" s="28" t="s">
        <v>156</v>
      </c>
      <c r="P263" s="30" t="s">
        <v>157</v>
      </c>
      <c r="AA263" s="28" t="str">
        <f t="shared" si="3"/>
        <v/>
      </c>
    </row>
    <row r="264" spans="1:27" s="63" customFormat="1" ht="15" customHeight="1" x14ac:dyDescent="0.25">
      <c r="A264" s="59" t="s">
        <v>683</v>
      </c>
      <c r="B264" s="60" t="s">
        <v>140</v>
      </c>
      <c r="C264" s="60" t="s">
        <v>684</v>
      </c>
      <c r="D264" s="61" t="s">
        <v>104</v>
      </c>
      <c r="E264" s="61" t="s">
        <v>96</v>
      </c>
      <c r="F264" s="61" t="s">
        <v>75</v>
      </c>
      <c r="G264" s="64" t="s">
        <v>76</v>
      </c>
      <c r="H264" s="61" t="s">
        <v>685</v>
      </c>
      <c r="I264" s="61" t="s">
        <v>94</v>
      </c>
      <c r="J264" s="62">
        <v>45071</v>
      </c>
      <c r="K264" s="62">
        <v>45077</v>
      </c>
      <c r="L264" s="62">
        <v>45079</v>
      </c>
      <c r="M264" s="62">
        <v>45079</v>
      </c>
      <c r="N264" s="62">
        <v>45082</v>
      </c>
      <c r="O264" s="61" t="s">
        <v>156</v>
      </c>
      <c r="P264" s="62" t="s">
        <v>156</v>
      </c>
      <c r="Q264" s="62"/>
      <c r="R264" s="62"/>
      <c r="S264" s="65"/>
      <c r="T264" s="65"/>
      <c r="U264" s="62"/>
      <c r="V264" s="62"/>
      <c r="W264" s="65"/>
      <c r="X264" s="65"/>
      <c r="Y264" s="61"/>
      <c r="Z264" s="61"/>
      <c r="AA264" s="61" t="str">
        <f t="shared" ref="AA264:AA327" si="4">IFERROR(
IF(AND(X264="Não",Y264="Sim"),"REP",
IF(AND(X264="Sim",Y264="Não"),"Técnico",
IF(AND(X264="Sim",Y264="Sim"),"Ambos",""))),
"")</f>
        <v/>
      </c>
    </row>
    <row r="265" spans="1:27" ht="15" customHeight="1" x14ac:dyDescent="0.25">
      <c r="A265" s="31" t="s">
        <v>686</v>
      </c>
      <c r="B265" s="29" t="s">
        <v>687</v>
      </c>
      <c r="C265" s="29" t="s">
        <v>688</v>
      </c>
      <c r="D265" s="28" t="s">
        <v>104</v>
      </c>
      <c r="E265" s="28" t="s">
        <v>96</v>
      </c>
      <c r="F265" s="28" t="s">
        <v>75</v>
      </c>
      <c r="G265" s="28" t="s">
        <v>76</v>
      </c>
      <c r="H265" s="28" t="s">
        <v>77</v>
      </c>
      <c r="I265" s="28" t="s">
        <v>94</v>
      </c>
      <c r="J265" s="30">
        <v>45071</v>
      </c>
      <c r="K265" s="30">
        <v>45082</v>
      </c>
      <c r="L265" s="30">
        <v>45084</v>
      </c>
      <c r="M265" s="30">
        <v>45082</v>
      </c>
      <c r="N265" s="30">
        <v>45084</v>
      </c>
      <c r="O265" s="28" t="s">
        <v>157</v>
      </c>
      <c r="P265" s="30" t="s">
        <v>157</v>
      </c>
      <c r="AA265" s="28" t="str">
        <f t="shared" si="4"/>
        <v/>
      </c>
    </row>
    <row r="266" spans="1:27" ht="15" customHeight="1" x14ac:dyDescent="0.25">
      <c r="A266" s="31" t="s">
        <v>689</v>
      </c>
      <c r="B266" s="29" t="s">
        <v>690</v>
      </c>
      <c r="C266" s="29" t="s">
        <v>691</v>
      </c>
      <c r="D266" s="28" t="s">
        <v>104</v>
      </c>
      <c r="E266" s="28" t="s">
        <v>96</v>
      </c>
      <c r="F266" s="28" t="s">
        <v>75</v>
      </c>
      <c r="G266" s="54" t="s">
        <v>76</v>
      </c>
      <c r="H266" s="28" t="s">
        <v>93</v>
      </c>
      <c r="I266" s="28" t="s">
        <v>94</v>
      </c>
      <c r="J266" s="30">
        <v>45071</v>
      </c>
      <c r="K266" s="30">
        <v>45082</v>
      </c>
      <c r="L266" s="30">
        <v>45084</v>
      </c>
      <c r="M266" s="30">
        <v>45082</v>
      </c>
      <c r="N266" s="30">
        <v>45084</v>
      </c>
      <c r="O266" s="28" t="s">
        <v>157</v>
      </c>
      <c r="P266" s="30" t="s">
        <v>157</v>
      </c>
      <c r="S266" s="37"/>
      <c r="T266" s="37"/>
      <c r="W266" s="37"/>
      <c r="X266" s="37"/>
      <c r="AA266" s="28" t="str">
        <f t="shared" si="4"/>
        <v/>
      </c>
    </row>
    <row r="267" spans="1:27" s="63" customFormat="1" ht="15" customHeight="1" x14ac:dyDescent="0.25">
      <c r="A267" s="59" t="s">
        <v>692</v>
      </c>
      <c r="B267" s="60" t="s">
        <v>693</v>
      </c>
      <c r="C267" s="60" t="s">
        <v>694</v>
      </c>
      <c r="D267" s="61" t="s">
        <v>104</v>
      </c>
      <c r="E267" s="61" t="s">
        <v>96</v>
      </c>
      <c r="F267" s="61" t="s">
        <v>75</v>
      </c>
      <c r="G267" s="61" t="s">
        <v>102</v>
      </c>
      <c r="H267" s="61" t="s">
        <v>77</v>
      </c>
      <c r="I267" s="61" t="s">
        <v>94</v>
      </c>
      <c r="J267" s="62">
        <v>45078</v>
      </c>
      <c r="K267" s="62">
        <v>45086</v>
      </c>
      <c r="L267" s="62">
        <v>45090</v>
      </c>
      <c r="M267" s="62">
        <v>45091</v>
      </c>
      <c r="N267" s="62">
        <v>45097</v>
      </c>
      <c r="O267" s="61" t="s">
        <v>156</v>
      </c>
      <c r="P267" s="62" t="s">
        <v>156</v>
      </c>
      <c r="Q267" s="62"/>
      <c r="R267" s="62"/>
      <c r="S267" s="61"/>
      <c r="T267" s="61"/>
      <c r="U267" s="62"/>
      <c r="V267" s="62"/>
      <c r="W267" s="61"/>
      <c r="X267" s="61"/>
      <c r="Y267" s="61"/>
      <c r="Z267" s="61"/>
      <c r="AA267" s="61" t="str">
        <f t="shared" si="4"/>
        <v/>
      </c>
    </row>
    <row r="268" spans="1:27" ht="15" customHeight="1" x14ac:dyDescent="0.25">
      <c r="A268" s="31" t="s">
        <v>695</v>
      </c>
      <c r="B268" s="29" t="s">
        <v>696</v>
      </c>
      <c r="C268" s="29" t="s">
        <v>697</v>
      </c>
      <c r="D268" s="28" t="s">
        <v>104</v>
      </c>
      <c r="E268" s="28" t="s">
        <v>96</v>
      </c>
      <c r="F268" s="28" t="s">
        <v>75</v>
      </c>
      <c r="G268" s="54" t="s">
        <v>102</v>
      </c>
      <c r="H268" s="28" t="s">
        <v>84</v>
      </c>
      <c r="I268" s="28" t="s">
        <v>94</v>
      </c>
      <c r="J268" s="30">
        <v>45078</v>
      </c>
      <c r="K268" s="30">
        <v>45091</v>
      </c>
      <c r="L268" s="30">
        <v>45093</v>
      </c>
      <c r="M268" s="30">
        <v>45090</v>
      </c>
      <c r="N268" s="30">
        <v>45093</v>
      </c>
      <c r="O268" s="28" t="s">
        <v>157</v>
      </c>
      <c r="P268" s="30" t="s">
        <v>157</v>
      </c>
      <c r="S268" s="37"/>
      <c r="T268" s="37"/>
      <c r="W268" s="37"/>
      <c r="X268" s="37"/>
      <c r="AA268" s="28" t="str">
        <f t="shared" si="4"/>
        <v/>
      </c>
    </row>
    <row r="269" spans="1:27" ht="15" customHeight="1" x14ac:dyDescent="0.25">
      <c r="A269" s="31" t="s">
        <v>698</v>
      </c>
      <c r="B269" s="29" t="s">
        <v>687</v>
      </c>
      <c r="C269" s="29" t="s">
        <v>699</v>
      </c>
      <c r="D269" s="28" t="s">
        <v>85</v>
      </c>
      <c r="E269" s="28" t="s">
        <v>96</v>
      </c>
      <c r="F269" s="28" t="s">
        <v>75</v>
      </c>
      <c r="G269" s="28" t="s">
        <v>102</v>
      </c>
      <c r="H269" s="28" t="s">
        <v>84</v>
      </c>
      <c r="I269" s="28" t="s">
        <v>94</v>
      </c>
      <c r="J269" s="30">
        <v>45078</v>
      </c>
      <c r="K269" s="30">
        <v>45091</v>
      </c>
      <c r="L269" s="30">
        <v>45093</v>
      </c>
      <c r="M269" s="30">
        <v>45090</v>
      </c>
      <c r="N269" s="30">
        <v>45093</v>
      </c>
      <c r="O269" s="28" t="s">
        <v>157</v>
      </c>
      <c r="P269" s="30" t="s">
        <v>157</v>
      </c>
      <c r="AA269" s="28" t="str">
        <f t="shared" si="4"/>
        <v/>
      </c>
    </row>
    <row r="270" spans="1:27" s="63" customFormat="1" ht="15" customHeight="1" x14ac:dyDescent="0.25">
      <c r="A270" s="59" t="s">
        <v>700</v>
      </c>
      <c r="B270" s="60" t="s">
        <v>701</v>
      </c>
      <c r="C270" s="60" t="s">
        <v>702</v>
      </c>
      <c r="D270" s="61" t="s">
        <v>141</v>
      </c>
      <c r="E270" s="61" t="s">
        <v>96</v>
      </c>
      <c r="F270" s="61" t="s">
        <v>75</v>
      </c>
      <c r="G270" s="64" t="s">
        <v>76</v>
      </c>
      <c r="H270" s="61" t="s">
        <v>77</v>
      </c>
      <c r="I270" s="61" t="s">
        <v>78</v>
      </c>
      <c r="J270" s="62">
        <v>45062</v>
      </c>
      <c r="K270" s="62">
        <v>45082</v>
      </c>
      <c r="L270" s="62">
        <v>45084</v>
      </c>
      <c r="M270" s="62">
        <v>45072</v>
      </c>
      <c r="N270" s="62">
        <v>45090</v>
      </c>
      <c r="O270" s="61" t="s">
        <v>157</v>
      </c>
      <c r="P270" s="62" t="s">
        <v>156</v>
      </c>
      <c r="Q270" s="62"/>
      <c r="R270" s="62"/>
      <c r="S270" s="65"/>
      <c r="T270" s="65"/>
      <c r="U270" s="62"/>
      <c r="V270" s="62"/>
      <c r="W270" s="65"/>
      <c r="X270" s="65"/>
      <c r="Y270" s="61"/>
      <c r="Z270" s="61"/>
      <c r="AA270" s="61" t="str">
        <f t="shared" si="4"/>
        <v/>
      </c>
    </row>
    <row r="271" spans="1:27" s="63" customFormat="1" ht="15" customHeight="1" x14ac:dyDescent="0.25">
      <c r="A271" s="59" t="s">
        <v>700</v>
      </c>
      <c r="B271" s="60" t="s">
        <v>701</v>
      </c>
      <c r="C271" s="60" t="s">
        <v>702</v>
      </c>
      <c r="D271" s="61" t="s">
        <v>141</v>
      </c>
      <c r="E271" s="61" t="s">
        <v>96</v>
      </c>
      <c r="F271" s="61" t="s">
        <v>75</v>
      </c>
      <c r="G271" s="61" t="s">
        <v>76</v>
      </c>
      <c r="H271" s="61" t="s">
        <v>77</v>
      </c>
      <c r="I271" s="61" t="s">
        <v>94</v>
      </c>
      <c r="J271" s="62">
        <v>45062</v>
      </c>
      <c r="K271" s="62">
        <v>45082</v>
      </c>
      <c r="L271" s="62">
        <v>45084</v>
      </c>
      <c r="M271" s="62">
        <v>45085</v>
      </c>
      <c r="N271" s="62">
        <v>45090</v>
      </c>
      <c r="O271" s="61" t="s">
        <v>156</v>
      </c>
      <c r="P271" s="62" t="s">
        <v>156</v>
      </c>
      <c r="Q271" s="62"/>
      <c r="R271" s="62"/>
      <c r="S271" s="61"/>
      <c r="T271" s="61"/>
      <c r="U271" s="62"/>
      <c r="V271" s="62"/>
      <c r="W271" s="61"/>
      <c r="X271" s="61"/>
      <c r="Y271" s="61"/>
      <c r="Z271" s="61"/>
      <c r="AA271" s="61" t="str">
        <f t="shared" si="4"/>
        <v/>
      </c>
    </row>
    <row r="272" spans="1:27" ht="15" customHeight="1" x14ac:dyDescent="0.25">
      <c r="A272" s="31" t="s">
        <v>703</v>
      </c>
      <c r="B272" s="29" t="s">
        <v>704</v>
      </c>
      <c r="C272" s="29" t="s">
        <v>705</v>
      </c>
      <c r="D272" s="28" t="s">
        <v>128</v>
      </c>
      <c r="E272" s="28" t="s">
        <v>96</v>
      </c>
      <c r="F272" s="28" t="s">
        <v>75</v>
      </c>
      <c r="G272" s="54" t="s">
        <v>76</v>
      </c>
      <c r="H272" s="28" t="s">
        <v>93</v>
      </c>
      <c r="I272" s="28" t="s">
        <v>129</v>
      </c>
      <c r="J272" s="30">
        <v>45061</v>
      </c>
      <c r="K272" s="30">
        <v>45089</v>
      </c>
      <c r="L272" s="30">
        <v>45091</v>
      </c>
      <c r="M272" s="30">
        <v>45075</v>
      </c>
      <c r="N272" s="30">
        <v>45079</v>
      </c>
      <c r="O272" s="28" t="s">
        <v>157</v>
      </c>
      <c r="P272" s="30" t="s">
        <v>157</v>
      </c>
      <c r="S272" s="37"/>
      <c r="T272" s="37"/>
      <c r="W272" s="37"/>
      <c r="X272" s="37"/>
      <c r="AA272" s="28" t="str">
        <f t="shared" si="4"/>
        <v/>
      </c>
    </row>
    <row r="273" spans="1:27" ht="15" customHeight="1" x14ac:dyDescent="0.25">
      <c r="A273" s="31" t="s">
        <v>706</v>
      </c>
      <c r="B273" s="29" t="s">
        <v>704</v>
      </c>
      <c r="C273" s="29" t="s">
        <v>707</v>
      </c>
      <c r="D273" s="28" t="s">
        <v>128</v>
      </c>
      <c r="E273" s="28" t="s">
        <v>96</v>
      </c>
      <c r="F273" s="28" t="s">
        <v>75</v>
      </c>
      <c r="G273" s="28" t="s">
        <v>76</v>
      </c>
      <c r="H273" s="28" t="s">
        <v>93</v>
      </c>
      <c r="I273" s="28" t="s">
        <v>129</v>
      </c>
      <c r="J273" s="30">
        <v>45061</v>
      </c>
      <c r="K273" s="30">
        <v>45089</v>
      </c>
      <c r="L273" s="30">
        <v>45091</v>
      </c>
      <c r="M273" s="30">
        <v>45076</v>
      </c>
      <c r="N273" s="30">
        <v>45079</v>
      </c>
      <c r="O273" s="28" t="s">
        <v>157</v>
      </c>
      <c r="P273" s="30" t="s">
        <v>157</v>
      </c>
      <c r="AA273" s="28" t="str">
        <f t="shared" si="4"/>
        <v/>
      </c>
    </row>
    <row r="274" spans="1:27" ht="15" customHeight="1" x14ac:dyDescent="0.25">
      <c r="A274" s="31" t="s">
        <v>708</v>
      </c>
      <c r="B274" s="29" t="s">
        <v>704</v>
      </c>
      <c r="C274" s="29" t="s">
        <v>709</v>
      </c>
      <c r="D274" s="28" t="s">
        <v>128</v>
      </c>
      <c r="E274" s="28" t="s">
        <v>96</v>
      </c>
      <c r="F274" s="28" t="s">
        <v>75</v>
      </c>
      <c r="G274" s="54" t="s">
        <v>76</v>
      </c>
      <c r="H274" s="28" t="s">
        <v>93</v>
      </c>
      <c r="I274" s="28" t="s">
        <v>129</v>
      </c>
      <c r="J274" s="30">
        <v>45061</v>
      </c>
      <c r="K274" s="30">
        <v>45089</v>
      </c>
      <c r="L274" s="30">
        <v>45091</v>
      </c>
      <c r="M274" s="30">
        <v>45076</v>
      </c>
      <c r="N274" s="30">
        <v>45079</v>
      </c>
      <c r="O274" s="28" t="s">
        <v>157</v>
      </c>
      <c r="P274" s="30" t="s">
        <v>157</v>
      </c>
      <c r="S274" s="37"/>
      <c r="T274" s="37"/>
      <c r="W274" s="37"/>
      <c r="X274" s="37"/>
      <c r="AA274" s="28" t="str">
        <f t="shared" si="4"/>
        <v/>
      </c>
    </row>
    <row r="275" spans="1:27" ht="15" customHeight="1" x14ac:dyDescent="0.25">
      <c r="A275" s="31" t="s">
        <v>710</v>
      </c>
      <c r="B275" s="29" t="s">
        <v>704</v>
      </c>
      <c r="C275" s="29" t="s">
        <v>711</v>
      </c>
      <c r="D275" s="28" t="s">
        <v>128</v>
      </c>
      <c r="E275" s="28" t="s">
        <v>96</v>
      </c>
      <c r="F275" s="28" t="s">
        <v>75</v>
      </c>
      <c r="G275" s="28" t="s">
        <v>76</v>
      </c>
      <c r="H275" s="28" t="s">
        <v>93</v>
      </c>
      <c r="I275" s="28" t="s">
        <v>129</v>
      </c>
      <c r="J275" s="30">
        <v>45061</v>
      </c>
      <c r="K275" s="30">
        <v>45089</v>
      </c>
      <c r="L275" s="30">
        <v>45091</v>
      </c>
      <c r="M275" s="30">
        <v>45075</v>
      </c>
      <c r="N275" s="30">
        <v>45079</v>
      </c>
      <c r="O275" s="28" t="s">
        <v>157</v>
      </c>
      <c r="P275" s="30" t="s">
        <v>157</v>
      </c>
      <c r="AA275" s="28" t="str">
        <f t="shared" si="4"/>
        <v/>
      </c>
    </row>
    <row r="276" spans="1:27" ht="15" customHeight="1" x14ac:dyDescent="0.25">
      <c r="A276" s="31" t="s">
        <v>712</v>
      </c>
      <c r="B276" s="29" t="s">
        <v>704</v>
      </c>
      <c r="C276" s="29" t="s">
        <v>713</v>
      </c>
      <c r="D276" s="28" t="s">
        <v>128</v>
      </c>
      <c r="E276" s="28" t="s">
        <v>96</v>
      </c>
      <c r="F276" s="28" t="s">
        <v>75</v>
      </c>
      <c r="G276" s="54" t="s">
        <v>76</v>
      </c>
      <c r="H276" s="28" t="s">
        <v>93</v>
      </c>
      <c r="I276" s="28" t="s">
        <v>129</v>
      </c>
      <c r="J276" s="30">
        <v>45061</v>
      </c>
      <c r="K276" s="30">
        <v>45089</v>
      </c>
      <c r="L276" s="30">
        <v>45091</v>
      </c>
      <c r="M276" s="30">
        <v>45076</v>
      </c>
      <c r="N276" s="30">
        <v>45079</v>
      </c>
      <c r="O276" s="28" t="s">
        <v>157</v>
      </c>
      <c r="P276" s="30" t="s">
        <v>157</v>
      </c>
      <c r="S276" s="37"/>
      <c r="T276" s="37"/>
      <c r="W276" s="37"/>
      <c r="X276" s="37"/>
      <c r="AA276" s="28" t="str">
        <f t="shared" si="4"/>
        <v/>
      </c>
    </row>
    <row r="277" spans="1:27" ht="15" customHeight="1" x14ac:dyDescent="0.25">
      <c r="A277" s="31" t="s">
        <v>714</v>
      </c>
      <c r="B277" s="29" t="s">
        <v>704</v>
      </c>
      <c r="C277" s="29" t="s">
        <v>715</v>
      </c>
      <c r="D277" s="28" t="s">
        <v>128</v>
      </c>
      <c r="E277" s="28" t="s">
        <v>96</v>
      </c>
      <c r="F277" s="28" t="s">
        <v>75</v>
      </c>
      <c r="G277" s="28" t="s">
        <v>76</v>
      </c>
      <c r="H277" s="28" t="s">
        <v>93</v>
      </c>
      <c r="I277" s="28" t="s">
        <v>129</v>
      </c>
      <c r="J277" s="30">
        <v>45061</v>
      </c>
      <c r="K277" s="30">
        <v>45089</v>
      </c>
      <c r="L277" s="30">
        <v>45091</v>
      </c>
      <c r="M277" s="30">
        <v>45079</v>
      </c>
      <c r="N277" s="30">
        <v>45079</v>
      </c>
      <c r="O277" s="28" t="s">
        <v>157</v>
      </c>
      <c r="P277" s="30" t="s">
        <v>157</v>
      </c>
      <c r="AA277" s="28" t="str">
        <f t="shared" si="4"/>
        <v/>
      </c>
    </row>
    <row r="278" spans="1:27" ht="15" customHeight="1" x14ac:dyDescent="0.25">
      <c r="A278" s="31" t="s">
        <v>716</v>
      </c>
      <c r="B278" s="29" t="s">
        <v>704</v>
      </c>
      <c r="C278" s="29" t="s">
        <v>717</v>
      </c>
      <c r="D278" s="28" t="s">
        <v>128</v>
      </c>
      <c r="E278" s="28" t="s">
        <v>96</v>
      </c>
      <c r="F278" s="28" t="s">
        <v>75</v>
      </c>
      <c r="G278" s="54" t="s">
        <v>76</v>
      </c>
      <c r="H278" s="28" t="s">
        <v>93</v>
      </c>
      <c r="I278" s="28" t="s">
        <v>129</v>
      </c>
      <c r="J278" s="30">
        <v>45061</v>
      </c>
      <c r="K278" s="30">
        <v>45089</v>
      </c>
      <c r="L278" s="30">
        <v>45091</v>
      </c>
      <c r="M278" s="30">
        <v>45075</v>
      </c>
      <c r="N278" s="30">
        <v>45079</v>
      </c>
      <c r="O278" s="28" t="s">
        <v>157</v>
      </c>
      <c r="P278" s="30" t="s">
        <v>157</v>
      </c>
      <c r="S278" s="37"/>
      <c r="T278" s="37"/>
      <c r="W278" s="37"/>
      <c r="X278" s="37"/>
      <c r="AA278" s="28" t="str">
        <f t="shared" si="4"/>
        <v/>
      </c>
    </row>
    <row r="279" spans="1:27" ht="15" customHeight="1" x14ac:dyDescent="0.25">
      <c r="A279" s="31" t="s">
        <v>718</v>
      </c>
      <c r="B279" s="29" t="s">
        <v>704</v>
      </c>
      <c r="C279" s="29" t="s">
        <v>719</v>
      </c>
      <c r="D279" s="28" t="s">
        <v>128</v>
      </c>
      <c r="E279" s="28" t="s">
        <v>96</v>
      </c>
      <c r="F279" s="28" t="s">
        <v>75</v>
      </c>
      <c r="G279" s="28" t="s">
        <v>76</v>
      </c>
      <c r="H279" s="28" t="s">
        <v>93</v>
      </c>
      <c r="I279" s="28" t="s">
        <v>129</v>
      </c>
      <c r="J279" s="30">
        <v>45061</v>
      </c>
      <c r="K279" s="30">
        <v>45089</v>
      </c>
      <c r="L279" s="30">
        <v>45091</v>
      </c>
      <c r="M279" s="30">
        <v>45075</v>
      </c>
      <c r="N279" s="30">
        <v>45079</v>
      </c>
      <c r="O279" s="28" t="s">
        <v>157</v>
      </c>
      <c r="P279" s="30" t="s">
        <v>157</v>
      </c>
      <c r="AA279" s="28" t="str">
        <f t="shared" si="4"/>
        <v/>
      </c>
    </row>
    <row r="280" spans="1:27" ht="15" customHeight="1" x14ac:dyDescent="0.25">
      <c r="A280" s="31" t="s">
        <v>720</v>
      </c>
      <c r="B280" s="29" t="s">
        <v>704</v>
      </c>
      <c r="C280" s="29" t="s">
        <v>721</v>
      </c>
      <c r="D280" s="28" t="s">
        <v>128</v>
      </c>
      <c r="E280" s="28" t="s">
        <v>96</v>
      </c>
      <c r="F280" s="28" t="s">
        <v>75</v>
      </c>
      <c r="G280" s="28" t="s">
        <v>76</v>
      </c>
      <c r="H280" s="28" t="s">
        <v>93</v>
      </c>
      <c r="I280" s="28" t="s">
        <v>129</v>
      </c>
      <c r="J280" s="30">
        <v>45061</v>
      </c>
      <c r="K280" s="30">
        <v>45089</v>
      </c>
      <c r="L280" s="30">
        <v>45091</v>
      </c>
      <c r="M280" s="30">
        <v>45075</v>
      </c>
      <c r="N280" s="30">
        <v>45079</v>
      </c>
      <c r="O280" s="28" t="s">
        <v>157</v>
      </c>
      <c r="P280" s="30" t="s">
        <v>157</v>
      </c>
      <c r="S280" s="37"/>
      <c r="T280" s="37"/>
      <c r="W280" s="37"/>
      <c r="X280" s="37"/>
      <c r="AA280" s="28" t="str">
        <f t="shared" si="4"/>
        <v/>
      </c>
    </row>
    <row r="281" spans="1:27" ht="15" customHeight="1" x14ac:dyDescent="0.25">
      <c r="A281" s="31" t="s">
        <v>722</v>
      </c>
      <c r="B281" s="29" t="s">
        <v>704</v>
      </c>
      <c r="C281" s="29" t="s">
        <v>723</v>
      </c>
      <c r="D281" s="28" t="s">
        <v>128</v>
      </c>
      <c r="E281" s="28" t="s">
        <v>96</v>
      </c>
      <c r="F281" s="28" t="s">
        <v>75</v>
      </c>
      <c r="G281" s="28" t="s">
        <v>76</v>
      </c>
      <c r="H281" s="28" t="s">
        <v>93</v>
      </c>
      <c r="I281" s="28" t="s">
        <v>129</v>
      </c>
      <c r="J281" s="30">
        <v>45061</v>
      </c>
      <c r="K281" s="30">
        <v>45089</v>
      </c>
      <c r="L281" s="30">
        <v>45091</v>
      </c>
      <c r="M281" s="30">
        <v>45076</v>
      </c>
      <c r="N281" s="30">
        <v>45079</v>
      </c>
      <c r="O281" s="28" t="s">
        <v>157</v>
      </c>
      <c r="P281" s="30" t="s">
        <v>157</v>
      </c>
      <c r="AA281" s="28" t="str">
        <f t="shared" si="4"/>
        <v/>
      </c>
    </row>
    <row r="282" spans="1:27" s="63" customFormat="1" ht="15" customHeight="1" x14ac:dyDescent="0.25">
      <c r="A282" s="59" t="s">
        <v>724</v>
      </c>
      <c r="B282" s="60" t="s">
        <v>142</v>
      </c>
      <c r="C282" s="60" t="s">
        <v>725</v>
      </c>
      <c r="D282" s="61" t="s">
        <v>726</v>
      </c>
      <c r="E282" s="61" t="s">
        <v>96</v>
      </c>
      <c r="F282" s="61" t="s">
        <v>75</v>
      </c>
      <c r="G282" s="64" t="s">
        <v>102</v>
      </c>
      <c r="H282" s="61" t="s">
        <v>93</v>
      </c>
      <c r="I282" s="61" t="s">
        <v>94</v>
      </c>
      <c r="J282" s="62">
        <v>45068</v>
      </c>
      <c r="K282" s="62">
        <v>45089</v>
      </c>
      <c r="L282" s="62">
        <v>45091</v>
      </c>
      <c r="M282" s="62">
        <v>45096</v>
      </c>
      <c r="N282" s="62">
        <v>45096</v>
      </c>
      <c r="O282" s="61" t="s">
        <v>156</v>
      </c>
      <c r="P282" s="62" t="s">
        <v>156</v>
      </c>
      <c r="Q282" s="62"/>
      <c r="R282" s="62"/>
      <c r="S282" s="65"/>
      <c r="T282" s="65"/>
      <c r="U282" s="62"/>
      <c r="V282" s="62"/>
      <c r="W282" s="65"/>
      <c r="X282" s="65"/>
      <c r="Y282" s="61"/>
      <c r="Z282" s="61"/>
      <c r="AA282" s="61" t="str">
        <f t="shared" si="4"/>
        <v/>
      </c>
    </row>
    <row r="283" spans="1:27" ht="15" customHeight="1" x14ac:dyDescent="0.25">
      <c r="A283" s="31" t="s">
        <v>727</v>
      </c>
      <c r="B283" s="29" t="s">
        <v>728</v>
      </c>
      <c r="C283" s="29" t="s">
        <v>729</v>
      </c>
      <c r="D283" s="28" t="s">
        <v>88</v>
      </c>
      <c r="E283" s="28" t="s">
        <v>81</v>
      </c>
      <c r="F283" s="28" t="s">
        <v>75</v>
      </c>
      <c r="G283" s="28" t="s">
        <v>76</v>
      </c>
      <c r="H283" s="28" t="s">
        <v>93</v>
      </c>
      <c r="I283" s="28" t="s">
        <v>101</v>
      </c>
      <c r="J283" s="30">
        <v>45070</v>
      </c>
      <c r="K283" s="30">
        <v>45118</v>
      </c>
      <c r="L283" s="30">
        <v>45120</v>
      </c>
      <c r="M283" s="30">
        <v>45106</v>
      </c>
      <c r="N283" s="30">
        <v>45107</v>
      </c>
      <c r="O283" s="28" t="s">
        <v>157</v>
      </c>
      <c r="P283" s="30" t="s">
        <v>157</v>
      </c>
      <c r="AA283" s="28" t="str">
        <f t="shared" si="4"/>
        <v/>
      </c>
    </row>
    <row r="284" spans="1:27" ht="15" customHeight="1" x14ac:dyDescent="0.25">
      <c r="A284" s="31" t="s">
        <v>730</v>
      </c>
      <c r="B284" s="29" t="s">
        <v>728</v>
      </c>
      <c r="C284" s="29" t="s">
        <v>731</v>
      </c>
      <c r="D284" s="28" t="s">
        <v>90</v>
      </c>
      <c r="E284" s="28" t="s">
        <v>81</v>
      </c>
      <c r="F284" s="28" t="s">
        <v>75</v>
      </c>
      <c r="G284" s="54" t="s">
        <v>76</v>
      </c>
      <c r="H284" s="28" t="s">
        <v>93</v>
      </c>
      <c r="I284" s="28" t="s">
        <v>101</v>
      </c>
      <c r="J284" s="30">
        <v>45070</v>
      </c>
      <c r="K284" s="30">
        <v>45118</v>
      </c>
      <c r="L284" s="30">
        <v>45120</v>
      </c>
      <c r="M284" s="30">
        <v>45105</v>
      </c>
      <c r="N284" s="30">
        <v>45106</v>
      </c>
      <c r="O284" s="28" t="s">
        <v>157</v>
      </c>
      <c r="P284" s="30" t="s">
        <v>157</v>
      </c>
      <c r="S284" s="37"/>
      <c r="T284" s="37"/>
      <c r="W284" s="37"/>
      <c r="X284" s="37"/>
      <c r="AA284" s="28" t="str">
        <f t="shared" si="4"/>
        <v/>
      </c>
    </row>
    <row r="285" spans="1:27" ht="15" customHeight="1" x14ac:dyDescent="0.25">
      <c r="A285" s="31" t="s">
        <v>732</v>
      </c>
      <c r="B285" s="29" t="s">
        <v>728</v>
      </c>
      <c r="C285" s="29" t="s">
        <v>733</v>
      </c>
      <c r="D285" s="28" t="s">
        <v>88</v>
      </c>
      <c r="E285" s="28" t="s">
        <v>81</v>
      </c>
      <c r="F285" s="28" t="s">
        <v>75</v>
      </c>
      <c r="G285" s="28" t="s">
        <v>76</v>
      </c>
      <c r="H285" s="28" t="s">
        <v>92</v>
      </c>
      <c r="I285" s="28" t="s">
        <v>101</v>
      </c>
      <c r="J285" s="30">
        <v>45070</v>
      </c>
      <c r="K285" s="30">
        <v>45118</v>
      </c>
      <c r="L285" s="30">
        <v>45120</v>
      </c>
      <c r="M285" s="30">
        <v>45103</v>
      </c>
      <c r="N285" s="30">
        <v>45105</v>
      </c>
      <c r="O285" s="28" t="s">
        <v>157</v>
      </c>
      <c r="P285" s="30" t="s">
        <v>157</v>
      </c>
      <c r="AA285" s="28" t="str">
        <f t="shared" si="4"/>
        <v/>
      </c>
    </row>
    <row r="286" spans="1:27" s="63" customFormat="1" ht="15" customHeight="1" x14ac:dyDescent="0.25">
      <c r="A286" s="59" t="s">
        <v>734</v>
      </c>
      <c r="B286" s="60" t="s">
        <v>735</v>
      </c>
      <c r="C286" s="60" t="s">
        <v>736</v>
      </c>
      <c r="D286" s="61" t="s">
        <v>737</v>
      </c>
      <c r="E286" s="61" t="s">
        <v>91</v>
      </c>
      <c r="F286" s="61" t="s">
        <v>75</v>
      </c>
      <c r="G286" s="64" t="s">
        <v>76</v>
      </c>
      <c r="H286" s="61" t="s">
        <v>77</v>
      </c>
      <c r="I286" s="61" t="s">
        <v>103</v>
      </c>
      <c r="J286" s="62">
        <v>45070</v>
      </c>
      <c r="K286" s="62">
        <v>45091</v>
      </c>
      <c r="L286" s="62">
        <v>45093</v>
      </c>
      <c r="M286" s="62">
        <v>45082</v>
      </c>
      <c r="N286" s="62">
        <v>45097</v>
      </c>
      <c r="O286" s="61" t="s">
        <v>157</v>
      </c>
      <c r="P286" s="62" t="s">
        <v>156</v>
      </c>
      <c r="Q286" s="62"/>
      <c r="R286" s="62"/>
      <c r="S286" s="65"/>
      <c r="T286" s="65"/>
      <c r="U286" s="62"/>
      <c r="V286" s="62"/>
      <c r="W286" s="65"/>
      <c r="X286" s="65"/>
      <c r="Y286" s="61"/>
      <c r="Z286" s="61"/>
      <c r="AA286" s="61" t="str">
        <f t="shared" si="4"/>
        <v/>
      </c>
    </row>
    <row r="287" spans="1:27" s="63" customFormat="1" ht="15" customHeight="1" x14ac:dyDescent="0.25">
      <c r="A287" s="59" t="s">
        <v>738</v>
      </c>
      <c r="B287" s="60" t="s">
        <v>735</v>
      </c>
      <c r="C287" s="60" t="s">
        <v>736</v>
      </c>
      <c r="D287" s="61" t="s">
        <v>737</v>
      </c>
      <c r="E287" s="61" t="s">
        <v>91</v>
      </c>
      <c r="F287" s="61" t="s">
        <v>75</v>
      </c>
      <c r="G287" s="64" t="s">
        <v>76</v>
      </c>
      <c r="H287" s="61" t="s">
        <v>77</v>
      </c>
      <c r="I287" s="61" t="s">
        <v>103</v>
      </c>
      <c r="J287" s="62">
        <v>45070</v>
      </c>
      <c r="K287" s="62">
        <v>45091</v>
      </c>
      <c r="L287" s="62">
        <v>45093</v>
      </c>
      <c r="M287" s="62">
        <v>45082</v>
      </c>
      <c r="N287" s="62">
        <v>45097</v>
      </c>
      <c r="O287" s="61" t="s">
        <v>157</v>
      </c>
      <c r="P287" s="62" t="s">
        <v>156</v>
      </c>
      <c r="Q287" s="62"/>
      <c r="R287" s="62"/>
      <c r="S287" s="65"/>
      <c r="T287" s="65"/>
      <c r="U287" s="62"/>
      <c r="V287" s="62"/>
      <c r="W287" s="65"/>
      <c r="X287" s="65"/>
      <c r="Y287" s="61"/>
      <c r="Z287" s="61"/>
      <c r="AA287" s="61" t="str">
        <f t="shared" si="4"/>
        <v/>
      </c>
    </row>
    <row r="288" spans="1:27" ht="15" customHeight="1" x14ac:dyDescent="0.25">
      <c r="A288" s="31" t="s">
        <v>739</v>
      </c>
      <c r="B288" s="29" t="s">
        <v>740</v>
      </c>
      <c r="C288" s="29" t="s">
        <v>741</v>
      </c>
      <c r="D288" s="28" t="s">
        <v>742</v>
      </c>
      <c r="E288" s="28" t="s">
        <v>86</v>
      </c>
      <c r="F288" s="28" t="s">
        <v>75</v>
      </c>
      <c r="G288" s="28" t="s">
        <v>76</v>
      </c>
      <c r="H288" s="28" t="s">
        <v>92</v>
      </c>
      <c r="I288" s="28" t="s">
        <v>87</v>
      </c>
      <c r="J288" s="30">
        <v>45068</v>
      </c>
      <c r="K288" s="30">
        <v>45096</v>
      </c>
      <c r="L288" s="30">
        <v>45098</v>
      </c>
      <c r="M288" s="30">
        <v>45098</v>
      </c>
      <c r="N288" s="30">
        <v>45100</v>
      </c>
      <c r="O288" s="28" t="s">
        <v>156</v>
      </c>
      <c r="P288" s="30" t="s">
        <v>157</v>
      </c>
      <c r="AA288" s="28" t="str">
        <f t="shared" si="4"/>
        <v/>
      </c>
    </row>
    <row r="289" spans="1:27" ht="15" customHeight="1" x14ac:dyDescent="0.25">
      <c r="A289" s="31" t="s">
        <v>743</v>
      </c>
      <c r="B289" s="29" t="s">
        <v>744</v>
      </c>
      <c r="C289" s="29" t="s">
        <v>745</v>
      </c>
      <c r="D289" s="28" t="s">
        <v>746</v>
      </c>
      <c r="E289" s="28" t="s">
        <v>86</v>
      </c>
      <c r="F289" s="28" t="s">
        <v>75</v>
      </c>
      <c r="G289" s="54" t="s">
        <v>76</v>
      </c>
      <c r="H289" s="28" t="s">
        <v>93</v>
      </c>
      <c r="I289" s="28" t="s">
        <v>87</v>
      </c>
      <c r="J289" s="30">
        <v>45068</v>
      </c>
      <c r="K289" s="30">
        <v>45096</v>
      </c>
      <c r="L289" s="30">
        <v>45098</v>
      </c>
      <c r="M289" s="30">
        <v>45098</v>
      </c>
      <c r="N289" s="30">
        <v>45100</v>
      </c>
      <c r="O289" s="28" t="s">
        <v>156</v>
      </c>
      <c r="P289" s="30" t="s">
        <v>157</v>
      </c>
      <c r="S289" s="37"/>
      <c r="T289" s="37"/>
      <c r="W289" s="37"/>
      <c r="X289" s="37"/>
      <c r="AA289" s="28" t="str">
        <f t="shared" si="4"/>
        <v/>
      </c>
    </row>
    <row r="290" spans="1:27" ht="15" customHeight="1" x14ac:dyDescent="0.25">
      <c r="A290" s="31" t="s">
        <v>747</v>
      </c>
      <c r="B290" s="29" t="s">
        <v>744</v>
      </c>
      <c r="C290" s="29" t="s">
        <v>748</v>
      </c>
      <c r="D290" s="28" t="s">
        <v>742</v>
      </c>
      <c r="E290" s="28" t="s">
        <v>86</v>
      </c>
      <c r="F290" s="28" t="s">
        <v>75</v>
      </c>
      <c r="G290" s="28" t="s">
        <v>76</v>
      </c>
      <c r="H290" s="28" t="s">
        <v>92</v>
      </c>
      <c r="I290" s="28" t="s">
        <v>87</v>
      </c>
      <c r="J290" s="30">
        <v>45068</v>
      </c>
      <c r="K290" s="30">
        <v>45096</v>
      </c>
      <c r="L290" s="30">
        <v>45098</v>
      </c>
      <c r="M290" s="30">
        <v>45098</v>
      </c>
      <c r="N290" s="30">
        <v>45100</v>
      </c>
      <c r="O290" s="28" t="s">
        <v>156</v>
      </c>
      <c r="P290" s="30" t="s">
        <v>157</v>
      </c>
      <c r="AA290" s="28" t="str">
        <f t="shared" si="4"/>
        <v/>
      </c>
    </row>
    <row r="291" spans="1:27" ht="15" customHeight="1" x14ac:dyDescent="0.25">
      <c r="A291" s="31" t="s">
        <v>749</v>
      </c>
      <c r="B291" s="29" t="s">
        <v>750</v>
      </c>
      <c r="C291" s="29" t="s">
        <v>751</v>
      </c>
      <c r="D291" s="28" t="s">
        <v>746</v>
      </c>
      <c r="E291" s="28" t="s">
        <v>86</v>
      </c>
      <c r="F291" s="28" t="s">
        <v>75</v>
      </c>
      <c r="G291" s="54" t="s">
        <v>76</v>
      </c>
      <c r="H291" s="28" t="s">
        <v>92</v>
      </c>
      <c r="I291" s="28" t="s">
        <v>87</v>
      </c>
      <c r="J291" s="30">
        <v>45068</v>
      </c>
      <c r="K291" s="30">
        <v>45096</v>
      </c>
      <c r="L291" s="30">
        <v>45098</v>
      </c>
      <c r="M291" s="30">
        <v>45099</v>
      </c>
      <c r="N291" s="30">
        <v>45100</v>
      </c>
      <c r="O291" s="28" t="s">
        <v>156</v>
      </c>
      <c r="P291" s="30" t="s">
        <v>157</v>
      </c>
      <c r="S291" s="37"/>
      <c r="T291" s="37"/>
      <c r="W291" s="37"/>
      <c r="X291" s="37"/>
      <c r="AA291" s="28" t="str">
        <f t="shared" si="4"/>
        <v/>
      </c>
    </row>
    <row r="292" spans="1:27" ht="15" customHeight="1" x14ac:dyDescent="0.25">
      <c r="A292" s="31" t="s">
        <v>752</v>
      </c>
      <c r="B292" s="29" t="s">
        <v>753</v>
      </c>
      <c r="C292" s="29" t="s">
        <v>754</v>
      </c>
      <c r="D292" s="28" t="s">
        <v>742</v>
      </c>
      <c r="E292" s="28" t="s">
        <v>86</v>
      </c>
      <c r="F292" s="28" t="s">
        <v>75</v>
      </c>
      <c r="G292" s="28" t="s">
        <v>76</v>
      </c>
      <c r="H292" s="28" t="s">
        <v>92</v>
      </c>
      <c r="I292" s="28" t="s">
        <v>87</v>
      </c>
      <c r="J292" s="30">
        <v>45068</v>
      </c>
      <c r="K292" s="30">
        <v>45096</v>
      </c>
      <c r="L292" s="30">
        <v>45098</v>
      </c>
      <c r="M292" s="30">
        <v>45099</v>
      </c>
      <c r="N292" s="30">
        <v>45100</v>
      </c>
      <c r="O292" s="28" t="s">
        <v>156</v>
      </c>
      <c r="P292" s="30" t="s">
        <v>157</v>
      </c>
      <c r="AA292" s="28" t="str">
        <f t="shared" si="4"/>
        <v/>
      </c>
    </row>
    <row r="293" spans="1:27" ht="15" customHeight="1" x14ac:dyDescent="0.25">
      <c r="A293" s="31" t="s">
        <v>755</v>
      </c>
      <c r="B293" s="29" t="s">
        <v>744</v>
      </c>
      <c r="C293" s="29" t="s">
        <v>756</v>
      </c>
      <c r="D293" s="28" t="s">
        <v>746</v>
      </c>
      <c r="E293" s="28" t="s">
        <v>86</v>
      </c>
      <c r="F293" s="28" t="s">
        <v>75</v>
      </c>
      <c r="G293" s="54" t="s">
        <v>76</v>
      </c>
      <c r="H293" s="28" t="s">
        <v>93</v>
      </c>
      <c r="I293" s="28" t="s">
        <v>87</v>
      </c>
      <c r="J293" s="30">
        <v>45068</v>
      </c>
      <c r="K293" s="30">
        <v>45096</v>
      </c>
      <c r="L293" s="30">
        <v>45098</v>
      </c>
      <c r="M293" s="30">
        <v>45099</v>
      </c>
      <c r="N293" s="30">
        <v>45100</v>
      </c>
      <c r="O293" s="28" t="s">
        <v>156</v>
      </c>
      <c r="P293" s="30" t="s">
        <v>157</v>
      </c>
      <c r="S293" s="37"/>
      <c r="T293" s="37"/>
      <c r="W293" s="37"/>
      <c r="X293" s="37"/>
      <c r="AA293" s="28" t="str">
        <f t="shared" si="4"/>
        <v/>
      </c>
    </row>
    <row r="294" spans="1:27" ht="15" customHeight="1" x14ac:dyDescent="0.25">
      <c r="A294" s="31" t="s">
        <v>757</v>
      </c>
      <c r="B294" s="29" t="s">
        <v>758</v>
      </c>
      <c r="C294" s="29" t="s">
        <v>759</v>
      </c>
      <c r="D294" s="28" t="s">
        <v>746</v>
      </c>
      <c r="E294" s="28" t="s">
        <v>86</v>
      </c>
      <c r="F294" s="28" t="s">
        <v>75</v>
      </c>
      <c r="G294" s="28" t="s">
        <v>76</v>
      </c>
      <c r="H294" s="28" t="s">
        <v>93</v>
      </c>
      <c r="I294" s="28" t="s">
        <v>87</v>
      </c>
      <c r="J294" s="30">
        <v>45068</v>
      </c>
      <c r="K294" s="30">
        <v>45096</v>
      </c>
      <c r="L294" s="30">
        <v>45098</v>
      </c>
      <c r="M294" s="30">
        <v>45098</v>
      </c>
      <c r="N294" s="30">
        <v>45100</v>
      </c>
      <c r="O294" s="28" t="s">
        <v>156</v>
      </c>
      <c r="P294" s="30" t="s">
        <v>157</v>
      </c>
      <c r="AA294" s="28" t="str">
        <f t="shared" si="4"/>
        <v/>
      </c>
    </row>
    <row r="295" spans="1:27" ht="15" customHeight="1" x14ac:dyDescent="0.25">
      <c r="A295" s="31" t="s">
        <v>760</v>
      </c>
      <c r="B295" s="29" t="s">
        <v>761</v>
      </c>
      <c r="C295" s="29" t="s">
        <v>762</v>
      </c>
      <c r="D295" s="28" t="s">
        <v>746</v>
      </c>
      <c r="E295" s="28" t="s">
        <v>86</v>
      </c>
      <c r="F295" s="28" t="s">
        <v>75</v>
      </c>
      <c r="G295" s="54" t="s">
        <v>76</v>
      </c>
      <c r="H295" s="28" t="s">
        <v>93</v>
      </c>
      <c r="I295" s="28" t="s">
        <v>87</v>
      </c>
      <c r="J295" s="30">
        <v>45068</v>
      </c>
      <c r="K295" s="30">
        <v>45096</v>
      </c>
      <c r="L295" s="30">
        <v>45098</v>
      </c>
      <c r="M295" s="30">
        <v>45098</v>
      </c>
      <c r="N295" s="30">
        <v>45100</v>
      </c>
      <c r="O295" s="28" t="s">
        <v>156</v>
      </c>
      <c r="P295" s="30" t="s">
        <v>157</v>
      </c>
      <c r="S295" s="37"/>
      <c r="T295" s="37"/>
      <c r="W295" s="37"/>
      <c r="X295" s="37"/>
      <c r="AA295" s="28" t="str">
        <f t="shared" si="4"/>
        <v/>
      </c>
    </row>
    <row r="296" spans="1:27" ht="15" customHeight="1" x14ac:dyDescent="0.25">
      <c r="A296" s="31" t="s">
        <v>763</v>
      </c>
      <c r="B296" s="29" t="s">
        <v>764</v>
      </c>
      <c r="C296" s="29" t="s">
        <v>765</v>
      </c>
      <c r="D296" s="28" t="s">
        <v>746</v>
      </c>
      <c r="E296" s="28" t="s">
        <v>86</v>
      </c>
      <c r="F296" s="28" t="s">
        <v>75</v>
      </c>
      <c r="G296" s="28" t="s">
        <v>76</v>
      </c>
      <c r="H296" s="28" t="s">
        <v>92</v>
      </c>
      <c r="I296" s="28" t="s">
        <v>87</v>
      </c>
      <c r="J296" s="30">
        <v>45068</v>
      </c>
      <c r="K296" s="30">
        <v>45096</v>
      </c>
      <c r="L296" s="30">
        <v>45098</v>
      </c>
      <c r="M296" s="30">
        <v>45098</v>
      </c>
      <c r="N296" s="30">
        <v>45100</v>
      </c>
      <c r="O296" s="28" t="s">
        <v>156</v>
      </c>
      <c r="P296" s="30" t="s">
        <v>157</v>
      </c>
      <c r="AA296" s="28" t="str">
        <f t="shared" si="4"/>
        <v/>
      </c>
    </row>
    <row r="297" spans="1:27" ht="15" customHeight="1" x14ac:dyDescent="0.25">
      <c r="A297" s="31" t="s">
        <v>766</v>
      </c>
      <c r="B297" s="29" t="s">
        <v>753</v>
      </c>
      <c r="C297" s="29" t="s">
        <v>767</v>
      </c>
      <c r="D297" s="28" t="s">
        <v>746</v>
      </c>
      <c r="E297" s="28" t="s">
        <v>86</v>
      </c>
      <c r="F297" s="28" t="s">
        <v>75</v>
      </c>
      <c r="G297" s="54" t="s">
        <v>76</v>
      </c>
      <c r="H297" s="28" t="s">
        <v>93</v>
      </c>
      <c r="I297" s="28" t="s">
        <v>87</v>
      </c>
      <c r="J297" s="30">
        <v>45068</v>
      </c>
      <c r="K297" s="30">
        <v>45096</v>
      </c>
      <c r="L297" s="30">
        <v>45098</v>
      </c>
      <c r="M297" s="30">
        <v>45099</v>
      </c>
      <c r="N297" s="30">
        <v>45100</v>
      </c>
      <c r="O297" s="28" t="s">
        <v>156</v>
      </c>
      <c r="P297" s="30" t="s">
        <v>157</v>
      </c>
      <c r="S297" s="37"/>
      <c r="T297" s="37"/>
      <c r="W297" s="37"/>
      <c r="X297" s="37"/>
      <c r="AA297" s="28" t="str">
        <f t="shared" si="4"/>
        <v/>
      </c>
    </row>
    <row r="298" spans="1:27" ht="15" customHeight="1" x14ac:dyDescent="0.25">
      <c r="A298" s="31" t="s">
        <v>768</v>
      </c>
      <c r="B298" s="29" t="s">
        <v>761</v>
      </c>
      <c r="C298" s="29" t="s">
        <v>769</v>
      </c>
      <c r="D298" s="28" t="s">
        <v>746</v>
      </c>
      <c r="E298" s="28" t="s">
        <v>86</v>
      </c>
      <c r="F298" s="28" t="s">
        <v>75</v>
      </c>
      <c r="G298" s="28" t="s">
        <v>76</v>
      </c>
      <c r="H298" s="28" t="s">
        <v>93</v>
      </c>
      <c r="I298" s="28" t="s">
        <v>87</v>
      </c>
      <c r="J298" s="30">
        <v>45068</v>
      </c>
      <c r="K298" s="30">
        <v>45096</v>
      </c>
      <c r="L298" s="30">
        <v>45098</v>
      </c>
      <c r="M298" s="30">
        <v>45099</v>
      </c>
      <c r="N298" s="30">
        <v>45100</v>
      </c>
      <c r="O298" s="28" t="s">
        <v>156</v>
      </c>
      <c r="P298" s="30" t="s">
        <v>157</v>
      </c>
      <c r="AA298" s="28" t="str">
        <f t="shared" si="4"/>
        <v/>
      </c>
    </row>
    <row r="299" spans="1:27" ht="15" customHeight="1" x14ac:dyDescent="0.25">
      <c r="A299" s="31" t="s">
        <v>770</v>
      </c>
      <c r="B299" s="29" t="s">
        <v>771</v>
      </c>
      <c r="C299" s="29" t="s">
        <v>772</v>
      </c>
      <c r="D299" s="28" t="s">
        <v>773</v>
      </c>
      <c r="E299" s="28" t="s">
        <v>91</v>
      </c>
      <c r="F299" s="28" t="s">
        <v>75</v>
      </c>
      <c r="G299" s="54" t="s">
        <v>102</v>
      </c>
      <c r="H299" s="28" t="s">
        <v>77</v>
      </c>
      <c r="I299" s="28" t="s">
        <v>103</v>
      </c>
      <c r="J299" s="30">
        <v>45076</v>
      </c>
      <c r="K299" s="30">
        <v>45089</v>
      </c>
      <c r="L299" s="30">
        <v>45091</v>
      </c>
      <c r="M299" s="30">
        <v>45089</v>
      </c>
      <c r="N299" s="30">
        <v>45092</v>
      </c>
      <c r="O299" s="28" t="s">
        <v>157</v>
      </c>
      <c r="P299" s="30" t="s">
        <v>157</v>
      </c>
      <c r="S299" s="37"/>
      <c r="T299" s="37"/>
      <c r="W299" s="37"/>
      <c r="X299" s="37"/>
      <c r="AA299" s="28" t="str">
        <f t="shared" si="4"/>
        <v/>
      </c>
    </row>
    <row r="300" spans="1:27" s="63" customFormat="1" ht="15" customHeight="1" x14ac:dyDescent="0.25">
      <c r="A300" s="59" t="s">
        <v>774</v>
      </c>
      <c r="B300" s="60" t="s">
        <v>775</v>
      </c>
      <c r="C300" s="60" t="s">
        <v>776</v>
      </c>
      <c r="D300" s="61" t="s">
        <v>777</v>
      </c>
      <c r="E300" s="61" t="s">
        <v>81</v>
      </c>
      <c r="F300" s="61" t="s">
        <v>75</v>
      </c>
      <c r="G300" s="61" t="s">
        <v>102</v>
      </c>
      <c r="H300" s="61" t="s">
        <v>77</v>
      </c>
      <c r="I300" s="61" t="s">
        <v>82</v>
      </c>
      <c r="J300" s="62">
        <v>45071</v>
      </c>
      <c r="K300" s="62">
        <v>45089</v>
      </c>
      <c r="L300" s="62">
        <v>45091</v>
      </c>
      <c r="M300" s="62">
        <v>45097</v>
      </c>
      <c r="N300" s="62">
        <v>45097</v>
      </c>
      <c r="O300" s="61" t="s">
        <v>156</v>
      </c>
      <c r="P300" s="62" t="s">
        <v>156</v>
      </c>
      <c r="Q300" s="62"/>
      <c r="R300" s="62"/>
      <c r="S300" s="61"/>
      <c r="T300" s="61"/>
      <c r="U300" s="62"/>
      <c r="V300" s="62"/>
      <c r="W300" s="61"/>
      <c r="X300" s="61"/>
      <c r="Y300" s="61"/>
      <c r="Z300" s="61"/>
      <c r="AA300" s="61" t="str">
        <f t="shared" si="4"/>
        <v/>
      </c>
    </row>
    <row r="301" spans="1:27" ht="15" customHeight="1" x14ac:dyDescent="0.25">
      <c r="A301" s="31" t="s">
        <v>778</v>
      </c>
      <c r="B301" s="29" t="s">
        <v>779</v>
      </c>
      <c r="C301" s="29" t="s">
        <v>780</v>
      </c>
      <c r="D301" s="28" t="s">
        <v>98</v>
      </c>
      <c r="E301" s="28" t="s">
        <v>91</v>
      </c>
      <c r="F301" s="28" t="s">
        <v>75</v>
      </c>
      <c r="G301" s="54" t="s">
        <v>76</v>
      </c>
      <c r="H301" s="28" t="s">
        <v>77</v>
      </c>
      <c r="I301" s="28" t="s">
        <v>78</v>
      </c>
      <c r="J301" s="30">
        <v>45062</v>
      </c>
      <c r="K301" s="30">
        <v>45082</v>
      </c>
      <c r="L301" s="30">
        <v>45084</v>
      </c>
      <c r="M301" s="30">
        <v>45072</v>
      </c>
      <c r="N301" s="30">
        <v>45084</v>
      </c>
      <c r="O301" s="28" t="s">
        <v>157</v>
      </c>
      <c r="P301" s="30" t="s">
        <v>157</v>
      </c>
      <c r="S301" s="37"/>
      <c r="T301" s="37"/>
      <c r="W301" s="37"/>
      <c r="X301" s="37"/>
      <c r="AA301" s="28" t="str">
        <f t="shared" si="4"/>
        <v/>
      </c>
    </row>
    <row r="302" spans="1:27" ht="15" customHeight="1" x14ac:dyDescent="0.25">
      <c r="A302" s="31" t="s">
        <v>781</v>
      </c>
      <c r="B302" s="29" t="s">
        <v>143</v>
      </c>
      <c r="C302" s="29" t="s">
        <v>782</v>
      </c>
      <c r="D302" s="28" t="s">
        <v>783</v>
      </c>
      <c r="E302" s="28" t="s">
        <v>81</v>
      </c>
      <c r="F302" s="28" t="s">
        <v>75</v>
      </c>
      <c r="G302" s="28" t="s">
        <v>76</v>
      </c>
      <c r="H302" s="28" t="s">
        <v>77</v>
      </c>
      <c r="I302" s="28" t="s">
        <v>82</v>
      </c>
      <c r="J302" s="30">
        <v>45070</v>
      </c>
      <c r="K302" s="30">
        <v>45082</v>
      </c>
      <c r="L302" s="30">
        <v>45084</v>
      </c>
      <c r="M302" s="30">
        <v>45077</v>
      </c>
      <c r="N302" s="30">
        <v>45085</v>
      </c>
      <c r="O302" s="28" t="s">
        <v>157</v>
      </c>
      <c r="P302" s="30" t="s">
        <v>157</v>
      </c>
      <c r="AA302" s="28" t="str">
        <f t="shared" si="4"/>
        <v/>
      </c>
    </row>
    <row r="303" spans="1:27" ht="15" customHeight="1" x14ac:dyDescent="0.25">
      <c r="A303" s="31" t="s">
        <v>784</v>
      </c>
      <c r="B303" s="29" t="s">
        <v>785</v>
      </c>
      <c r="C303" s="29" t="s">
        <v>786</v>
      </c>
      <c r="D303" s="28" t="s">
        <v>787</v>
      </c>
      <c r="E303" s="28" t="s">
        <v>81</v>
      </c>
      <c r="F303" s="28" t="s">
        <v>75</v>
      </c>
      <c r="G303" s="54" t="s">
        <v>102</v>
      </c>
      <c r="H303" s="28" t="s">
        <v>92</v>
      </c>
      <c r="I303" s="28" t="s">
        <v>94</v>
      </c>
      <c r="J303" s="30">
        <v>45090</v>
      </c>
      <c r="K303" s="30">
        <v>45103</v>
      </c>
      <c r="L303" s="30">
        <v>45105</v>
      </c>
      <c r="M303" s="30">
        <v>45103</v>
      </c>
      <c r="N303" s="30">
        <v>45105</v>
      </c>
      <c r="O303" s="28" t="s">
        <v>157</v>
      </c>
      <c r="P303" s="30" t="s">
        <v>157</v>
      </c>
      <c r="S303" s="37"/>
      <c r="T303" s="37"/>
      <c r="W303" s="37"/>
      <c r="X303" s="37"/>
      <c r="AA303" s="28" t="str">
        <f t="shared" si="4"/>
        <v/>
      </c>
    </row>
    <row r="304" spans="1:27" ht="15" customHeight="1" x14ac:dyDescent="0.25">
      <c r="A304" s="31" t="s">
        <v>788</v>
      </c>
      <c r="B304" s="29" t="s">
        <v>789</v>
      </c>
      <c r="C304" s="29" t="s">
        <v>790</v>
      </c>
      <c r="D304" s="28" t="s">
        <v>144</v>
      </c>
      <c r="E304" s="28" t="s">
        <v>96</v>
      </c>
      <c r="F304" s="28" t="s">
        <v>75</v>
      </c>
      <c r="G304" s="28" t="s">
        <v>102</v>
      </c>
      <c r="H304" s="28" t="s">
        <v>93</v>
      </c>
      <c r="I304" s="28" t="s">
        <v>101</v>
      </c>
      <c r="J304" s="30">
        <v>45083</v>
      </c>
      <c r="K304" s="30">
        <v>45100</v>
      </c>
      <c r="L304" s="30">
        <v>45104</v>
      </c>
      <c r="M304" s="30">
        <v>45090</v>
      </c>
      <c r="N304" s="30">
        <v>45092</v>
      </c>
      <c r="O304" s="28" t="s">
        <v>157</v>
      </c>
      <c r="P304" s="30" t="s">
        <v>157</v>
      </c>
      <c r="AA304" s="28" t="str">
        <f t="shared" si="4"/>
        <v/>
      </c>
    </row>
    <row r="305" spans="1:27" ht="15" customHeight="1" x14ac:dyDescent="0.25">
      <c r="A305" s="31" t="s">
        <v>791</v>
      </c>
      <c r="B305" s="29" t="s">
        <v>586</v>
      </c>
      <c r="C305" s="29" t="s">
        <v>792</v>
      </c>
      <c r="D305" s="28" t="s">
        <v>793</v>
      </c>
      <c r="E305" s="28" t="s">
        <v>91</v>
      </c>
      <c r="F305" s="28" t="s">
        <v>75</v>
      </c>
      <c r="G305" s="54" t="s">
        <v>76</v>
      </c>
      <c r="H305" s="28" t="s">
        <v>92</v>
      </c>
      <c r="I305" s="28" t="s">
        <v>78</v>
      </c>
      <c r="J305" s="30">
        <v>45068</v>
      </c>
      <c r="K305" s="30">
        <v>45096</v>
      </c>
      <c r="L305" s="30">
        <v>45098</v>
      </c>
      <c r="M305" s="30">
        <v>45097</v>
      </c>
      <c r="N305" s="30">
        <v>45098</v>
      </c>
      <c r="O305" s="28" t="s">
        <v>156</v>
      </c>
      <c r="P305" s="30" t="s">
        <v>157</v>
      </c>
      <c r="S305" s="37"/>
      <c r="T305" s="37"/>
      <c r="W305" s="37"/>
      <c r="X305" s="37"/>
      <c r="AA305" s="28" t="str">
        <f t="shared" si="4"/>
        <v/>
      </c>
    </row>
    <row r="306" spans="1:27" ht="15" customHeight="1" x14ac:dyDescent="0.25">
      <c r="A306" s="31" t="s">
        <v>794</v>
      </c>
      <c r="B306" s="29" t="s">
        <v>586</v>
      </c>
      <c r="C306" s="29" t="s">
        <v>795</v>
      </c>
      <c r="D306" s="28" t="s">
        <v>796</v>
      </c>
      <c r="E306" s="28" t="s">
        <v>91</v>
      </c>
      <c r="F306" s="28" t="s">
        <v>75</v>
      </c>
      <c r="G306" s="28" t="s">
        <v>76</v>
      </c>
      <c r="H306" s="28" t="s">
        <v>92</v>
      </c>
      <c r="I306" s="28" t="s">
        <v>78</v>
      </c>
      <c r="J306" s="30">
        <v>45068</v>
      </c>
      <c r="K306" s="30">
        <v>45096</v>
      </c>
      <c r="L306" s="30">
        <v>45098</v>
      </c>
      <c r="M306" s="30">
        <v>45097</v>
      </c>
      <c r="N306" s="30">
        <v>45098</v>
      </c>
      <c r="O306" s="28" t="s">
        <v>156</v>
      </c>
      <c r="P306" s="30" t="s">
        <v>157</v>
      </c>
      <c r="AA306" s="28" t="str">
        <f t="shared" si="4"/>
        <v/>
      </c>
    </row>
    <row r="307" spans="1:27" ht="15" customHeight="1" x14ac:dyDescent="0.25">
      <c r="A307" s="31" t="s">
        <v>797</v>
      </c>
      <c r="B307" s="29" t="s">
        <v>586</v>
      </c>
      <c r="C307" s="29" t="s">
        <v>798</v>
      </c>
      <c r="D307" s="28" t="s">
        <v>796</v>
      </c>
      <c r="E307" s="28" t="s">
        <v>91</v>
      </c>
      <c r="F307" s="28" t="s">
        <v>75</v>
      </c>
      <c r="G307" s="54" t="s">
        <v>76</v>
      </c>
      <c r="H307" s="28" t="s">
        <v>92</v>
      </c>
      <c r="I307" s="28" t="s">
        <v>78</v>
      </c>
      <c r="J307" s="30">
        <v>45068</v>
      </c>
      <c r="K307" s="30">
        <v>45096</v>
      </c>
      <c r="L307" s="30">
        <v>45098</v>
      </c>
      <c r="M307" s="30">
        <v>45097</v>
      </c>
      <c r="N307" s="30">
        <v>45098</v>
      </c>
      <c r="O307" s="28" t="s">
        <v>156</v>
      </c>
      <c r="P307" s="30" t="s">
        <v>157</v>
      </c>
      <c r="S307" s="37"/>
      <c r="T307" s="37"/>
      <c r="W307" s="37"/>
      <c r="X307" s="37"/>
      <c r="AA307" s="28" t="str">
        <f t="shared" si="4"/>
        <v/>
      </c>
    </row>
    <row r="308" spans="1:27" ht="15" customHeight="1" x14ac:dyDescent="0.25">
      <c r="A308" s="31" t="s">
        <v>799</v>
      </c>
      <c r="B308" s="29" t="s">
        <v>143</v>
      </c>
      <c r="C308" s="29" t="s">
        <v>800</v>
      </c>
      <c r="D308" s="28" t="s">
        <v>783</v>
      </c>
      <c r="E308" s="28" t="s">
        <v>81</v>
      </c>
      <c r="F308" s="28" t="s">
        <v>75</v>
      </c>
      <c r="G308" s="28" t="s">
        <v>76</v>
      </c>
      <c r="H308" s="28" t="s">
        <v>77</v>
      </c>
      <c r="I308" s="28" t="s">
        <v>87</v>
      </c>
      <c r="J308" s="30">
        <v>45070</v>
      </c>
      <c r="K308" s="30">
        <v>45082</v>
      </c>
      <c r="L308" s="30">
        <v>45084</v>
      </c>
      <c r="M308" s="30">
        <v>45077</v>
      </c>
      <c r="N308" s="30">
        <v>45085</v>
      </c>
      <c r="O308" s="28" t="s">
        <v>157</v>
      </c>
      <c r="P308" s="30" t="s">
        <v>157</v>
      </c>
      <c r="AA308" s="28" t="str">
        <f t="shared" si="4"/>
        <v/>
      </c>
    </row>
    <row r="309" spans="1:27" ht="15" customHeight="1" x14ac:dyDescent="0.25">
      <c r="A309" s="31" t="s">
        <v>801</v>
      </c>
      <c r="B309" s="29" t="s">
        <v>143</v>
      </c>
      <c r="C309" s="29" t="s">
        <v>802</v>
      </c>
      <c r="D309" s="28" t="s">
        <v>783</v>
      </c>
      <c r="E309" s="28" t="s">
        <v>81</v>
      </c>
      <c r="F309" s="28" t="s">
        <v>75</v>
      </c>
      <c r="G309" s="54" t="s">
        <v>76</v>
      </c>
      <c r="H309" s="28" t="s">
        <v>77</v>
      </c>
      <c r="I309" s="28" t="s">
        <v>82</v>
      </c>
      <c r="J309" s="30">
        <v>45070</v>
      </c>
      <c r="K309" s="30">
        <v>45082</v>
      </c>
      <c r="L309" s="30">
        <v>45084</v>
      </c>
      <c r="M309" s="30">
        <v>45077</v>
      </c>
      <c r="N309" s="30">
        <v>45085</v>
      </c>
      <c r="O309" s="28" t="s">
        <v>157</v>
      </c>
      <c r="P309" s="30" t="s">
        <v>157</v>
      </c>
      <c r="S309" s="37"/>
      <c r="T309" s="37"/>
      <c r="W309" s="37"/>
      <c r="X309" s="37"/>
      <c r="AA309" s="28" t="str">
        <f t="shared" si="4"/>
        <v/>
      </c>
    </row>
    <row r="310" spans="1:27" ht="15" customHeight="1" x14ac:dyDescent="0.25">
      <c r="A310" s="31" t="s">
        <v>803</v>
      </c>
      <c r="B310" s="29" t="s">
        <v>145</v>
      </c>
      <c r="C310" s="29" t="s">
        <v>804</v>
      </c>
      <c r="D310" s="28" t="s">
        <v>83</v>
      </c>
      <c r="E310" s="28" t="s">
        <v>96</v>
      </c>
      <c r="F310" s="28" t="s">
        <v>75</v>
      </c>
      <c r="G310" s="28" t="s">
        <v>76</v>
      </c>
      <c r="H310" s="28" t="s">
        <v>84</v>
      </c>
      <c r="I310" s="28" t="s">
        <v>87</v>
      </c>
      <c r="J310" s="30">
        <v>45070</v>
      </c>
      <c r="K310" s="30">
        <v>45093</v>
      </c>
      <c r="L310" s="30">
        <v>45097</v>
      </c>
      <c r="M310" s="30">
        <v>45096</v>
      </c>
      <c r="N310" s="30">
        <v>45097</v>
      </c>
      <c r="O310" s="28" t="s">
        <v>156</v>
      </c>
      <c r="P310" s="30" t="s">
        <v>157</v>
      </c>
      <c r="AA310" s="28" t="str">
        <f t="shared" si="4"/>
        <v/>
      </c>
    </row>
    <row r="311" spans="1:27" ht="15" customHeight="1" x14ac:dyDescent="0.25">
      <c r="A311" s="31" t="s">
        <v>805</v>
      </c>
      <c r="B311" s="29" t="s">
        <v>145</v>
      </c>
      <c r="C311" s="29" t="s">
        <v>806</v>
      </c>
      <c r="D311" s="28" t="s">
        <v>83</v>
      </c>
      <c r="E311" s="28" t="s">
        <v>96</v>
      </c>
      <c r="F311" s="28" t="s">
        <v>75</v>
      </c>
      <c r="G311" s="54" t="s">
        <v>76</v>
      </c>
      <c r="H311" s="28" t="s">
        <v>84</v>
      </c>
      <c r="I311" s="28" t="s">
        <v>87</v>
      </c>
      <c r="J311" s="30">
        <v>45070</v>
      </c>
      <c r="K311" s="30">
        <v>45093</v>
      </c>
      <c r="L311" s="30">
        <v>45097</v>
      </c>
      <c r="M311" s="30">
        <v>45096</v>
      </c>
      <c r="N311" s="30">
        <v>45097</v>
      </c>
      <c r="O311" s="28" t="s">
        <v>156</v>
      </c>
      <c r="P311" s="30" t="s">
        <v>157</v>
      </c>
      <c r="S311" s="37"/>
      <c r="T311" s="37"/>
      <c r="W311" s="37"/>
      <c r="X311" s="37"/>
      <c r="AA311" s="28" t="str">
        <f t="shared" si="4"/>
        <v/>
      </c>
    </row>
    <row r="312" spans="1:27" ht="15" customHeight="1" x14ac:dyDescent="0.25">
      <c r="A312" s="31" t="s">
        <v>807</v>
      </c>
      <c r="B312" s="29" t="s">
        <v>145</v>
      </c>
      <c r="C312" s="29" t="s">
        <v>808</v>
      </c>
      <c r="D312" s="28" t="s">
        <v>83</v>
      </c>
      <c r="E312" s="28" t="s">
        <v>96</v>
      </c>
      <c r="F312" s="28" t="s">
        <v>75</v>
      </c>
      <c r="G312" s="28" t="s">
        <v>76</v>
      </c>
      <c r="H312" s="28" t="s">
        <v>84</v>
      </c>
      <c r="I312" s="28" t="s">
        <v>87</v>
      </c>
      <c r="J312" s="30">
        <v>45070</v>
      </c>
      <c r="K312" s="30">
        <v>45093</v>
      </c>
      <c r="L312" s="30">
        <v>45097</v>
      </c>
      <c r="M312" s="30">
        <v>45096</v>
      </c>
      <c r="N312" s="30">
        <v>45097</v>
      </c>
      <c r="O312" s="28" t="s">
        <v>156</v>
      </c>
      <c r="P312" s="30" t="s">
        <v>157</v>
      </c>
      <c r="AA312" s="28" t="str">
        <f t="shared" si="4"/>
        <v/>
      </c>
    </row>
    <row r="313" spans="1:27" ht="15" customHeight="1" x14ac:dyDescent="0.25">
      <c r="A313" s="31" t="s">
        <v>809</v>
      </c>
      <c r="B313" s="29" t="s">
        <v>145</v>
      </c>
      <c r="C313" s="29" t="s">
        <v>810</v>
      </c>
      <c r="D313" s="28" t="s">
        <v>83</v>
      </c>
      <c r="E313" s="28" t="s">
        <v>96</v>
      </c>
      <c r="F313" s="28" t="s">
        <v>75</v>
      </c>
      <c r="G313" s="54" t="s">
        <v>76</v>
      </c>
      <c r="H313" s="28" t="s">
        <v>84</v>
      </c>
      <c r="I313" s="28" t="s">
        <v>87</v>
      </c>
      <c r="J313" s="30">
        <v>45070</v>
      </c>
      <c r="K313" s="30">
        <v>45093</v>
      </c>
      <c r="L313" s="30">
        <v>45097</v>
      </c>
      <c r="M313" s="30">
        <v>45096</v>
      </c>
      <c r="N313" s="30">
        <v>45097</v>
      </c>
      <c r="O313" s="28" t="s">
        <v>156</v>
      </c>
      <c r="P313" s="30" t="s">
        <v>157</v>
      </c>
      <c r="S313" s="37"/>
      <c r="T313" s="37"/>
      <c r="W313" s="37"/>
      <c r="X313" s="37"/>
      <c r="AA313" s="28" t="str">
        <f t="shared" si="4"/>
        <v/>
      </c>
    </row>
    <row r="314" spans="1:27" ht="15" customHeight="1" x14ac:dyDescent="0.25">
      <c r="A314" s="31" t="s">
        <v>811</v>
      </c>
      <c r="B314" s="29" t="s">
        <v>145</v>
      </c>
      <c r="C314" s="29" t="s">
        <v>812</v>
      </c>
      <c r="D314" s="28" t="s">
        <v>83</v>
      </c>
      <c r="E314" s="28" t="s">
        <v>96</v>
      </c>
      <c r="F314" s="28" t="s">
        <v>75</v>
      </c>
      <c r="G314" s="28" t="s">
        <v>76</v>
      </c>
      <c r="H314" s="28" t="s">
        <v>93</v>
      </c>
      <c r="I314" s="28" t="s">
        <v>87</v>
      </c>
      <c r="J314" s="30">
        <v>45070</v>
      </c>
      <c r="K314" s="30">
        <v>45093</v>
      </c>
      <c r="L314" s="30">
        <v>45097</v>
      </c>
      <c r="M314" s="30">
        <v>45097</v>
      </c>
      <c r="N314" s="30">
        <v>45099</v>
      </c>
      <c r="O314" s="28" t="s">
        <v>156</v>
      </c>
      <c r="P314" s="30" t="s">
        <v>157</v>
      </c>
      <c r="AA314" s="28" t="str">
        <f t="shared" si="4"/>
        <v/>
      </c>
    </row>
    <row r="315" spans="1:27" ht="15" customHeight="1" x14ac:dyDescent="0.25">
      <c r="A315" s="31" t="s">
        <v>813</v>
      </c>
      <c r="B315" s="29" t="s">
        <v>145</v>
      </c>
      <c r="C315" s="29" t="s">
        <v>814</v>
      </c>
      <c r="D315" s="28" t="s">
        <v>83</v>
      </c>
      <c r="E315" s="28" t="s">
        <v>96</v>
      </c>
      <c r="F315" s="28" t="s">
        <v>75</v>
      </c>
      <c r="G315" s="54" t="s">
        <v>76</v>
      </c>
      <c r="H315" s="28" t="s">
        <v>93</v>
      </c>
      <c r="I315" s="28" t="s">
        <v>87</v>
      </c>
      <c r="J315" s="30">
        <v>45070</v>
      </c>
      <c r="K315" s="30">
        <v>45093</v>
      </c>
      <c r="L315" s="30">
        <v>45097</v>
      </c>
      <c r="M315" s="30">
        <v>45097</v>
      </c>
      <c r="N315" s="30">
        <v>45099</v>
      </c>
      <c r="O315" s="28" t="s">
        <v>156</v>
      </c>
      <c r="P315" s="30" t="s">
        <v>157</v>
      </c>
      <c r="S315" s="37"/>
      <c r="T315" s="37"/>
      <c r="W315" s="37"/>
      <c r="X315" s="37"/>
      <c r="AA315" s="28" t="str">
        <f t="shared" si="4"/>
        <v/>
      </c>
    </row>
    <row r="316" spans="1:27" ht="15" customHeight="1" x14ac:dyDescent="0.25">
      <c r="A316" s="31" t="s">
        <v>815</v>
      </c>
      <c r="B316" s="29" t="s">
        <v>145</v>
      </c>
      <c r="C316" s="29" t="s">
        <v>816</v>
      </c>
      <c r="D316" s="28" t="s">
        <v>83</v>
      </c>
      <c r="E316" s="28" t="s">
        <v>96</v>
      </c>
      <c r="F316" s="28" t="s">
        <v>75</v>
      </c>
      <c r="G316" s="28" t="s">
        <v>76</v>
      </c>
      <c r="H316" s="28" t="s">
        <v>93</v>
      </c>
      <c r="I316" s="28" t="s">
        <v>87</v>
      </c>
      <c r="J316" s="30">
        <v>45070</v>
      </c>
      <c r="K316" s="30">
        <v>45093</v>
      </c>
      <c r="L316" s="30">
        <v>45097</v>
      </c>
      <c r="M316" s="30">
        <v>45097</v>
      </c>
      <c r="N316" s="30">
        <v>45099</v>
      </c>
      <c r="O316" s="28" t="s">
        <v>156</v>
      </c>
      <c r="P316" s="30" t="s">
        <v>157</v>
      </c>
      <c r="AA316" s="28" t="str">
        <f t="shared" si="4"/>
        <v/>
      </c>
    </row>
    <row r="317" spans="1:27" ht="15" customHeight="1" x14ac:dyDescent="0.25">
      <c r="A317" s="31" t="s">
        <v>817</v>
      </c>
      <c r="B317" s="29" t="s">
        <v>145</v>
      </c>
      <c r="C317" s="29" t="s">
        <v>818</v>
      </c>
      <c r="D317" s="28" t="s">
        <v>83</v>
      </c>
      <c r="E317" s="28" t="s">
        <v>96</v>
      </c>
      <c r="F317" s="28" t="s">
        <v>75</v>
      </c>
      <c r="G317" s="54" t="s">
        <v>76</v>
      </c>
      <c r="H317" s="28" t="s">
        <v>93</v>
      </c>
      <c r="I317" s="28" t="s">
        <v>87</v>
      </c>
      <c r="J317" s="30">
        <v>45070</v>
      </c>
      <c r="K317" s="30">
        <v>45093</v>
      </c>
      <c r="L317" s="30">
        <v>45097</v>
      </c>
      <c r="M317" s="30">
        <v>45097</v>
      </c>
      <c r="N317" s="30">
        <v>45099</v>
      </c>
      <c r="O317" s="28" t="s">
        <v>156</v>
      </c>
      <c r="P317" s="30" t="s">
        <v>157</v>
      </c>
      <c r="S317" s="37"/>
      <c r="T317" s="37"/>
      <c r="W317" s="37"/>
      <c r="X317" s="37"/>
      <c r="AA317" s="28" t="str">
        <f t="shared" si="4"/>
        <v/>
      </c>
    </row>
    <row r="318" spans="1:27" s="63" customFormat="1" ht="15" customHeight="1" x14ac:dyDescent="0.25">
      <c r="A318" s="59" t="s">
        <v>819</v>
      </c>
      <c r="B318" s="60" t="s">
        <v>820</v>
      </c>
      <c r="C318" s="60" t="s">
        <v>780</v>
      </c>
      <c r="D318" s="61" t="s">
        <v>98</v>
      </c>
      <c r="E318" s="61" t="s">
        <v>91</v>
      </c>
      <c r="F318" s="61" t="s">
        <v>75</v>
      </c>
      <c r="G318" s="61" t="s">
        <v>76</v>
      </c>
      <c r="H318" s="61" t="s">
        <v>84</v>
      </c>
      <c r="I318" s="61" t="s">
        <v>78</v>
      </c>
      <c r="J318" s="62">
        <v>45069</v>
      </c>
      <c r="K318" s="62">
        <v>45089</v>
      </c>
      <c r="L318" s="62">
        <v>45091</v>
      </c>
      <c r="M318" s="62">
        <v>45073</v>
      </c>
      <c r="N318" s="62">
        <v>45097</v>
      </c>
      <c r="O318" s="61" t="s">
        <v>157</v>
      </c>
      <c r="P318" s="62" t="s">
        <v>156</v>
      </c>
      <c r="Q318" s="62"/>
      <c r="R318" s="62"/>
      <c r="S318" s="61"/>
      <c r="T318" s="61"/>
      <c r="U318" s="62"/>
      <c r="V318" s="62"/>
      <c r="W318" s="61"/>
      <c r="X318" s="61"/>
      <c r="Y318" s="61"/>
      <c r="Z318" s="61"/>
      <c r="AA318" s="61" t="str">
        <f t="shared" si="4"/>
        <v/>
      </c>
    </row>
    <row r="319" spans="1:27" ht="15" customHeight="1" x14ac:dyDescent="0.25">
      <c r="A319" s="31" t="s">
        <v>821</v>
      </c>
      <c r="B319" s="29" t="s">
        <v>146</v>
      </c>
      <c r="C319" s="29" t="s">
        <v>822</v>
      </c>
      <c r="D319" s="28" t="s">
        <v>823</v>
      </c>
      <c r="E319" s="28" t="s">
        <v>81</v>
      </c>
      <c r="F319" s="28" t="s">
        <v>75</v>
      </c>
      <c r="G319" s="54" t="s">
        <v>102</v>
      </c>
      <c r="H319" s="28" t="s">
        <v>77</v>
      </c>
      <c r="I319" s="28" t="s">
        <v>78</v>
      </c>
      <c r="J319" s="30">
        <v>45084</v>
      </c>
      <c r="K319" s="30">
        <v>45103</v>
      </c>
      <c r="L319" s="30">
        <v>45105</v>
      </c>
      <c r="M319" s="30">
        <v>45098</v>
      </c>
      <c r="N319" s="30">
        <v>45105</v>
      </c>
      <c r="O319" s="28" t="s">
        <v>157</v>
      </c>
      <c r="P319" s="30" t="s">
        <v>157</v>
      </c>
      <c r="S319" s="37"/>
      <c r="T319" s="37"/>
      <c r="W319" s="37"/>
      <c r="X319" s="37"/>
      <c r="AA319" s="28" t="str">
        <f t="shared" si="4"/>
        <v/>
      </c>
    </row>
    <row r="320" spans="1:27" ht="15" customHeight="1" x14ac:dyDescent="0.25">
      <c r="A320" s="31" t="s">
        <v>824</v>
      </c>
      <c r="B320" s="29" t="s">
        <v>147</v>
      </c>
      <c r="C320" s="29" t="s">
        <v>825</v>
      </c>
      <c r="D320" s="28" t="s">
        <v>826</v>
      </c>
      <c r="E320" s="28" t="s">
        <v>81</v>
      </c>
      <c r="F320" s="28" t="s">
        <v>75</v>
      </c>
      <c r="G320" s="28" t="s">
        <v>102</v>
      </c>
      <c r="H320" s="28" t="s">
        <v>93</v>
      </c>
      <c r="I320" s="28" t="s">
        <v>129</v>
      </c>
      <c r="J320" s="30">
        <v>45086</v>
      </c>
      <c r="K320" s="30">
        <v>45092</v>
      </c>
      <c r="L320" s="30">
        <v>45096</v>
      </c>
      <c r="M320" s="30">
        <v>45091</v>
      </c>
      <c r="N320" s="30">
        <v>45096</v>
      </c>
      <c r="O320" s="28" t="s">
        <v>157</v>
      </c>
      <c r="P320" s="30" t="s">
        <v>157</v>
      </c>
      <c r="AA320" s="28" t="str">
        <f t="shared" si="4"/>
        <v/>
      </c>
    </row>
    <row r="321" spans="1:27" ht="15" customHeight="1" x14ac:dyDescent="0.25">
      <c r="A321" s="31" t="s">
        <v>827</v>
      </c>
      <c r="B321" s="29" t="s">
        <v>147</v>
      </c>
      <c r="C321" s="29" t="s">
        <v>828</v>
      </c>
      <c r="D321" s="28" t="s">
        <v>826</v>
      </c>
      <c r="E321" s="28" t="s">
        <v>81</v>
      </c>
      <c r="F321" s="28" t="s">
        <v>75</v>
      </c>
      <c r="G321" s="54" t="s">
        <v>102</v>
      </c>
      <c r="H321" s="28" t="s">
        <v>93</v>
      </c>
      <c r="I321" s="28" t="s">
        <v>129</v>
      </c>
      <c r="J321" s="30">
        <v>45086</v>
      </c>
      <c r="K321" s="30">
        <v>45092</v>
      </c>
      <c r="L321" s="30">
        <v>45096</v>
      </c>
      <c r="M321" s="30">
        <v>45091</v>
      </c>
      <c r="N321" s="30">
        <v>45096</v>
      </c>
      <c r="O321" s="28" t="s">
        <v>157</v>
      </c>
      <c r="P321" s="30" t="s">
        <v>157</v>
      </c>
      <c r="S321" s="37"/>
      <c r="T321" s="37"/>
      <c r="W321" s="37"/>
      <c r="X321" s="37"/>
      <c r="AA321" s="28" t="str">
        <f t="shared" si="4"/>
        <v/>
      </c>
    </row>
    <row r="322" spans="1:27" ht="15" customHeight="1" x14ac:dyDescent="0.25">
      <c r="A322" s="31" t="s">
        <v>829</v>
      </c>
      <c r="B322" s="29" t="s">
        <v>148</v>
      </c>
      <c r="C322" s="29" t="s">
        <v>830</v>
      </c>
      <c r="D322" s="28" t="s">
        <v>673</v>
      </c>
      <c r="E322" s="28" t="s">
        <v>102</v>
      </c>
      <c r="F322" s="28" t="s">
        <v>75</v>
      </c>
      <c r="G322" s="28" t="s">
        <v>102</v>
      </c>
      <c r="H322" s="28" t="s">
        <v>92</v>
      </c>
      <c r="I322" s="28" t="s">
        <v>78</v>
      </c>
      <c r="J322" s="30">
        <v>45070</v>
      </c>
      <c r="K322" s="30">
        <v>45098</v>
      </c>
      <c r="L322" s="30">
        <v>45100</v>
      </c>
      <c r="M322" s="30">
        <v>45084</v>
      </c>
      <c r="N322" s="30">
        <v>45097</v>
      </c>
      <c r="O322" s="28" t="s">
        <v>157</v>
      </c>
      <c r="P322" s="30" t="s">
        <v>157</v>
      </c>
      <c r="AA322" s="28" t="str">
        <f t="shared" si="4"/>
        <v/>
      </c>
    </row>
    <row r="323" spans="1:27" ht="15" customHeight="1" x14ac:dyDescent="0.25">
      <c r="A323" s="31" t="s">
        <v>831</v>
      </c>
      <c r="B323" s="29" t="s">
        <v>148</v>
      </c>
      <c r="C323" s="29" t="s">
        <v>111</v>
      </c>
      <c r="D323" s="28" t="s">
        <v>832</v>
      </c>
      <c r="E323" s="28" t="s">
        <v>102</v>
      </c>
      <c r="F323" s="28" t="s">
        <v>75</v>
      </c>
      <c r="G323" s="54" t="s">
        <v>102</v>
      </c>
      <c r="H323" s="28" t="s">
        <v>92</v>
      </c>
      <c r="I323" s="28" t="s">
        <v>78</v>
      </c>
      <c r="J323" s="30">
        <v>45070</v>
      </c>
      <c r="K323" s="30">
        <v>45098</v>
      </c>
      <c r="L323" s="30">
        <v>45100</v>
      </c>
      <c r="M323" s="30">
        <v>45083</v>
      </c>
      <c r="N323" s="30">
        <v>45097</v>
      </c>
      <c r="O323" s="28" t="s">
        <v>157</v>
      </c>
      <c r="P323" s="30" t="s">
        <v>157</v>
      </c>
      <c r="S323" s="37"/>
      <c r="T323" s="37"/>
      <c r="W323" s="37"/>
      <c r="X323" s="37"/>
      <c r="AA323" s="28" t="str">
        <f t="shared" si="4"/>
        <v/>
      </c>
    </row>
    <row r="324" spans="1:27" ht="15" customHeight="1" x14ac:dyDescent="0.25">
      <c r="A324" s="31" t="s">
        <v>833</v>
      </c>
      <c r="B324" s="29" t="s">
        <v>834</v>
      </c>
      <c r="C324" s="29" t="s">
        <v>835</v>
      </c>
      <c r="D324" s="28" t="s">
        <v>144</v>
      </c>
      <c r="E324" s="28" t="s">
        <v>81</v>
      </c>
      <c r="F324" s="28" t="s">
        <v>75</v>
      </c>
      <c r="G324" s="28" t="s">
        <v>102</v>
      </c>
      <c r="H324" s="28" t="s">
        <v>84</v>
      </c>
      <c r="I324" s="28" t="s">
        <v>129</v>
      </c>
      <c r="J324" s="30">
        <v>45071</v>
      </c>
      <c r="K324" s="30">
        <v>45096</v>
      </c>
      <c r="L324" s="30">
        <v>45098</v>
      </c>
      <c r="M324" s="30">
        <v>45083</v>
      </c>
      <c r="N324" s="30">
        <v>45099</v>
      </c>
      <c r="O324" s="28" t="s">
        <v>157</v>
      </c>
      <c r="P324" s="30" t="s">
        <v>157</v>
      </c>
      <c r="AA324" s="28" t="str">
        <f t="shared" si="4"/>
        <v/>
      </c>
    </row>
    <row r="325" spans="1:27" ht="15" customHeight="1" x14ac:dyDescent="0.25">
      <c r="A325" s="31" t="s">
        <v>836</v>
      </c>
      <c r="B325" s="29" t="s">
        <v>837</v>
      </c>
      <c r="C325" s="29" t="s">
        <v>838</v>
      </c>
      <c r="D325" s="28" t="s">
        <v>127</v>
      </c>
      <c r="E325" s="28" t="s">
        <v>96</v>
      </c>
      <c r="F325" s="28" t="s">
        <v>75</v>
      </c>
      <c r="G325" s="54" t="s">
        <v>102</v>
      </c>
      <c r="H325" s="28" t="s">
        <v>92</v>
      </c>
      <c r="I325" s="28" t="s">
        <v>82</v>
      </c>
      <c r="J325" s="30">
        <v>45079</v>
      </c>
      <c r="K325" s="30">
        <v>45093</v>
      </c>
      <c r="L325" s="30">
        <v>45097</v>
      </c>
      <c r="M325" s="30">
        <v>45097</v>
      </c>
      <c r="N325" s="30">
        <v>45099</v>
      </c>
      <c r="O325" s="28" t="s">
        <v>156</v>
      </c>
      <c r="P325" s="30" t="s">
        <v>157</v>
      </c>
      <c r="S325" s="37"/>
      <c r="T325" s="37"/>
      <c r="W325" s="37"/>
      <c r="X325" s="37"/>
      <c r="AA325" s="28" t="str">
        <f t="shared" si="4"/>
        <v/>
      </c>
    </row>
    <row r="326" spans="1:27" ht="15" customHeight="1" x14ac:dyDescent="0.25">
      <c r="A326" s="31" t="s">
        <v>836</v>
      </c>
      <c r="B326" s="29" t="s">
        <v>837</v>
      </c>
      <c r="C326" s="29" t="s">
        <v>838</v>
      </c>
      <c r="D326" s="28" t="s">
        <v>127</v>
      </c>
      <c r="E326" s="28" t="s">
        <v>96</v>
      </c>
      <c r="F326" s="28" t="s">
        <v>75</v>
      </c>
      <c r="G326" s="28" t="s">
        <v>102</v>
      </c>
      <c r="H326" s="28" t="s">
        <v>92</v>
      </c>
      <c r="I326" s="28" t="s">
        <v>94</v>
      </c>
      <c r="J326" s="30">
        <v>45079</v>
      </c>
      <c r="K326" s="30">
        <v>45093</v>
      </c>
      <c r="L326" s="30">
        <v>45097</v>
      </c>
      <c r="M326" s="30">
        <v>45097</v>
      </c>
      <c r="N326" s="30">
        <v>45099</v>
      </c>
      <c r="O326" s="28" t="s">
        <v>156</v>
      </c>
      <c r="P326" s="30" t="s">
        <v>157</v>
      </c>
      <c r="AA326" s="28" t="str">
        <f t="shared" si="4"/>
        <v/>
      </c>
    </row>
    <row r="327" spans="1:27" s="63" customFormat="1" ht="15" customHeight="1" x14ac:dyDescent="0.25">
      <c r="A327" s="59" t="s">
        <v>839</v>
      </c>
      <c r="B327" s="60" t="s">
        <v>840</v>
      </c>
      <c r="C327" s="60" t="s">
        <v>841</v>
      </c>
      <c r="D327" s="61" t="s">
        <v>842</v>
      </c>
      <c r="E327" s="61" t="s">
        <v>91</v>
      </c>
      <c r="F327" s="61" t="s">
        <v>75</v>
      </c>
      <c r="G327" s="64" t="s">
        <v>102</v>
      </c>
      <c r="H327" s="61" t="s">
        <v>77</v>
      </c>
      <c r="I327" s="61" t="s">
        <v>103</v>
      </c>
      <c r="J327" s="62">
        <v>45082</v>
      </c>
      <c r="K327" s="62">
        <v>45097</v>
      </c>
      <c r="L327" s="62">
        <v>45099</v>
      </c>
      <c r="M327" s="62">
        <v>45096</v>
      </c>
      <c r="N327" s="62">
        <v>45103</v>
      </c>
      <c r="O327" s="61" t="s">
        <v>157</v>
      </c>
      <c r="P327" s="62" t="s">
        <v>156</v>
      </c>
      <c r="Q327" s="62"/>
      <c r="R327" s="62"/>
      <c r="S327" s="65"/>
      <c r="T327" s="65"/>
      <c r="U327" s="62"/>
      <c r="V327" s="62"/>
      <c r="W327" s="65"/>
      <c r="X327" s="65"/>
      <c r="Y327" s="61"/>
      <c r="Z327" s="61"/>
      <c r="AA327" s="61" t="str">
        <f t="shared" si="4"/>
        <v/>
      </c>
    </row>
    <row r="328" spans="1:27" s="63" customFormat="1" ht="15" customHeight="1" x14ac:dyDescent="0.25">
      <c r="A328" s="59" t="s">
        <v>843</v>
      </c>
      <c r="B328" s="60" t="s">
        <v>844</v>
      </c>
      <c r="C328" s="60" t="s">
        <v>845</v>
      </c>
      <c r="D328" s="61" t="s">
        <v>846</v>
      </c>
      <c r="E328" s="61" t="s">
        <v>81</v>
      </c>
      <c r="F328" s="61" t="s">
        <v>75</v>
      </c>
      <c r="G328" s="61" t="s">
        <v>102</v>
      </c>
      <c r="H328" s="61" t="s">
        <v>92</v>
      </c>
      <c r="I328" s="61" t="s">
        <v>94</v>
      </c>
      <c r="J328" s="62">
        <v>45077</v>
      </c>
      <c r="K328" s="62">
        <v>45098</v>
      </c>
      <c r="L328" s="62">
        <v>45100</v>
      </c>
      <c r="M328" s="62">
        <v>45103</v>
      </c>
      <c r="N328" s="62">
        <v>45105</v>
      </c>
      <c r="O328" s="61" t="s">
        <v>156</v>
      </c>
      <c r="P328" s="62" t="s">
        <v>156</v>
      </c>
      <c r="Q328" s="62"/>
      <c r="R328" s="62"/>
      <c r="S328" s="61"/>
      <c r="T328" s="61"/>
      <c r="U328" s="62"/>
      <c r="V328" s="62"/>
      <c r="W328" s="61"/>
      <c r="X328" s="61"/>
      <c r="Y328" s="61"/>
      <c r="Z328" s="61"/>
      <c r="AA328" s="61" t="str">
        <f t="shared" ref="AA328:AA391" si="5">IFERROR(
IF(AND(X328="Não",Y328="Sim"),"REP",
IF(AND(X328="Sim",Y328="Não"),"Técnico",
IF(AND(X328="Sim",Y328="Sim"),"Ambos",""))),
"")</f>
        <v/>
      </c>
    </row>
    <row r="329" spans="1:27" ht="15" customHeight="1" x14ac:dyDescent="0.25">
      <c r="A329" s="31" t="s">
        <v>847</v>
      </c>
      <c r="B329" s="29" t="s">
        <v>848</v>
      </c>
      <c r="C329" s="29" t="s">
        <v>849</v>
      </c>
      <c r="D329" s="28" t="s">
        <v>850</v>
      </c>
      <c r="E329" s="28" t="s">
        <v>96</v>
      </c>
      <c r="F329" s="28" t="s">
        <v>75</v>
      </c>
      <c r="G329" s="54" t="s">
        <v>102</v>
      </c>
      <c r="H329" s="28" t="s">
        <v>84</v>
      </c>
      <c r="I329" s="28" t="s">
        <v>82</v>
      </c>
      <c r="J329" s="30">
        <v>45076</v>
      </c>
      <c r="K329" s="30">
        <v>45096</v>
      </c>
      <c r="L329" s="30">
        <v>45098</v>
      </c>
      <c r="M329" s="30">
        <v>45083</v>
      </c>
      <c r="N329" s="30">
        <v>45100</v>
      </c>
      <c r="O329" s="28" t="s">
        <v>157</v>
      </c>
      <c r="P329" s="30" t="s">
        <v>157</v>
      </c>
      <c r="S329" s="37"/>
      <c r="T329" s="37"/>
      <c r="W329" s="37"/>
      <c r="X329" s="37"/>
      <c r="AA329" s="28" t="str">
        <f t="shared" si="5"/>
        <v/>
      </c>
    </row>
    <row r="330" spans="1:27" ht="15" customHeight="1" x14ac:dyDescent="0.25">
      <c r="A330" s="31" t="s">
        <v>851</v>
      </c>
      <c r="B330" s="29" t="s">
        <v>852</v>
      </c>
      <c r="C330" s="29" t="s">
        <v>853</v>
      </c>
      <c r="D330" s="28" t="s">
        <v>131</v>
      </c>
      <c r="E330" s="28" t="s">
        <v>81</v>
      </c>
      <c r="F330" s="28" t="s">
        <v>75</v>
      </c>
      <c r="G330" s="28" t="s">
        <v>102</v>
      </c>
      <c r="H330" s="28" t="s">
        <v>92</v>
      </c>
      <c r="I330" s="28" t="s">
        <v>129</v>
      </c>
      <c r="J330" s="30">
        <v>45078</v>
      </c>
      <c r="K330" s="30">
        <v>45103</v>
      </c>
      <c r="L330" s="30">
        <v>45105</v>
      </c>
      <c r="M330" s="30">
        <v>45085</v>
      </c>
      <c r="N330" s="30">
        <v>45096</v>
      </c>
      <c r="O330" s="28" t="s">
        <v>157</v>
      </c>
      <c r="P330" s="30" t="s">
        <v>157</v>
      </c>
      <c r="AA330" s="28" t="str">
        <f t="shared" si="5"/>
        <v/>
      </c>
    </row>
    <row r="331" spans="1:27" ht="15" customHeight="1" x14ac:dyDescent="0.25">
      <c r="A331" s="31" t="s">
        <v>851</v>
      </c>
      <c r="B331" s="29" t="s">
        <v>852</v>
      </c>
      <c r="C331" s="29" t="s">
        <v>853</v>
      </c>
      <c r="D331" s="28" t="s">
        <v>131</v>
      </c>
      <c r="E331" s="28" t="s">
        <v>81</v>
      </c>
      <c r="F331" s="28" t="s">
        <v>75</v>
      </c>
      <c r="G331" s="54" t="s">
        <v>102</v>
      </c>
      <c r="H331" s="28" t="s">
        <v>92</v>
      </c>
      <c r="I331" s="28" t="s">
        <v>129</v>
      </c>
      <c r="J331" s="30">
        <v>45078</v>
      </c>
      <c r="K331" s="30">
        <v>45103</v>
      </c>
      <c r="L331" s="30">
        <v>45105</v>
      </c>
      <c r="M331" s="30">
        <v>45085</v>
      </c>
      <c r="N331" s="30">
        <v>45096</v>
      </c>
      <c r="O331" s="28" t="s">
        <v>157</v>
      </c>
      <c r="P331" s="30" t="s">
        <v>157</v>
      </c>
      <c r="S331" s="37"/>
      <c r="T331" s="37"/>
      <c r="W331" s="37"/>
      <c r="X331" s="37"/>
      <c r="AA331" s="28" t="str">
        <f t="shared" si="5"/>
        <v/>
      </c>
    </row>
    <row r="332" spans="1:27" ht="15" customHeight="1" x14ac:dyDescent="0.25">
      <c r="A332" s="31" t="s">
        <v>854</v>
      </c>
      <c r="B332" s="29" t="s">
        <v>852</v>
      </c>
      <c r="C332" s="29" t="s">
        <v>855</v>
      </c>
      <c r="D332" s="28" t="s">
        <v>131</v>
      </c>
      <c r="E332" s="28" t="s">
        <v>81</v>
      </c>
      <c r="F332" s="28" t="s">
        <v>75</v>
      </c>
      <c r="G332" s="28" t="s">
        <v>102</v>
      </c>
      <c r="H332" s="28" t="s">
        <v>92</v>
      </c>
      <c r="I332" s="28" t="s">
        <v>129</v>
      </c>
      <c r="J332" s="30">
        <v>45078</v>
      </c>
      <c r="K332" s="30">
        <v>45103</v>
      </c>
      <c r="L332" s="30">
        <v>45105</v>
      </c>
      <c r="M332" s="30">
        <v>45096</v>
      </c>
      <c r="N332" s="30">
        <v>45096</v>
      </c>
      <c r="O332" s="28" t="s">
        <v>157</v>
      </c>
      <c r="P332" s="30" t="s">
        <v>157</v>
      </c>
      <c r="AA332" s="28" t="str">
        <f t="shared" si="5"/>
        <v/>
      </c>
    </row>
    <row r="333" spans="1:27" ht="15" customHeight="1" x14ac:dyDescent="0.25">
      <c r="A333" s="31" t="s">
        <v>854</v>
      </c>
      <c r="B333" s="29" t="s">
        <v>852</v>
      </c>
      <c r="C333" s="29" t="s">
        <v>855</v>
      </c>
      <c r="D333" s="28" t="s">
        <v>131</v>
      </c>
      <c r="E333" s="28" t="s">
        <v>81</v>
      </c>
      <c r="F333" s="28" t="s">
        <v>75</v>
      </c>
      <c r="G333" s="54" t="s">
        <v>102</v>
      </c>
      <c r="H333" s="28" t="s">
        <v>92</v>
      </c>
      <c r="I333" s="28" t="s">
        <v>129</v>
      </c>
      <c r="J333" s="30">
        <v>45078</v>
      </c>
      <c r="K333" s="30">
        <v>45103</v>
      </c>
      <c r="L333" s="30">
        <v>45105</v>
      </c>
      <c r="M333" s="30">
        <v>45096</v>
      </c>
      <c r="N333" s="30">
        <v>45096</v>
      </c>
      <c r="O333" s="28" t="s">
        <v>157</v>
      </c>
      <c r="P333" s="30" t="s">
        <v>157</v>
      </c>
      <c r="S333" s="37"/>
      <c r="T333" s="37"/>
      <c r="W333" s="37"/>
      <c r="X333" s="37"/>
      <c r="AA333" s="28" t="str">
        <f t="shared" si="5"/>
        <v/>
      </c>
    </row>
    <row r="334" spans="1:27" ht="15" customHeight="1" x14ac:dyDescent="0.25">
      <c r="A334" s="31" t="s">
        <v>856</v>
      </c>
      <c r="B334" s="29" t="s">
        <v>852</v>
      </c>
      <c r="C334" s="29" t="s">
        <v>857</v>
      </c>
      <c r="D334" s="28" t="s">
        <v>131</v>
      </c>
      <c r="E334" s="28" t="s">
        <v>81</v>
      </c>
      <c r="F334" s="28" t="s">
        <v>75</v>
      </c>
      <c r="G334" s="28" t="s">
        <v>102</v>
      </c>
      <c r="H334" s="28" t="s">
        <v>92</v>
      </c>
      <c r="I334" s="28" t="s">
        <v>129</v>
      </c>
      <c r="J334" s="30">
        <v>45078</v>
      </c>
      <c r="K334" s="30">
        <v>45103</v>
      </c>
      <c r="L334" s="30">
        <v>45105</v>
      </c>
      <c r="M334" s="30">
        <v>45096</v>
      </c>
      <c r="N334" s="30">
        <v>45096</v>
      </c>
      <c r="O334" s="28" t="s">
        <v>157</v>
      </c>
      <c r="P334" s="30" t="s">
        <v>157</v>
      </c>
      <c r="AA334" s="28" t="str">
        <f t="shared" si="5"/>
        <v/>
      </c>
    </row>
    <row r="335" spans="1:27" ht="15" customHeight="1" x14ac:dyDescent="0.25">
      <c r="A335" s="31" t="s">
        <v>856</v>
      </c>
      <c r="B335" s="29" t="s">
        <v>852</v>
      </c>
      <c r="C335" s="29" t="s">
        <v>857</v>
      </c>
      <c r="D335" s="28" t="s">
        <v>131</v>
      </c>
      <c r="E335" s="28" t="s">
        <v>81</v>
      </c>
      <c r="F335" s="28" t="s">
        <v>75</v>
      </c>
      <c r="G335" s="54" t="s">
        <v>102</v>
      </c>
      <c r="H335" s="28" t="s">
        <v>92</v>
      </c>
      <c r="I335" s="28" t="s">
        <v>129</v>
      </c>
      <c r="J335" s="30">
        <v>45078</v>
      </c>
      <c r="K335" s="30">
        <v>45103</v>
      </c>
      <c r="L335" s="30">
        <v>45105</v>
      </c>
      <c r="M335" s="30">
        <v>45085</v>
      </c>
      <c r="N335" s="30">
        <v>45096</v>
      </c>
      <c r="O335" s="28" t="s">
        <v>157</v>
      </c>
      <c r="P335" s="30" t="s">
        <v>157</v>
      </c>
      <c r="S335" s="37"/>
      <c r="T335" s="37"/>
      <c r="W335" s="37"/>
      <c r="X335" s="37"/>
      <c r="AA335" s="28" t="str">
        <f t="shared" si="5"/>
        <v/>
      </c>
    </row>
    <row r="336" spans="1:27" ht="15" customHeight="1" x14ac:dyDescent="0.25">
      <c r="A336" s="31" t="s">
        <v>858</v>
      </c>
      <c r="B336" s="29" t="s">
        <v>859</v>
      </c>
      <c r="C336" s="29" t="s">
        <v>860</v>
      </c>
      <c r="D336" s="28" t="s">
        <v>861</v>
      </c>
      <c r="E336" s="28" t="s">
        <v>81</v>
      </c>
      <c r="F336" s="28" t="s">
        <v>75</v>
      </c>
      <c r="G336" s="28" t="s">
        <v>102</v>
      </c>
      <c r="H336" s="28" t="s">
        <v>93</v>
      </c>
      <c r="I336" s="28" t="s">
        <v>78</v>
      </c>
      <c r="J336" s="30">
        <v>45084</v>
      </c>
      <c r="K336" s="30">
        <v>45098</v>
      </c>
      <c r="L336" s="30">
        <v>45100</v>
      </c>
      <c r="M336" s="30">
        <v>45099</v>
      </c>
      <c r="N336" s="30">
        <v>45100</v>
      </c>
      <c r="O336" s="28" t="s">
        <v>156</v>
      </c>
      <c r="P336" s="30" t="s">
        <v>157</v>
      </c>
      <c r="AA336" s="28" t="str">
        <f t="shared" si="5"/>
        <v/>
      </c>
    </row>
    <row r="337" spans="1:27" ht="15" customHeight="1" x14ac:dyDescent="0.25">
      <c r="A337" s="31" t="s">
        <v>862</v>
      </c>
      <c r="B337" s="29" t="s">
        <v>863</v>
      </c>
      <c r="C337" s="29" t="s">
        <v>864</v>
      </c>
      <c r="D337" s="28" t="s">
        <v>865</v>
      </c>
      <c r="E337" s="28" t="s">
        <v>81</v>
      </c>
      <c r="F337" s="28" t="s">
        <v>75</v>
      </c>
      <c r="G337" s="54" t="s">
        <v>102</v>
      </c>
      <c r="H337" s="28" t="s">
        <v>93</v>
      </c>
      <c r="I337" s="28" t="s">
        <v>129</v>
      </c>
      <c r="J337" s="30">
        <v>45075</v>
      </c>
      <c r="K337" s="30">
        <v>45103</v>
      </c>
      <c r="L337" s="30">
        <v>45105</v>
      </c>
      <c r="M337" s="30">
        <v>45084</v>
      </c>
      <c r="N337" s="30">
        <v>45096</v>
      </c>
      <c r="O337" s="28" t="s">
        <v>157</v>
      </c>
      <c r="P337" s="30" t="s">
        <v>157</v>
      </c>
      <c r="S337" s="37"/>
      <c r="T337" s="37"/>
      <c r="W337" s="37"/>
      <c r="X337" s="37"/>
      <c r="AA337" s="28" t="str">
        <f t="shared" si="5"/>
        <v/>
      </c>
    </row>
    <row r="338" spans="1:27" ht="15" customHeight="1" x14ac:dyDescent="0.25">
      <c r="A338" s="31" t="s">
        <v>866</v>
      </c>
      <c r="B338" s="29" t="s">
        <v>867</v>
      </c>
      <c r="C338" s="29" t="s">
        <v>868</v>
      </c>
      <c r="D338" s="28" t="s">
        <v>869</v>
      </c>
      <c r="E338" s="28" t="s">
        <v>96</v>
      </c>
      <c r="F338" s="28" t="s">
        <v>75</v>
      </c>
      <c r="G338" s="28" t="s">
        <v>96</v>
      </c>
      <c r="H338" s="28" t="s">
        <v>92</v>
      </c>
      <c r="I338" s="28" t="s">
        <v>78</v>
      </c>
      <c r="J338" s="30">
        <v>45078</v>
      </c>
      <c r="K338" s="30">
        <v>45096</v>
      </c>
      <c r="L338" s="30">
        <v>45098</v>
      </c>
      <c r="M338" s="30">
        <v>45098</v>
      </c>
      <c r="N338" s="30">
        <v>45098</v>
      </c>
      <c r="O338" s="28" t="s">
        <v>156</v>
      </c>
      <c r="P338" s="30" t="s">
        <v>157</v>
      </c>
      <c r="AA338" s="28" t="str">
        <f t="shared" si="5"/>
        <v/>
      </c>
    </row>
    <row r="339" spans="1:27" ht="15" customHeight="1" x14ac:dyDescent="0.25">
      <c r="A339" s="31" t="s">
        <v>870</v>
      </c>
      <c r="B339" s="29" t="s">
        <v>867</v>
      </c>
      <c r="C339" s="29" t="s">
        <v>871</v>
      </c>
      <c r="D339" s="28" t="s">
        <v>869</v>
      </c>
      <c r="E339" s="28" t="s">
        <v>96</v>
      </c>
      <c r="F339" s="28" t="s">
        <v>75</v>
      </c>
      <c r="G339" s="54" t="s">
        <v>96</v>
      </c>
      <c r="H339" s="28" t="s">
        <v>92</v>
      </c>
      <c r="I339" s="28" t="s">
        <v>78</v>
      </c>
      <c r="J339" s="30">
        <v>45078</v>
      </c>
      <c r="K339" s="30">
        <v>45096</v>
      </c>
      <c r="L339" s="30">
        <v>45098</v>
      </c>
      <c r="M339" s="30">
        <v>45098</v>
      </c>
      <c r="N339" s="30">
        <v>45098</v>
      </c>
      <c r="O339" s="28" t="s">
        <v>156</v>
      </c>
      <c r="P339" s="30" t="s">
        <v>157</v>
      </c>
      <c r="S339" s="37"/>
      <c r="T339" s="37"/>
      <c r="W339" s="37"/>
      <c r="X339" s="37"/>
      <c r="AA339" s="28" t="str">
        <f t="shared" si="5"/>
        <v/>
      </c>
    </row>
    <row r="340" spans="1:27" ht="15" customHeight="1" x14ac:dyDescent="0.25">
      <c r="A340" s="31" t="s">
        <v>872</v>
      </c>
      <c r="B340" s="29" t="s">
        <v>867</v>
      </c>
      <c r="C340" s="29" t="s">
        <v>873</v>
      </c>
      <c r="D340" s="28" t="s">
        <v>869</v>
      </c>
      <c r="E340" s="28" t="s">
        <v>96</v>
      </c>
      <c r="F340" s="28" t="s">
        <v>75</v>
      </c>
      <c r="G340" s="28" t="s">
        <v>96</v>
      </c>
      <c r="H340" s="28" t="s">
        <v>93</v>
      </c>
      <c r="I340" s="28" t="s">
        <v>78</v>
      </c>
      <c r="J340" s="30">
        <v>45078</v>
      </c>
      <c r="K340" s="30">
        <v>45096</v>
      </c>
      <c r="L340" s="30">
        <v>45098</v>
      </c>
      <c r="M340" s="30">
        <v>45098</v>
      </c>
      <c r="N340" s="30">
        <v>45098</v>
      </c>
      <c r="O340" s="28" t="s">
        <v>156</v>
      </c>
      <c r="P340" s="30" t="s">
        <v>157</v>
      </c>
      <c r="AA340" s="28" t="str">
        <f t="shared" si="5"/>
        <v/>
      </c>
    </row>
    <row r="341" spans="1:27" ht="15" customHeight="1" x14ac:dyDescent="0.25">
      <c r="A341" s="31" t="s">
        <v>874</v>
      </c>
      <c r="B341" s="29" t="s">
        <v>867</v>
      </c>
      <c r="C341" s="29" t="s">
        <v>875</v>
      </c>
      <c r="D341" s="28" t="s">
        <v>869</v>
      </c>
      <c r="E341" s="28" t="s">
        <v>96</v>
      </c>
      <c r="F341" s="28" t="s">
        <v>75</v>
      </c>
      <c r="G341" s="54" t="s">
        <v>96</v>
      </c>
      <c r="H341" s="28" t="s">
        <v>92</v>
      </c>
      <c r="I341" s="28" t="s">
        <v>78</v>
      </c>
      <c r="J341" s="30">
        <v>45078</v>
      </c>
      <c r="K341" s="30">
        <v>45096</v>
      </c>
      <c r="L341" s="30">
        <v>45098</v>
      </c>
      <c r="M341" s="30">
        <v>45099</v>
      </c>
      <c r="N341" s="30">
        <v>45099</v>
      </c>
      <c r="O341" s="28" t="s">
        <v>156</v>
      </c>
      <c r="P341" s="30" t="s">
        <v>157</v>
      </c>
      <c r="S341" s="37"/>
      <c r="T341" s="37"/>
      <c r="W341" s="37"/>
      <c r="X341" s="37"/>
      <c r="AA341" s="28" t="str">
        <f t="shared" si="5"/>
        <v/>
      </c>
    </row>
    <row r="342" spans="1:27" ht="15" customHeight="1" x14ac:dyDescent="0.25">
      <c r="A342" s="31" t="s">
        <v>876</v>
      </c>
      <c r="B342" s="29" t="s">
        <v>867</v>
      </c>
      <c r="C342" s="29" t="s">
        <v>877</v>
      </c>
      <c r="D342" s="28" t="s">
        <v>869</v>
      </c>
      <c r="E342" s="28" t="s">
        <v>96</v>
      </c>
      <c r="F342" s="28" t="s">
        <v>75</v>
      </c>
      <c r="G342" s="28" t="s">
        <v>96</v>
      </c>
      <c r="H342" s="28" t="s">
        <v>92</v>
      </c>
      <c r="I342" s="28" t="s">
        <v>78</v>
      </c>
      <c r="J342" s="30">
        <v>45078</v>
      </c>
      <c r="K342" s="30">
        <v>45096</v>
      </c>
      <c r="L342" s="30">
        <v>45098</v>
      </c>
      <c r="M342" s="30">
        <v>45099</v>
      </c>
      <c r="N342" s="30">
        <v>45099</v>
      </c>
      <c r="O342" s="28" t="s">
        <v>156</v>
      </c>
      <c r="P342" s="30" t="s">
        <v>157</v>
      </c>
      <c r="AA342" s="28" t="str">
        <f t="shared" si="5"/>
        <v/>
      </c>
    </row>
    <row r="343" spans="1:27" ht="15" customHeight="1" x14ac:dyDescent="0.25">
      <c r="A343" s="31" t="s">
        <v>878</v>
      </c>
      <c r="B343" s="29" t="s">
        <v>867</v>
      </c>
      <c r="C343" s="29" t="s">
        <v>879</v>
      </c>
      <c r="D343" s="28" t="s">
        <v>869</v>
      </c>
      <c r="E343" s="28" t="s">
        <v>96</v>
      </c>
      <c r="F343" s="28" t="s">
        <v>75</v>
      </c>
      <c r="G343" s="54" t="s">
        <v>96</v>
      </c>
      <c r="H343" s="28" t="s">
        <v>93</v>
      </c>
      <c r="I343" s="28" t="s">
        <v>78</v>
      </c>
      <c r="J343" s="30">
        <v>45078</v>
      </c>
      <c r="K343" s="30">
        <v>45096</v>
      </c>
      <c r="L343" s="30">
        <v>45098</v>
      </c>
      <c r="M343" s="30">
        <v>45099</v>
      </c>
      <c r="N343" s="30">
        <v>45099</v>
      </c>
      <c r="O343" s="28" t="s">
        <v>156</v>
      </c>
      <c r="P343" s="30" t="s">
        <v>157</v>
      </c>
      <c r="S343" s="37"/>
      <c r="T343" s="37"/>
      <c r="W343" s="37"/>
      <c r="X343" s="37"/>
      <c r="AA343" s="28" t="str">
        <f t="shared" si="5"/>
        <v/>
      </c>
    </row>
    <row r="344" spans="1:27" ht="15" customHeight="1" x14ac:dyDescent="0.25">
      <c r="A344" s="31" t="s">
        <v>880</v>
      </c>
      <c r="B344" s="29" t="s">
        <v>867</v>
      </c>
      <c r="C344" s="29" t="s">
        <v>881</v>
      </c>
      <c r="D344" s="28" t="s">
        <v>869</v>
      </c>
      <c r="E344" s="28" t="s">
        <v>96</v>
      </c>
      <c r="F344" s="28" t="s">
        <v>75</v>
      </c>
      <c r="G344" s="28" t="s">
        <v>96</v>
      </c>
      <c r="H344" s="28" t="s">
        <v>93</v>
      </c>
      <c r="I344" s="28" t="s">
        <v>78</v>
      </c>
      <c r="J344" s="30">
        <v>45078</v>
      </c>
      <c r="K344" s="30">
        <v>45096</v>
      </c>
      <c r="L344" s="30">
        <v>45098</v>
      </c>
      <c r="M344" s="30">
        <v>45099</v>
      </c>
      <c r="N344" s="30">
        <v>45099</v>
      </c>
      <c r="O344" s="28" t="s">
        <v>156</v>
      </c>
      <c r="P344" s="30" t="s">
        <v>157</v>
      </c>
      <c r="AA344" s="28" t="str">
        <f t="shared" si="5"/>
        <v/>
      </c>
    </row>
    <row r="345" spans="1:27" ht="15" customHeight="1" x14ac:dyDescent="0.25">
      <c r="A345" s="31" t="s">
        <v>882</v>
      </c>
      <c r="B345" s="29" t="s">
        <v>883</v>
      </c>
      <c r="C345" s="29" t="s">
        <v>868</v>
      </c>
      <c r="D345" s="28" t="s">
        <v>869</v>
      </c>
      <c r="E345" s="28" t="s">
        <v>102</v>
      </c>
      <c r="F345" s="28" t="s">
        <v>75</v>
      </c>
      <c r="G345" s="54" t="s">
        <v>96</v>
      </c>
      <c r="H345" s="28" t="s">
        <v>92</v>
      </c>
      <c r="I345" s="28" t="s">
        <v>78</v>
      </c>
      <c r="J345" s="30">
        <v>45078</v>
      </c>
      <c r="K345" s="30">
        <v>45096</v>
      </c>
      <c r="L345" s="30">
        <v>45098</v>
      </c>
      <c r="M345" s="30">
        <v>45085</v>
      </c>
      <c r="N345" s="30">
        <v>45089</v>
      </c>
      <c r="O345" s="28" t="s">
        <v>157</v>
      </c>
      <c r="P345" s="30" t="s">
        <v>157</v>
      </c>
      <c r="S345" s="37"/>
      <c r="T345" s="37"/>
      <c r="W345" s="37"/>
      <c r="X345" s="37"/>
      <c r="AA345" s="28" t="str">
        <f t="shared" si="5"/>
        <v/>
      </c>
    </row>
    <row r="346" spans="1:27" ht="15" customHeight="1" x14ac:dyDescent="0.25">
      <c r="A346" s="31" t="s">
        <v>884</v>
      </c>
      <c r="B346" s="29" t="s">
        <v>883</v>
      </c>
      <c r="C346" s="29" t="s">
        <v>871</v>
      </c>
      <c r="D346" s="28" t="s">
        <v>869</v>
      </c>
      <c r="E346" s="28" t="s">
        <v>102</v>
      </c>
      <c r="F346" s="28" t="s">
        <v>75</v>
      </c>
      <c r="G346" s="28" t="s">
        <v>96</v>
      </c>
      <c r="H346" s="28" t="s">
        <v>92</v>
      </c>
      <c r="I346" s="28" t="s">
        <v>78</v>
      </c>
      <c r="J346" s="30">
        <v>45078</v>
      </c>
      <c r="K346" s="30">
        <v>45096</v>
      </c>
      <c r="L346" s="30">
        <v>45098</v>
      </c>
      <c r="M346" s="30">
        <v>45085</v>
      </c>
      <c r="N346" s="30">
        <v>45089</v>
      </c>
      <c r="O346" s="28" t="s">
        <v>157</v>
      </c>
      <c r="P346" s="30" t="s">
        <v>157</v>
      </c>
      <c r="AA346" s="28" t="str">
        <f t="shared" si="5"/>
        <v/>
      </c>
    </row>
    <row r="347" spans="1:27" ht="15" customHeight="1" x14ac:dyDescent="0.25">
      <c r="A347" s="31" t="s">
        <v>885</v>
      </c>
      <c r="B347" s="29" t="s">
        <v>883</v>
      </c>
      <c r="C347" s="29" t="s">
        <v>873</v>
      </c>
      <c r="D347" s="28" t="s">
        <v>869</v>
      </c>
      <c r="E347" s="28" t="s">
        <v>102</v>
      </c>
      <c r="F347" s="28" t="s">
        <v>75</v>
      </c>
      <c r="G347" s="54" t="s">
        <v>96</v>
      </c>
      <c r="H347" s="28" t="s">
        <v>92</v>
      </c>
      <c r="I347" s="28" t="s">
        <v>78</v>
      </c>
      <c r="J347" s="30">
        <v>45078</v>
      </c>
      <c r="K347" s="30">
        <v>45096</v>
      </c>
      <c r="L347" s="30">
        <v>45098</v>
      </c>
      <c r="M347" s="30">
        <v>45085</v>
      </c>
      <c r="N347" s="30">
        <v>45089</v>
      </c>
      <c r="O347" s="28" t="s">
        <v>157</v>
      </c>
      <c r="P347" s="30" t="s">
        <v>157</v>
      </c>
      <c r="S347" s="37"/>
      <c r="T347" s="37"/>
      <c r="W347" s="37"/>
      <c r="X347" s="37"/>
      <c r="AA347" s="28" t="str">
        <f t="shared" si="5"/>
        <v/>
      </c>
    </row>
    <row r="348" spans="1:27" ht="15" customHeight="1" x14ac:dyDescent="0.25">
      <c r="A348" s="31" t="s">
        <v>886</v>
      </c>
      <c r="B348" s="29" t="s">
        <v>883</v>
      </c>
      <c r="C348" s="29" t="s">
        <v>875</v>
      </c>
      <c r="D348" s="28" t="s">
        <v>869</v>
      </c>
      <c r="E348" s="28" t="s">
        <v>102</v>
      </c>
      <c r="F348" s="28" t="s">
        <v>75</v>
      </c>
      <c r="G348" s="28" t="s">
        <v>96</v>
      </c>
      <c r="H348" s="28" t="s">
        <v>77</v>
      </c>
      <c r="I348" s="28" t="s">
        <v>78</v>
      </c>
      <c r="J348" s="30">
        <v>45078</v>
      </c>
      <c r="K348" s="30">
        <v>45096</v>
      </c>
      <c r="L348" s="30">
        <v>45098</v>
      </c>
      <c r="M348" s="30">
        <v>45085</v>
      </c>
      <c r="N348" s="30">
        <v>45100</v>
      </c>
      <c r="O348" s="28" t="s">
        <v>157</v>
      </c>
      <c r="P348" s="30" t="s">
        <v>157</v>
      </c>
      <c r="AA348" s="28" t="str">
        <f t="shared" si="5"/>
        <v/>
      </c>
    </row>
    <row r="349" spans="1:27" ht="15" customHeight="1" x14ac:dyDescent="0.25">
      <c r="A349" s="31" t="s">
        <v>887</v>
      </c>
      <c r="B349" s="29" t="s">
        <v>883</v>
      </c>
      <c r="C349" s="29" t="s">
        <v>879</v>
      </c>
      <c r="D349" s="28" t="s">
        <v>869</v>
      </c>
      <c r="E349" s="28" t="s">
        <v>102</v>
      </c>
      <c r="F349" s="28" t="s">
        <v>75</v>
      </c>
      <c r="G349" s="54" t="s">
        <v>96</v>
      </c>
      <c r="H349" s="28" t="s">
        <v>92</v>
      </c>
      <c r="I349" s="28" t="s">
        <v>78</v>
      </c>
      <c r="J349" s="30">
        <v>45078</v>
      </c>
      <c r="K349" s="30">
        <v>45096</v>
      </c>
      <c r="L349" s="30">
        <v>45098</v>
      </c>
      <c r="M349" s="30">
        <v>45085</v>
      </c>
      <c r="N349" s="30">
        <v>45089</v>
      </c>
      <c r="O349" s="28" t="s">
        <v>157</v>
      </c>
      <c r="P349" s="30" t="s">
        <v>157</v>
      </c>
      <c r="S349" s="37"/>
      <c r="T349" s="37"/>
      <c r="W349" s="37"/>
      <c r="X349" s="37"/>
      <c r="AA349" s="28" t="str">
        <f t="shared" si="5"/>
        <v/>
      </c>
    </row>
    <row r="350" spans="1:27" ht="15" customHeight="1" x14ac:dyDescent="0.25">
      <c r="A350" s="31" t="s">
        <v>888</v>
      </c>
      <c r="B350" s="29" t="s">
        <v>883</v>
      </c>
      <c r="C350" s="29" t="s">
        <v>877</v>
      </c>
      <c r="D350" s="28" t="s">
        <v>869</v>
      </c>
      <c r="E350" s="28" t="s">
        <v>102</v>
      </c>
      <c r="F350" s="28" t="s">
        <v>75</v>
      </c>
      <c r="G350" s="28" t="s">
        <v>96</v>
      </c>
      <c r="H350" s="28" t="s">
        <v>92</v>
      </c>
      <c r="I350" s="28" t="s">
        <v>78</v>
      </c>
      <c r="J350" s="30">
        <v>45078</v>
      </c>
      <c r="K350" s="30">
        <v>45096</v>
      </c>
      <c r="L350" s="30">
        <v>45098</v>
      </c>
      <c r="M350" s="30">
        <v>45085</v>
      </c>
      <c r="N350" s="30">
        <v>45089</v>
      </c>
      <c r="O350" s="28" t="s">
        <v>157</v>
      </c>
      <c r="P350" s="30" t="s">
        <v>157</v>
      </c>
      <c r="AA350" s="28" t="str">
        <f t="shared" si="5"/>
        <v/>
      </c>
    </row>
    <row r="351" spans="1:27" ht="15" customHeight="1" x14ac:dyDescent="0.25">
      <c r="A351" s="31" t="s">
        <v>889</v>
      </c>
      <c r="B351" s="29" t="s">
        <v>883</v>
      </c>
      <c r="C351" s="29" t="s">
        <v>881</v>
      </c>
      <c r="D351" s="28" t="s">
        <v>890</v>
      </c>
      <c r="E351" s="28" t="s">
        <v>102</v>
      </c>
      <c r="F351" s="28" t="s">
        <v>75</v>
      </c>
      <c r="G351" s="54" t="s">
        <v>96</v>
      </c>
      <c r="H351" s="28" t="s">
        <v>92</v>
      </c>
      <c r="I351" s="28" t="s">
        <v>78</v>
      </c>
      <c r="J351" s="30">
        <v>45078</v>
      </c>
      <c r="K351" s="30">
        <v>45096</v>
      </c>
      <c r="L351" s="30">
        <v>45098</v>
      </c>
      <c r="M351" s="30">
        <v>45085</v>
      </c>
      <c r="N351" s="30">
        <v>45089</v>
      </c>
      <c r="O351" s="28" t="s">
        <v>157</v>
      </c>
      <c r="P351" s="30" t="s">
        <v>157</v>
      </c>
      <c r="S351" s="37"/>
      <c r="T351" s="37"/>
      <c r="W351" s="37"/>
      <c r="X351" s="37"/>
      <c r="AA351" s="28" t="str">
        <f t="shared" si="5"/>
        <v/>
      </c>
    </row>
    <row r="352" spans="1:27" ht="15" customHeight="1" x14ac:dyDescent="0.25">
      <c r="A352" s="31" t="s">
        <v>891</v>
      </c>
      <c r="B352" s="29" t="s">
        <v>119</v>
      </c>
      <c r="C352" s="29" t="s">
        <v>892</v>
      </c>
      <c r="D352" s="28" t="s">
        <v>893</v>
      </c>
      <c r="E352" s="28" t="s">
        <v>96</v>
      </c>
      <c r="F352" s="28" t="s">
        <v>75</v>
      </c>
      <c r="G352" s="28" t="s">
        <v>102</v>
      </c>
      <c r="H352" s="28" t="s">
        <v>92</v>
      </c>
      <c r="I352" s="28" t="s">
        <v>82</v>
      </c>
      <c r="J352" s="30">
        <v>45082</v>
      </c>
      <c r="K352" s="30">
        <v>45096</v>
      </c>
      <c r="L352" s="30">
        <v>45098</v>
      </c>
      <c r="M352" s="30">
        <v>45092</v>
      </c>
      <c r="N352" s="30">
        <v>45100</v>
      </c>
      <c r="O352" s="28" t="s">
        <v>157</v>
      </c>
      <c r="P352" s="30" t="s">
        <v>157</v>
      </c>
      <c r="AA352" s="28" t="str">
        <f t="shared" si="5"/>
        <v/>
      </c>
    </row>
    <row r="353" spans="1:27" ht="15" customHeight="1" x14ac:dyDescent="0.25">
      <c r="A353" s="31" t="s">
        <v>891</v>
      </c>
      <c r="B353" s="29" t="s">
        <v>119</v>
      </c>
      <c r="C353" s="29" t="s">
        <v>892</v>
      </c>
      <c r="D353" s="28" t="s">
        <v>893</v>
      </c>
      <c r="E353" s="28" t="s">
        <v>96</v>
      </c>
      <c r="F353" s="28" t="s">
        <v>75</v>
      </c>
      <c r="G353" s="54" t="s">
        <v>102</v>
      </c>
      <c r="H353" s="28" t="s">
        <v>92</v>
      </c>
      <c r="I353" s="28" t="s">
        <v>94</v>
      </c>
      <c r="J353" s="30">
        <v>45082</v>
      </c>
      <c r="K353" s="30">
        <v>45096</v>
      </c>
      <c r="L353" s="30">
        <v>45098</v>
      </c>
      <c r="M353" s="30">
        <v>45097</v>
      </c>
      <c r="N353" s="30">
        <v>45100</v>
      </c>
      <c r="O353" s="28" t="s">
        <v>156</v>
      </c>
      <c r="P353" s="30" t="s">
        <v>157</v>
      </c>
      <c r="S353" s="37"/>
      <c r="T353" s="37"/>
      <c r="W353" s="37"/>
      <c r="X353" s="37"/>
      <c r="AA353" s="28" t="str">
        <f t="shared" si="5"/>
        <v/>
      </c>
    </row>
    <row r="354" spans="1:27" ht="15" customHeight="1" x14ac:dyDescent="0.25">
      <c r="A354" s="31" t="s">
        <v>894</v>
      </c>
      <c r="B354" s="29" t="s">
        <v>149</v>
      </c>
      <c r="C354" s="29" t="s">
        <v>895</v>
      </c>
      <c r="D354" s="28" t="s">
        <v>896</v>
      </c>
      <c r="E354" s="28" t="s">
        <v>86</v>
      </c>
      <c r="F354" s="28" t="s">
        <v>75</v>
      </c>
      <c r="G354" s="28" t="s">
        <v>102</v>
      </c>
      <c r="H354" s="28" t="s">
        <v>84</v>
      </c>
      <c r="I354" s="28" t="s">
        <v>78</v>
      </c>
      <c r="J354" s="30">
        <v>45078</v>
      </c>
      <c r="K354" s="30">
        <v>45095</v>
      </c>
      <c r="L354" s="30">
        <v>45097</v>
      </c>
      <c r="M354" s="30">
        <v>45082</v>
      </c>
      <c r="N354" s="30">
        <v>45099</v>
      </c>
      <c r="O354" s="28" t="s">
        <v>157</v>
      </c>
      <c r="P354" s="30" t="s">
        <v>157</v>
      </c>
      <c r="AA354" s="28" t="str">
        <f t="shared" si="5"/>
        <v/>
      </c>
    </row>
    <row r="355" spans="1:27" ht="15" customHeight="1" x14ac:dyDescent="0.25">
      <c r="A355" s="31" t="s">
        <v>897</v>
      </c>
      <c r="B355" s="29" t="s">
        <v>898</v>
      </c>
      <c r="C355" s="29" t="s">
        <v>899</v>
      </c>
      <c r="D355" s="28" t="s">
        <v>98</v>
      </c>
      <c r="E355" s="28" t="s">
        <v>91</v>
      </c>
      <c r="F355" s="28" t="s">
        <v>75</v>
      </c>
      <c r="G355" s="54" t="s">
        <v>76</v>
      </c>
      <c r="H355" s="28" t="s">
        <v>77</v>
      </c>
      <c r="I355" s="28" t="s">
        <v>78</v>
      </c>
      <c r="J355" s="30">
        <v>45091</v>
      </c>
      <c r="K355" s="30">
        <v>45099</v>
      </c>
      <c r="L355" s="30">
        <v>45103</v>
      </c>
      <c r="M355" s="30">
        <v>45104</v>
      </c>
      <c r="N355" s="30">
        <v>45105</v>
      </c>
      <c r="O355" s="28" t="s">
        <v>156</v>
      </c>
      <c r="P355" s="30" t="s">
        <v>157</v>
      </c>
      <c r="S355" s="37"/>
      <c r="T355" s="37"/>
      <c r="W355" s="37"/>
      <c r="X355" s="37"/>
      <c r="AA355" s="28" t="str">
        <f t="shared" si="5"/>
        <v/>
      </c>
    </row>
    <row r="356" spans="1:27" ht="15" customHeight="1" x14ac:dyDescent="0.25">
      <c r="A356" s="31" t="s">
        <v>900</v>
      </c>
      <c r="B356" s="29" t="s">
        <v>150</v>
      </c>
      <c r="C356" s="29" t="s">
        <v>901</v>
      </c>
      <c r="D356" s="28" t="s">
        <v>902</v>
      </c>
      <c r="E356" s="28" t="s">
        <v>91</v>
      </c>
      <c r="F356" s="28" t="s">
        <v>75</v>
      </c>
      <c r="G356" s="28" t="s">
        <v>76</v>
      </c>
      <c r="H356" s="28" t="s">
        <v>92</v>
      </c>
      <c r="I356" s="28" t="s">
        <v>82</v>
      </c>
      <c r="J356" s="30">
        <v>45092</v>
      </c>
      <c r="K356" s="30">
        <v>45096</v>
      </c>
      <c r="L356" s="30">
        <v>45098</v>
      </c>
      <c r="M356" s="30">
        <v>45096</v>
      </c>
      <c r="N356" s="30">
        <v>45098</v>
      </c>
      <c r="O356" s="28" t="s">
        <v>157</v>
      </c>
      <c r="P356" s="30" t="s">
        <v>157</v>
      </c>
      <c r="AA356" s="28" t="str">
        <f t="shared" si="5"/>
        <v/>
      </c>
    </row>
    <row r="357" spans="1:27" ht="15" customHeight="1" x14ac:dyDescent="0.25">
      <c r="A357" s="31" t="s">
        <v>903</v>
      </c>
      <c r="B357" s="29" t="s">
        <v>151</v>
      </c>
      <c r="C357" s="29" t="s">
        <v>904</v>
      </c>
      <c r="D357" s="28" t="s">
        <v>131</v>
      </c>
      <c r="E357" s="28" t="s">
        <v>81</v>
      </c>
      <c r="F357" s="28" t="s">
        <v>75</v>
      </c>
      <c r="G357" s="54" t="s">
        <v>76</v>
      </c>
      <c r="H357" s="28" t="s">
        <v>93</v>
      </c>
      <c r="I357" s="28" t="s">
        <v>129</v>
      </c>
      <c r="J357" s="30">
        <v>45100</v>
      </c>
      <c r="K357" s="30">
        <v>45128</v>
      </c>
      <c r="L357" s="30">
        <v>45132</v>
      </c>
      <c r="M357" s="30">
        <v>45106</v>
      </c>
      <c r="N357" s="30">
        <v>45106</v>
      </c>
      <c r="O357" s="28" t="s">
        <v>157</v>
      </c>
      <c r="P357" s="30" t="s">
        <v>157</v>
      </c>
      <c r="S357" s="37"/>
      <c r="T357" s="37"/>
      <c r="W357" s="37"/>
      <c r="X357" s="37"/>
      <c r="AA357" s="28" t="str">
        <f t="shared" si="5"/>
        <v/>
      </c>
    </row>
    <row r="358" spans="1:27" ht="15" customHeight="1" x14ac:dyDescent="0.25">
      <c r="A358" s="31" t="s">
        <v>903</v>
      </c>
      <c r="B358" s="29" t="s">
        <v>151</v>
      </c>
      <c r="C358" s="29" t="s">
        <v>904</v>
      </c>
      <c r="D358" s="28" t="s">
        <v>131</v>
      </c>
      <c r="E358" s="28" t="s">
        <v>81</v>
      </c>
      <c r="F358" s="28" t="s">
        <v>75</v>
      </c>
      <c r="G358" s="28" t="s">
        <v>76</v>
      </c>
      <c r="H358" s="28" t="s">
        <v>93</v>
      </c>
      <c r="I358" s="28" t="s">
        <v>129</v>
      </c>
      <c r="J358" s="30">
        <v>45100</v>
      </c>
      <c r="K358" s="30">
        <v>45128</v>
      </c>
      <c r="L358" s="30">
        <v>45132</v>
      </c>
      <c r="M358" s="30">
        <v>45106</v>
      </c>
      <c r="N358" s="30">
        <v>45106</v>
      </c>
      <c r="O358" s="28" t="s">
        <v>157</v>
      </c>
      <c r="P358" s="30" t="s">
        <v>157</v>
      </c>
      <c r="AA358" s="28" t="str">
        <f t="shared" si="5"/>
        <v/>
      </c>
    </row>
    <row r="359" spans="1:27" ht="15" customHeight="1" x14ac:dyDescent="0.25">
      <c r="A359" s="31" t="s">
        <v>905</v>
      </c>
      <c r="B359" s="29" t="s">
        <v>906</v>
      </c>
      <c r="C359" s="29" t="s">
        <v>907</v>
      </c>
      <c r="D359" s="28" t="s">
        <v>88</v>
      </c>
      <c r="E359" s="28" t="s">
        <v>96</v>
      </c>
      <c r="F359" s="28" t="s">
        <v>75</v>
      </c>
      <c r="G359" s="54" t="s">
        <v>76</v>
      </c>
      <c r="H359" s="28" t="s">
        <v>93</v>
      </c>
      <c r="I359" s="28" t="s">
        <v>78</v>
      </c>
      <c r="J359" s="30">
        <v>45091</v>
      </c>
      <c r="K359" s="30">
        <v>45096</v>
      </c>
      <c r="L359" s="30">
        <v>45098</v>
      </c>
      <c r="M359" s="30">
        <v>45097</v>
      </c>
      <c r="N359" s="30">
        <v>45098</v>
      </c>
      <c r="O359" s="28" t="s">
        <v>156</v>
      </c>
      <c r="P359" s="30" t="s">
        <v>157</v>
      </c>
      <c r="S359" s="37"/>
      <c r="T359" s="37"/>
      <c r="W359" s="37"/>
      <c r="X359" s="37"/>
      <c r="AA359" s="28" t="str">
        <f t="shared" si="5"/>
        <v/>
      </c>
    </row>
    <row r="360" spans="1:27" ht="15" customHeight="1" x14ac:dyDescent="0.25">
      <c r="A360" s="31" t="s">
        <v>908</v>
      </c>
      <c r="B360" s="29" t="s">
        <v>906</v>
      </c>
      <c r="C360" s="29" t="s">
        <v>909</v>
      </c>
      <c r="D360" s="28" t="s">
        <v>88</v>
      </c>
      <c r="E360" s="28" t="s">
        <v>96</v>
      </c>
      <c r="F360" s="28" t="s">
        <v>910</v>
      </c>
      <c r="G360" s="54" t="s">
        <v>76</v>
      </c>
      <c r="H360" s="28" t="s">
        <v>93</v>
      </c>
      <c r="I360" s="28" t="s">
        <v>78</v>
      </c>
      <c r="J360" s="30">
        <v>45091</v>
      </c>
      <c r="K360" s="30">
        <v>45096</v>
      </c>
      <c r="L360" s="30">
        <v>45098</v>
      </c>
      <c r="M360" s="30">
        <v>45097</v>
      </c>
      <c r="N360" s="30">
        <v>45098</v>
      </c>
      <c r="O360" s="28" t="s">
        <v>156</v>
      </c>
      <c r="P360" s="30" t="s">
        <v>157</v>
      </c>
      <c r="S360" s="37"/>
      <c r="T360" s="37"/>
      <c r="W360" s="37"/>
      <c r="X360" s="37"/>
      <c r="AA360" s="28" t="str">
        <f t="shared" si="5"/>
        <v/>
      </c>
    </row>
    <row r="361" spans="1:27" ht="15" customHeight="1" x14ac:dyDescent="0.25">
      <c r="A361" s="31" t="s">
        <v>911</v>
      </c>
      <c r="B361" s="29" t="s">
        <v>906</v>
      </c>
      <c r="C361" s="29" t="s">
        <v>912</v>
      </c>
      <c r="D361" s="28" t="s">
        <v>88</v>
      </c>
      <c r="E361" s="28" t="s">
        <v>96</v>
      </c>
      <c r="F361" s="28" t="s">
        <v>75</v>
      </c>
      <c r="G361" s="28" t="s">
        <v>76</v>
      </c>
      <c r="H361" s="28" t="s">
        <v>93</v>
      </c>
      <c r="I361" s="28" t="s">
        <v>78</v>
      </c>
      <c r="J361" s="30">
        <v>45091</v>
      </c>
      <c r="K361" s="30">
        <v>45096</v>
      </c>
      <c r="L361" s="30">
        <v>45098</v>
      </c>
      <c r="M361" s="30">
        <v>45097</v>
      </c>
      <c r="N361" s="30">
        <v>45098</v>
      </c>
      <c r="O361" s="28" t="s">
        <v>156</v>
      </c>
      <c r="P361" s="30" t="s">
        <v>157</v>
      </c>
      <c r="AA361" s="28" t="str">
        <f t="shared" si="5"/>
        <v/>
      </c>
    </row>
    <row r="362" spans="1:27" ht="15" customHeight="1" x14ac:dyDescent="0.25">
      <c r="A362" s="31" t="s">
        <v>913</v>
      </c>
      <c r="B362" s="29" t="s">
        <v>906</v>
      </c>
      <c r="C362" s="29" t="s">
        <v>914</v>
      </c>
      <c r="D362" s="28" t="s">
        <v>88</v>
      </c>
      <c r="E362" s="28" t="s">
        <v>96</v>
      </c>
      <c r="F362" s="28" t="s">
        <v>75</v>
      </c>
      <c r="G362" s="54" t="s">
        <v>76</v>
      </c>
      <c r="H362" s="28" t="s">
        <v>93</v>
      </c>
      <c r="I362" s="28" t="s">
        <v>78</v>
      </c>
      <c r="J362" s="30">
        <v>45091</v>
      </c>
      <c r="K362" s="30">
        <v>45096</v>
      </c>
      <c r="L362" s="30">
        <v>45098</v>
      </c>
      <c r="M362" s="30">
        <v>45097</v>
      </c>
      <c r="N362" s="30">
        <v>45098</v>
      </c>
      <c r="O362" s="28" t="s">
        <v>156</v>
      </c>
      <c r="P362" s="30" t="s">
        <v>157</v>
      </c>
      <c r="S362" s="37"/>
      <c r="T362" s="37"/>
      <c r="W362" s="37"/>
      <c r="X362" s="37"/>
      <c r="AA362" s="28" t="str">
        <f t="shared" si="5"/>
        <v/>
      </c>
    </row>
    <row r="363" spans="1:27" ht="15" customHeight="1" x14ac:dyDescent="0.25">
      <c r="A363" s="31" t="s">
        <v>915</v>
      </c>
      <c r="B363" s="29" t="s">
        <v>916</v>
      </c>
      <c r="C363" s="29" t="s">
        <v>917</v>
      </c>
      <c r="D363" s="28" t="s">
        <v>152</v>
      </c>
      <c r="E363" s="28" t="s">
        <v>74</v>
      </c>
      <c r="F363" s="28" t="s">
        <v>75</v>
      </c>
      <c r="G363" s="28" t="s">
        <v>102</v>
      </c>
      <c r="H363" s="28" t="s">
        <v>77</v>
      </c>
      <c r="I363" s="28" t="s">
        <v>78</v>
      </c>
      <c r="J363" s="30">
        <v>45086</v>
      </c>
      <c r="K363" s="30">
        <v>45098</v>
      </c>
      <c r="L363" s="30">
        <v>45100</v>
      </c>
      <c r="M363" s="30">
        <v>45098</v>
      </c>
      <c r="N363" s="30">
        <v>45100</v>
      </c>
      <c r="O363" s="28" t="s">
        <v>157</v>
      </c>
      <c r="P363" s="30" t="s">
        <v>157</v>
      </c>
      <c r="AA363" s="28" t="str">
        <f t="shared" si="5"/>
        <v/>
      </c>
    </row>
    <row r="364" spans="1:27" ht="15" customHeight="1" x14ac:dyDescent="0.25">
      <c r="A364" s="31" t="s">
        <v>918</v>
      </c>
      <c r="B364" s="29" t="s">
        <v>116</v>
      </c>
      <c r="C364" s="29" t="s">
        <v>919</v>
      </c>
      <c r="D364" s="28" t="s">
        <v>920</v>
      </c>
      <c r="E364" s="28" t="s">
        <v>81</v>
      </c>
      <c r="F364" s="28" t="s">
        <v>75</v>
      </c>
      <c r="G364" s="54" t="s">
        <v>76</v>
      </c>
      <c r="H364" s="28" t="s">
        <v>92</v>
      </c>
      <c r="I364" s="28" t="s">
        <v>101</v>
      </c>
      <c r="J364" s="30">
        <v>45103</v>
      </c>
      <c r="K364" s="30">
        <v>45105</v>
      </c>
      <c r="L364" s="30">
        <v>45107</v>
      </c>
      <c r="M364" s="30">
        <v>45104</v>
      </c>
      <c r="N364" s="30">
        <v>45107</v>
      </c>
      <c r="O364" s="28" t="s">
        <v>157</v>
      </c>
      <c r="P364" s="30" t="s">
        <v>157</v>
      </c>
      <c r="S364" s="37"/>
      <c r="T364" s="37"/>
      <c r="W364" s="37"/>
      <c r="X364" s="37"/>
      <c r="AA364" s="28" t="str">
        <f t="shared" si="5"/>
        <v/>
      </c>
    </row>
    <row r="365" spans="1:27" ht="15" customHeight="1" x14ac:dyDescent="0.25">
      <c r="A365" s="31" t="s">
        <v>921</v>
      </c>
      <c r="B365" s="29" t="s">
        <v>460</v>
      </c>
      <c r="C365" s="29" t="s">
        <v>461</v>
      </c>
      <c r="D365" s="28" t="s">
        <v>922</v>
      </c>
      <c r="E365" s="28" t="s">
        <v>74</v>
      </c>
      <c r="F365" s="28" t="s">
        <v>75</v>
      </c>
      <c r="G365" s="28" t="s">
        <v>74</v>
      </c>
      <c r="H365" s="28" t="s">
        <v>77</v>
      </c>
      <c r="I365" s="28" t="s">
        <v>78</v>
      </c>
      <c r="J365" s="30">
        <v>45100</v>
      </c>
      <c r="K365" s="30">
        <v>45106</v>
      </c>
      <c r="L365" s="30">
        <v>45107</v>
      </c>
      <c r="M365" s="30">
        <v>45104</v>
      </c>
      <c r="N365" s="30">
        <v>45105</v>
      </c>
      <c r="O365" s="28" t="s">
        <v>157</v>
      </c>
      <c r="P365" s="30" t="s">
        <v>157</v>
      </c>
      <c r="AA365" s="28" t="str">
        <f t="shared" si="5"/>
        <v/>
      </c>
    </row>
    <row r="366" spans="1:27" ht="15" customHeight="1" x14ac:dyDescent="0.25">
      <c r="A366" s="31" t="s">
        <v>153</v>
      </c>
      <c r="B366" s="29" t="s">
        <v>154</v>
      </c>
      <c r="C366" s="29">
        <v>45244</v>
      </c>
      <c r="G366" s="54"/>
      <c r="S366" s="37"/>
      <c r="T366" s="37"/>
      <c r="W366" s="37"/>
      <c r="X366" s="37"/>
      <c r="AA366" s="28" t="str">
        <f t="shared" si="5"/>
        <v/>
      </c>
    </row>
    <row r="367" spans="1:27" ht="15" customHeight="1" x14ac:dyDescent="0.25">
      <c r="AA367" s="28" t="str">
        <f t="shared" si="5"/>
        <v/>
      </c>
    </row>
    <row r="368" spans="1:27" ht="15" customHeight="1" x14ac:dyDescent="0.25">
      <c r="G368" s="54"/>
      <c r="P368" s="28"/>
      <c r="S368" s="37"/>
      <c r="T368" s="37"/>
      <c r="W368" s="37"/>
      <c r="X368" s="37"/>
      <c r="AA368" s="28" t="str">
        <f t="shared" si="5"/>
        <v/>
      </c>
    </row>
    <row r="369" spans="7:27" ht="15" customHeight="1" x14ac:dyDescent="0.25">
      <c r="P369" s="28"/>
      <c r="AA369" s="28" t="str">
        <f t="shared" si="5"/>
        <v/>
      </c>
    </row>
    <row r="370" spans="7:27" ht="15" customHeight="1" x14ac:dyDescent="0.25">
      <c r="G370" s="54"/>
      <c r="S370" s="37"/>
      <c r="T370" s="37"/>
      <c r="W370" s="37"/>
      <c r="X370" s="37"/>
      <c r="AA370" s="28" t="str">
        <f t="shared" si="5"/>
        <v/>
      </c>
    </row>
    <row r="371" spans="7:27" ht="15" customHeight="1" x14ac:dyDescent="0.25">
      <c r="AA371" s="28" t="str">
        <f t="shared" si="5"/>
        <v/>
      </c>
    </row>
    <row r="372" spans="7:27" ht="15" customHeight="1" x14ac:dyDescent="0.25">
      <c r="G372" s="54"/>
      <c r="S372" s="37"/>
      <c r="T372" s="37"/>
      <c r="W372" s="37"/>
      <c r="X372" s="37"/>
      <c r="AA372" s="28" t="str">
        <f t="shared" si="5"/>
        <v/>
      </c>
    </row>
    <row r="373" spans="7:27" ht="15" customHeight="1" x14ac:dyDescent="0.25">
      <c r="AA373" s="28" t="str">
        <f t="shared" si="5"/>
        <v/>
      </c>
    </row>
    <row r="374" spans="7:27" ht="15" customHeight="1" x14ac:dyDescent="0.25">
      <c r="G374" s="54"/>
      <c r="S374" s="37"/>
      <c r="T374" s="37"/>
      <c r="W374" s="37"/>
      <c r="X374" s="37"/>
      <c r="AA374" s="28" t="str">
        <f t="shared" si="5"/>
        <v/>
      </c>
    </row>
    <row r="375" spans="7:27" ht="15" customHeight="1" x14ac:dyDescent="0.25">
      <c r="AA375" s="28" t="str">
        <f t="shared" si="5"/>
        <v/>
      </c>
    </row>
    <row r="376" spans="7:27" ht="15" customHeight="1" x14ac:dyDescent="0.25">
      <c r="G376" s="54"/>
      <c r="S376" s="37"/>
      <c r="T376" s="37"/>
      <c r="W376" s="37"/>
      <c r="X376" s="37"/>
      <c r="AA376" s="28" t="str">
        <f t="shared" si="5"/>
        <v/>
      </c>
    </row>
    <row r="377" spans="7:27" ht="15" customHeight="1" x14ac:dyDescent="0.25">
      <c r="AA377" s="28" t="str">
        <f t="shared" si="5"/>
        <v/>
      </c>
    </row>
    <row r="378" spans="7:27" ht="15" customHeight="1" x14ac:dyDescent="0.25">
      <c r="G378" s="54"/>
      <c r="S378" s="37"/>
      <c r="T378" s="37"/>
      <c r="W378" s="37"/>
      <c r="X378" s="37"/>
      <c r="AA378" s="28" t="str">
        <f t="shared" si="5"/>
        <v/>
      </c>
    </row>
    <row r="379" spans="7:27" ht="15" customHeight="1" x14ac:dyDescent="0.25">
      <c r="AA379" s="28" t="str">
        <f t="shared" si="5"/>
        <v/>
      </c>
    </row>
    <row r="380" spans="7:27" ht="15" customHeight="1" x14ac:dyDescent="0.25">
      <c r="G380" s="54"/>
      <c r="S380" s="37"/>
      <c r="T380" s="37"/>
      <c r="W380" s="37"/>
      <c r="X380" s="37"/>
      <c r="AA380" s="28" t="str">
        <f t="shared" si="5"/>
        <v/>
      </c>
    </row>
    <row r="381" spans="7:27" ht="15" customHeight="1" x14ac:dyDescent="0.25">
      <c r="AA381" s="28" t="str">
        <f t="shared" si="5"/>
        <v/>
      </c>
    </row>
    <row r="382" spans="7:27" ht="15" customHeight="1" x14ac:dyDescent="0.25">
      <c r="G382" s="54"/>
      <c r="S382" s="37"/>
      <c r="T382" s="37"/>
      <c r="W382" s="37"/>
      <c r="X382" s="37"/>
      <c r="AA382" s="28" t="str">
        <f t="shared" si="5"/>
        <v/>
      </c>
    </row>
    <row r="383" spans="7:27" ht="15" customHeight="1" x14ac:dyDescent="0.25">
      <c r="AA383" s="28" t="str">
        <f t="shared" si="5"/>
        <v/>
      </c>
    </row>
    <row r="384" spans="7:27" ht="15" customHeight="1" x14ac:dyDescent="0.25">
      <c r="G384" s="54"/>
      <c r="S384" s="37"/>
      <c r="T384" s="37"/>
      <c r="W384" s="37"/>
      <c r="X384" s="37"/>
      <c r="AA384" s="28" t="str">
        <f t="shared" si="5"/>
        <v/>
      </c>
    </row>
    <row r="385" spans="7:27" ht="15" customHeight="1" x14ac:dyDescent="0.25">
      <c r="AA385" s="28" t="str">
        <f t="shared" si="5"/>
        <v/>
      </c>
    </row>
    <row r="386" spans="7:27" ht="15" customHeight="1" x14ac:dyDescent="0.25">
      <c r="G386" s="54"/>
      <c r="S386" s="37"/>
      <c r="T386" s="37"/>
      <c r="W386" s="37"/>
      <c r="X386" s="37"/>
      <c r="AA386" s="28" t="str">
        <f t="shared" si="5"/>
        <v/>
      </c>
    </row>
    <row r="387" spans="7:27" ht="15" customHeight="1" x14ac:dyDescent="0.25">
      <c r="AA387" s="28" t="str">
        <f t="shared" si="5"/>
        <v/>
      </c>
    </row>
    <row r="388" spans="7:27" ht="15" customHeight="1" x14ac:dyDescent="0.25">
      <c r="G388" s="54"/>
      <c r="S388" s="37"/>
      <c r="T388" s="37"/>
      <c r="W388" s="37"/>
      <c r="X388" s="37"/>
      <c r="AA388" s="28" t="str">
        <f t="shared" si="5"/>
        <v/>
      </c>
    </row>
    <row r="389" spans="7:27" ht="15" customHeight="1" x14ac:dyDescent="0.25">
      <c r="AA389" s="28" t="str">
        <f t="shared" si="5"/>
        <v/>
      </c>
    </row>
    <row r="390" spans="7:27" ht="15" customHeight="1" x14ac:dyDescent="0.25">
      <c r="G390" s="54"/>
      <c r="S390" s="37"/>
      <c r="T390" s="37"/>
      <c r="W390" s="37"/>
      <c r="X390" s="37"/>
      <c r="AA390" s="28" t="str">
        <f t="shared" si="5"/>
        <v/>
      </c>
    </row>
    <row r="391" spans="7:27" ht="15" customHeight="1" x14ac:dyDescent="0.25">
      <c r="AA391" s="28" t="str">
        <f t="shared" si="5"/>
        <v/>
      </c>
    </row>
    <row r="392" spans="7:27" ht="15" customHeight="1" x14ac:dyDescent="0.25">
      <c r="G392" s="54"/>
      <c r="S392" s="37"/>
      <c r="T392" s="37"/>
      <c r="W392" s="37"/>
      <c r="X392" s="37"/>
      <c r="AA392" s="28" t="str">
        <f t="shared" ref="AA392:AA455" si="6">IFERROR(
IF(AND(X392="Não",Y392="Sim"),"REP",
IF(AND(X392="Sim",Y392="Não"),"Técnico",
IF(AND(X392="Sim",Y392="Sim"),"Ambos",""))),
"")</f>
        <v/>
      </c>
    </row>
    <row r="393" spans="7:27" ht="15" customHeight="1" x14ac:dyDescent="0.25">
      <c r="AA393" s="28" t="str">
        <f t="shared" si="6"/>
        <v/>
      </c>
    </row>
    <row r="394" spans="7:27" ht="15" customHeight="1" x14ac:dyDescent="0.25">
      <c r="G394" s="54"/>
      <c r="S394" s="37"/>
      <c r="T394" s="37"/>
      <c r="W394" s="37"/>
      <c r="X394" s="37"/>
      <c r="AA394" s="28" t="str">
        <f t="shared" si="6"/>
        <v/>
      </c>
    </row>
    <row r="395" spans="7:27" ht="15" customHeight="1" x14ac:dyDescent="0.25">
      <c r="AA395" s="28" t="str">
        <f t="shared" si="6"/>
        <v/>
      </c>
    </row>
    <row r="396" spans="7:27" ht="15" customHeight="1" x14ac:dyDescent="0.25">
      <c r="G396" s="54"/>
      <c r="S396" s="37"/>
      <c r="T396" s="37"/>
      <c r="W396" s="37"/>
      <c r="X396" s="37"/>
      <c r="AA396" s="28" t="str">
        <f t="shared" si="6"/>
        <v/>
      </c>
    </row>
    <row r="397" spans="7:27" ht="15" customHeight="1" x14ac:dyDescent="0.25">
      <c r="AA397" s="28" t="str">
        <f t="shared" si="6"/>
        <v/>
      </c>
    </row>
    <row r="398" spans="7:27" ht="15" customHeight="1" x14ac:dyDescent="0.25">
      <c r="G398" s="54"/>
      <c r="S398" s="37"/>
      <c r="T398" s="37"/>
      <c r="W398" s="37"/>
      <c r="X398" s="37"/>
      <c r="AA398" s="28" t="str">
        <f t="shared" si="6"/>
        <v/>
      </c>
    </row>
    <row r="399" spans="7:27" ht="15" customHeight="1" x14ac:dyDescent="0.25">
      <c r="AA399" s="28" t="str">
        <f t="shared" si="6"/>
        <v/>
      </c>
    </row>
    <row r="400" spans="7:27" ht="15" customHeight="1" x14ac:dyDescent="0.25">
      <c r="G400" s="54"/>
      <c r="S400" s="37"/>
      <c r="T400" s="37"/>
      <c r="W400" s="37"/>
      <c r="X400" s="37"/>
      <c r="AA400" s="28" t="str">
        <f t="shared" si="6"/>
        <v/>
      </c>
    </row>
    <row r="401" spans="7:27" ht="15" customHeight="1" x14ac:dyDescent="0.25">
      <c r="AA401" s="28" t="str">
        <f t="shared" si="6"/>
        <v/>
      </c>
    </row>
    <row r="402" spans="7:27" ht="15" customHeight="1" x14ac:dyDescent="0.25">
      <c r="G402" s="54"/>
      <c r="S402" s="37"/>
      <c r="T402" s="37"/>
      <c r="W402" s="37"/>
      <c r="X402" s="37"/>
      <c r="AA402" s="28" t="str">
        <f t="shared" si="6"/>
        <v/>
      </c>
    </row>
    <row r="403" spans="7:27" ht="15" customHeight="1" x14ac:dyDescent="0.25">
      <c r="AA403" s="28" t="str">
        <f t="shared" si="6"/>
        <v/>
      </c>
    </row>
    <row r="404" spans="7:27" ht="15" customHeight="1" x14ac:dyDescent="0.25">
      <c r="G404" s="54"/>
      <c r="S404" s="37"/>
      <c r="T404" s="37"/>
      <c r="W404" s="37"/>
      <c r="X404" s="37"/>
      <c r="AA404" s="28" t="str">
        <f t="shared" si="6"/>
        <v/>
      </c>
    </row>
    <row r="405" spans="7:27" ht="15" customHeight="1" x14ac:dyDescent="0.25">
      <c r="AA405" s="28" t="str">
        <f t="shared" si="6"/>
        <v/>
      </c>
    </row>
    <row r="406" spans="7:27" ht="15" customHeight="1" x14ac:dyDescent="0.25">
      <c r="G406" s="54"/>
      <c r="S406" s="37"/>
      <c r="T406" s="37"/>
      <c r="W406" s="37"/>
      <c r="X406" s="37"/>
      <c r="AA406" s="28" t="str">
        <f t="shared" si="6"/>
        <v/>
      </c>
    </row>
    <row r="407" spans="7:27" ht="15" customHeight="1" x14ac:dyDescent="0.25">
      <c r="AA407" s="28" t="str">
        <f t="shared" si="6"/>
        <v/>
      </c>
    </row>
    <row r="408" spans="7:27" ht="15" customHeight="1" x14ac:dyDescent="0.25">
      <c r="G408" s="54"/>
      <c r="S408" s="37"/>
      <c r="T408" s="37"/>
      <c r="W408" s="37"/>
      <c r="X408" s="37"/>
      <c r="AA408" s="28" t="str">
        <f t="shared" si="6"/>
        <v/>
      </c>
    </row>
    <row r="409" spans="7:27" ht="15" customHeight="1" x14ac:dyDescent="0.25">
      <c r="AA409" s="28" t="str">
        <f t="shared" si="6"/>
        <v/>
      </c>
    </row>
    <row r="410" spans="7:27" ht="15" customHeight="1" x14ac:dyDescent="0.25">
      <c r="G410" s="54"/>
      <c r="S410" s="37"/>
      <c r="T410" s="37"/>
      <c r="W410" s="37"/>
      <c r="X410" s="37"/>
      <c r="AA410" s="28" t="str">
        <f t="shared" si="6"/>
        <v/>
      </c>
    </row>
    <row r="411" spans="7:27" ht="15" customHeight="1" x14ac:dyDescent="0.25">
      <c r="AA411" s="28" t="str">
        <f t="shared" si="6"/>
        <v/>
      </c>
    </row>
    <row r="412" spans="7:27" ht="15" customHeight="1" x14ac:dyDescent="0.25">
      <c r="G412" s="54"/>
      <c r="S412" s="37"/>
      <c r="T412" s="37"/>
      <c r="W412" s="37"/>
      <c r="X412" s="37"/>
      <c r="AA412" s="28" t="str">
        <f t="shared" si="6"/>
        <v/>
      </c>
    </row>
    <row r="413" spans="7:27" ht="15" customHeight="1" x14ac:dyDescent="0.25">
      <c r="AA413" s="28" t="str">
        <f t="shared" si="6"/>
        <v/>
      </c>
    </row>
    <row r="414" spans="7:27" ht="15" customHeight="1" x14ac:dyDescent="0.25">
      <c r="G414" s="54"/>
      <c r="S414" s="37"/>
      <c r="T414" s="37"/>
      <c r="W414" s="37"/>
      <c r="X414" s="37"/>
      <c r="AA414" s="28" t="str">
        <f t="shared" si="6"/>
        <v/>
      </c>
    </row>
    <row r="415" spans="7:27" ht="15" customHeight="1" x14ac:dyDescent="0.25">
      <c r="AA415" s="28" t="str">
        <f t="shared" si="6"/>
        <v/>
      </c>
    </row>
    <row r="416" spans="7:27" ht="15" customHeight="1" x14ac:dyDescent="0.25">
      <c r="G416" s="54"/>
      <c r="S416" s="37"/>
      <c r="T416" s="37"/>
      <c r="W416" s="37"/>
      <c r="X416" s="37"/>
      <c r="AA416" s="28" t="str">
        <f t="shared" si="6"/>
        <v/>
      </c>
    </row>
    <row r="417" spans="7:27" ht="15" customHeight="1" x14ac:dyDescent="0.25">
      <c r="AA417" s="28" t="str">
        <f t="shared" si="6"/>
        <v/>
      </c>
    </row>
    <row r="418" spans="7:27" ht="15" customHeight="1" x14ac:dyDescent="0.25">
      <c r="G418" s="54"/>
      <c r="S418" s="37"/>
      <c r="T418" s="37"/>
      <c r="W418" s="37"/>
      <c r="X418" s="37"/>
      <c r="AA418" s="28" t="str">
        <f t="shared" si="6"/>
        <v/>
      </c>
    </row>
    <row r="419" spans="7:27" ht="15" customHeight="1" x14ac:dyDescent="0.25">
      <c r="AA419" s="28" t="str">
        <f t="shared" si="6"/>
        <v/>
      </c>
    </row>
    <row r="420" spans="7:27" ht="15" customHeight="1" x14ac:dyDescent="0.25">
      <c r="G420" s="54"/>
      <c r="S420" s="37"/>
      <c r="T420" s="37"/>
      <c r="W420" s="37"/>
      <c r="X420" s="37"/>
      <c r="AA420" s="28" t="str">
        <f t="shared" si="6"/>
        <v/>
      </c>
    </row>
    <row r="421" spans="7:27" ht="15" customHeight="1" x14ac:dyDescent="0.25">
      <c r="AA421" s="28" t="str">
        <f t="shared" si="6"/>
        <v/>
      </c>
    </row>
    <row r="422" spans="7:27" ht="15" customHeight="1" x14ac:dyDescent="0.25">
      <c r="G422" s="54"/>
      <c r="S422" s="37"/>
      <c r="T422" s="37"/>
      <c r="W422" s="37"/>
      <c r="X422" s="37"/>
      <c r="AA422" s="28" t="str">
        <f t="shared" si="6"/>
        <v/>
      </c>
    </row>
    <row r="423" spans="7:27" ht="15" customHeight="1" x14ac:dyDescent="0.25">
      <c r="AA423" s="28" t="str">
        <f t="shared" si="6"/>
        <v/>
      </c>
    </row>
    <row r="424" spans="7:27" ht="15" customHeight="1" x14ac:dyDescent="0.25">
      <c r="S424" s="37"/>
      <c r="T424" s="37"/>
      <c r="W424" s="37"/>
      <c r="X424" s="37"/>
      <c r="AA424" s="28" t="str">
        <f t="shared" si="6"/>
        <v/>
      </c>
    </row>
    <row r="425" spans="7:27" ht="15" customHeight="1" x14ac:dyDescent="0.25">
      <c r="AA425" s="28" t="str">
        <f t="shared" si="6"/>
        <v/>
      </c>
    </row>
    <row r="426" spans="7:27" ht="15" customHeight="1" x14ac:dyDescent="0.25">
      <c r="G426" s="54"/>
      <c r="S426" s="37"/>
      <c r="T426" s="37"/>
      <c r="W426" s="37"/>
      <c r="X426" s="37"/>
      <c r="AA426" s="28" t="str">
        <f t="shared" si="6"/>
        <v/>
      </c>
    </row>
    <row r="427" spans="7:27" ht="15" customHeight="1" x14ac:dyDescent="0.25">
      <c r="AA427" s="28" t="str">
        <f t="shared" si="6"/>
        <v/>
      </c>
    </row>
    <row r="428" spans="7:27" ht="15" customHeight="1" x14ac:dyDescent="0.25">
      <c r="G428" s="54"/>
      <c r="S428" s="37"/>
      <c r="T428" s="37"/>
      <c r="W428" s="37"/>
      <c r="X428" s="37"/>
      <c r="AA428" s="28" t="str">
        <f t="shared" si="6"/>
        <v/>
      </c>
    </row>
    <row r="429" spans="7:27" ht="15" customHeight="1" x14ac:dyDescent="0.25">
      <c r="AA429" s="28" t="str">
        <f t="shared" si="6"/>
        <v/>
      </c>
    </row>
    <row r="430" spans="7:27" ht="15" customHeight="1" x14ac:dyDescent="0.25">
      <c r="G430" s="54"/>
      <c r="S430" s="37"/>
      <c r="T430" s="37"/>
      <c r="W430" s="37"/>
      <c r="X430" s="37"/>
      <c r="AA430" s="28" t="str">
        <f t="shared" si="6"/>
        <v/>
      </c>
    </row>
    <row r="431" spans="7:27" ht="15" customHeight="1" x14ac:dyDescent="0.25">
      <c r="AA431" s="28" t="str">
        <f t="shared" si="6"/>
        <v/>
      </c>
    </row>
    <row r="432" spans="7:27" ht="15" customHeight="1" x14ac:dyDescent="0.25">
      <c r="G432" s="54"/>
      <c r="S432" s="37"/>
      <c r="T432" s="37"/>
      <c r="W432" s="37"/>
      <c r="X432" s="37"/>
      <c r="AA432" s="28" t="str">
        <f t="shared" si="6"/>
        <v/>
      </c>
    </row>
    <row r="433" spans="7:27" ht="15" customHeight="1" x14ac:dyDescent="0.25">
      <c r="G433" s="54"/>
      <c r="S433" s="37"/>
      <c r="T433" s="37"/>
      <c r="W433" s="37"/>
      <c r="X433" s="37"/>
      <c r="AA433" s="28" t="str">
        <f t="shared" si="6"/>
        <v/>
      </c>
    </row>
    <row r="434" spans="7:27" ht="15" customHeight="1" x14ac:dyDescent="0.25">
      <c r="AA434" s="28" t="str">
        <f t="shared" si="6"/>
        <v/>
      </c>
    </row>
    <row r="435" spans="7:27" ht="15" customHeight="1" x14ac:dyDescent="0.25">
      <c r="G435" s="54"/>
      <c r="S435" s="37"/>
      <c r="T435" s="37"/>
      <c r="W435" s="37"/>
      <c r="X435" s="37"/>
      <c r="AA435" s="28" t="str">
        <f t="shared" si="6"/>
        <v/>
      </c>
    </row>
    <row r="436" spans="7:27" ht="15" customHeight="1" x14ac:dyDescent="0.25">
      <c r="AA436" s="28" t="str">
        <f t="shared" si="6"/>
        <v/>
      </c>
    </row>
    <row r="437" spans="7:27" ht="15" customHeight="1" x14ac:dyDescent="0.25">
      <c r="G437" s="54"/>
      <c r="S437" s="37"/>
      <c r="T437" s="37"/>
      <c r="W437" s="37"/>
      <c r="X437" s="37"/>
      <c r="AA437" s="28" t="str">
        <f t="shared" si="6"/>
        <v/>
      </c>
    </row>
    <row r="438" spans="7:27" ht="15" customHeight="1" x14ac:dyDescent="0.25">
      <c r="AA438" s="28" t="str">
        <f t="shared" si="6"/>
        <v/>
      </c>
    </row>
    <row r="439" spans="7:27" ht="15" customHeight="1" x14ac:dyDescent="0.25">
      <c r="G439" s="54"/>
      <c r="S439" s="37"/>
      <c r="T439" s="37"/>
      <c r="W439" s="37"/>
      <c r="X439" s="37"/>
      <c r="AA439" s="28" t="str">
        <f t="shared" si="6"/>
        <v/>
      </c>
    </row>
    <row r="440" spans="7:27" ht="15" customHeight="1" x14ac:dyDescent="0.25">
      <c r="AA440" s="28" t="str">
        <f t="shared" si="6"/>
        <v/>
      </c>
    </row>
    <row r="441" spans="7:27" ht="15" customHeight="1" x14ac:dyDescent="0.25">
      <c r="S441" s="37"/>
      <c r="T441" s="37"/>
      <c r="W441" s="37"/>
      <c r="X441" s="37"/>
      <c r="AA441" s="28" t="str">
        <f t="shared" si="6"/>
        <v/>
      </c>
    </row>
    <row r="442" spans="7:27" ht="15" customHeight="1" x14ac:dyDescent="0.25">
      <c r="AA442" s="28" t="str">
        <f t="shared" si="6"/>
        <v/>
      </c>
    </row>
    <row r="443" spans="7:27" ht="15" customHeight="1" x14ac:dyDescent="0.25">
      <c r="G443" s="54"/>
      <c r="S443" s="37"/>
      <c r="T443" s="37"/>
      <c r="W443" s="37"/>
      <c r="X443" s="37"/>
      <c r="AA443" s="28" t="str">
        <f t="shared" si="6"/>
        <v/>
      </c>
    </row>
    <row r="444" spans="7:27" ht="15" customHeight="1" x14ac:dyDescent="0.25">
      <c r="AA444" s="28" t="str">
        <f t="shared" si="6"/>
        <v/>
      </c>
    </row>
    <row r="445" spans="7:27" ht="15" customHeight="1" x14ac:dyDescent="0.25">
      <c r="G445" s="54"/>
      <c r="S445" s="37"/>
      <c r="T445" s="37"/>
      <c r="W445" s="37"/>
      <c r="X445" s="37"/>
      <c r="AA445" s="28" t="str">
        <f t="shared" si="6"/>
        <v/>
      </c>
    </row>
    <row r="446" spans="7:27" ht="15" customHeight="1" x14ac:dyDescent="0.25">
      <c r="AA446" s="28" t="str">
        <f t="shared" si="6"/>
        <v/>
      </c>
    </row>
    <row r="447" spans="7:27" ht="15" customHeight="1" x14ac:dyDescent="0.25">
      <c r="G447" s="54"/>
      <c r="S447" s="37"/>
      <c r="T447" s="37"/>
      <c r="W447" s="37"/>
      <c r="X447" s="37"/>
      <c r="AA447" s="28" t="str">
        <f t="shared" si="6"/>
        <v/>
      </c>
    </row>
    <row r="448" spans="7:27" ht="15" customHeight="1" x14ac:dyDescent="0.25">
      <c r="AA448" s="28" t="str">
        <f t="shared" si="6"/>
        <v/>
      </c>
    </row>
    <row r="449" spans="7:27" ht="15" customHeight="1" x14ac:dyDescent="0.25">
      <c r="G449" s="54"/>
      <c r="S449" s="37"/>
      <c r="T449" s="37"/>
      <c r="W449" s="37"/>
      <c r="X449" s="37"/>
      <c r="AA449" s="28" t="str">
        <f t="shared" si="6"/>
        <v/>
      </c>
    </row>
    <row r="450" spans="7:27" ht="15" customHeight="1" x14ac:dyDescent="0.25">
      <c r="AA450" s="28" t="str">
        <f t="shared" si="6"/>
        <v/>
      </c>
    </row>
    <row r="451" spans="7:27" ht="15" customHeight="1" x14ac:dyDescent="0.25">
      <c r="G451" s="54"/>
      <c r="S451" s="37"/>
      <c r="T451" s="37"/>
      <c r="W451" s="37"/>
      <c r="X451" s="37"/>
      <c r="AA451" s="28" t="str">
        <f t="shared" si="6"/>
        <v/>
      </c>
    </row>
    <row r="452" spans="7:27" ht="15" customHeight="1" x14ac:dyDescent="0.25">
      <c r="AA452" s="28" t="str">
        <f t="shared" si="6"/>
        <v/>
      </c>
    </row>
    <row r="453" spans="7:27" ht="15" customHeight="1" x14ac:dyDescent="0.25">
      <c r="G453" s="54"/>
      <c r="S453" s="37"/>
      <c r="T453" s="37"/>
      <c r="W453" s="37"/>
      <c r="X453" s="37"/>
      <c r="AA453" s="28" t="str">
        <f t="shared" si="6"/>
        <v/>
      </c>
    </row>
    <row r="454" spans="7:27" ht="15" customHeight="1" x14ac:dyDescent="0.25">
      <c r="AA454" s="28" t="str">
        <f t="shared" si="6"/>
        <v/>
      </c>
    </row>
    <row r="455" spans="7:27" ht="15" customHeight="1" x14ac:dyDescent="0.25">
      <c r="G455" s="54"/>
      <c r="S455" s="37"/>
      <c r="T455" s="37"/>
      <c r="W455" s="37"/>
      <c r="X455" s="37"/>
      <c r="AA455" s="28" t="str">
        <f t="shared" si="6"/>
        <v/>
      </c>
    </row>
    <row r="456" spans="7:27" ht="15" customHeight="1" x14ac:dyDescent="0.25">
      <c r="AA456" s="28" t="str">
        <f t="shared" ref="AA456:AA519" si="7">IFERROR(
IF(AND(X456="Não",Y456="Sim"),"REP",
IF(AND(X456="Sim",Y456="Não"),"Técnico",
IF(AND(X456="Sim",Y456="Sim"),"Ambos",""))),
"")</f>
        <v/>
      </c>
    </row>
    <row r="457" spans="7:27" ht="15" customHeight="1" x14ac:dyDescent="0.25">
      <c r="G457" s="54"/>
      <c r="S457" s="37"/>
      <c r="T457" s="37"/>
      <c r="W457" s="37"/>
      <c r="X457" s="37"/>
      <c r="AA457" s="28" t="str">
        <f t="shared" si="7"/>
        <v/>
      </c>
    </row>
    <row r="458" spans="7:27" ht="15" customHeight="1" x14ac:dyDescent="0.25">
      <c r="AA458" s="28" t="str">
        <f t="shared" si="7"/>
        <v/>
      </c>
    </row>
    <row r="459" spans="7:27" ht="15" customHeight="1" x14ac:dyDescent="0.25">
      <c r="G459" s="54"/>
      <c r="S459" s="37"/>
      <c r="T459" s="37"/>
      <c r="W459" s="37"/>
      <c r="X459" s="37"/>
      <c r="AA459" s="28" t="str">
        <f t="shared" si="7"/>
        <v/>
      </c>
    </row>
    <row r="460" spans="7:27" ht="15" customHeight="1" x14ac:dyDescent="0.25">
      <c r="AA460" s="28" t="str">
        <f t="shared" si="7"/>
        <v/>
      </c>
    </row>
    <row r="461" spans="7:27" ht="15" customHeight="1" x14ac:dyDescent="0.25">
      <c r="G461" s="54"/>
      <c r="S461" s="37"/>
      <c r="T461" s="37"/>
      <c r="W461" s="37"/>
      <c r="X461" s="37"/>
      <c r="AA461" s="28" t="str">
        <f t="shared" si="7"/>
        <v/>
      </c>
    </row>
    <row r="462" spans="7:27" ht="15" customHeight="1" x14ac:dyDescent="0.25">
      <c r="AA462" s="28" t="str">
        <f t="shared" si="7"/>
        <v/>
      </c>
    </row>
    <row r="463" spans="7:27" ht="15" customHeight="1" x14ac:dyDescent="0.25">
      <c r="G463" s="54"/>
      <c r="S463" s="37"/>
      <c r="T463" s="37"/>
      <c r="W463" s="37"/>
      <c r="X463" s="37"/>
      <c r="AA463" s="28" t="str">
        <f t="shared" si="7"/>
        <v/>
      </c>
    </row>
    <row r="464" spans="7:27" ht="15" customHeight="1" x14ac:dyDescent="0.25">
      <c r="AA464" s="28" t="str">
        <f t="shared" si="7"/>
        <v/>
      </c>
    </row>
    <row r="465" spans="7:27" ht="15" customHeight="1" x14ac:dyDescent="0.25">
      <c r="G465" s="54"/>
      <c r="S465" s="37"/>
      <c r="T465" s="37"/>
      <c r="W465" s="37"/>
      <c r="X465" s="37"/>
      <c r="AA465" s="28" t="str">
        <f t="shared" si="7"/>
        <v/>
      </c>
    </row>
    <row r="466" spans="7:27" ht="15" customHeight="1" x14ac:dyDescent="0.25">
      <c r="AA466" s="28" t="str">
        <f t="shared" si="7"/>
        <v/>
      </c>
    </row>
    <row r="467" spans="7:27" ht="15" customHeight="1" x14ac:dyDescent="0.25">
      <c r="G467" s="54"/>
      <c r="S467" s="37"/>
      <c r="T467" s="37"/>
      <c r="W467" s="37"/>
      <c r="X467" s="37"/>
      <c r="AA467" s="28" t="str">
        <f t="shared" si="7"/>
        <v/>
      </c>
    </row>
    <row r="468" spans="7:27" ht="15" customHeight="1" x14ac:dyDescent="0.25">
      <c r="AA468" s="28" t="str">
        <f t="shared" si="7"/>
        <v/>
      </c>
    </row>
    <row r="469" spans="7:27" ht="15" customHeight="1" x14ac:dyDescent="0.25">
      <c r="G469" s="54"/>
      <c r="S469" s="37"/>
      <c r="T469" s="37"/>
      <c r="W469" s="37"/>
      <c r="X469" s="37"/>
      <c r="AA469" s="28" t="str">
        <f t="shared" si="7"/>
        <v/>
      </c>
    </row>
    <row r="470" spans="7:27" ht="15" customHeight="1" x14ac:dyDescent="0.25">
      <c r="AA470" s="28" t="str">
        <f t="shared" si="7"/>
        <v/>
      </c>
    </row>
    <row r="471" spans="7:27" ht="15" customHeight="1" x14ac:dyDescent="0.25">
      <c r="G471" s="54"/>
      <c r="S471" s="37"/>
      <c r="T471" s="37"/>
      <c r="W471" s="37"/>
      <c r="X471" s="37"/>
      <c r="AA471" s="28" t="str">
        <f t="shared" si="7"/>
        <v/>
      </c>
    </row>
    <row r="472" spans="7:27" ht="15" customHeight="1" x14ac:dyDescent="0.25">
      <c r="AA472" s="28" t="str">
        <f t="shared" si="7"/>
        <v/>
      </c>
    </row>
    <row r="473" spans="7:27" ht="15" customHeight="1" x14ac:dyDescent="0.25">
      <c r="G473" s="54"/>
      <c r="S473" s="37"/>
      <c r="T473" s="37"/>
      <c r="W473" s="37"/>
      <c r="X473" s="37"/>
      <c r="AA473" s="28" t="str">
        <f t="shared" si="7"/>
        <v/>
      </c>
    </row>
    <row r="474" spans="7:27" ht="15" customHeight="1" x14ac:dyDescent="0.25">
      <c r="AA474" s="28" t="str">
        <f t="shared" si="7"/>
        <v/>
      </c>
    </row>
    <row r="475" spans="7:27" ht="15" customHeight="1" x14ac:dyDescent="0.25">
      <c r="G475" s="54"/>
      <c r="S475" s="37"/>
      <c r="T475" s="37"/>
      <c r="W475" s="37"/>
      <c r="X475" s="37"/>
      <c r="AA475" s="28" t="str">
        <f t="shared" si="7"/>
        <v/>
      </c>
    </row>
    <row r="476" spans="7:27" ht="15" customHeight="1" x14ac:dyDescent="0.25">
      <c r="AA476" s="28" t="str">
        <f t="shared" si="7"/>
        <v/>
      </c>
    </row>
    <row r="477" spans="7:27" ht="15" customHeight="1" x14ac:dyDescent="0.25">
      <c r="G477" s="54"/>
      <c r="S477" s="37"/>
      <c r="T477" s="37"/>
      <c r="W477" s="37"/>
      <c r="X477" s="37"/>
      <c r="AA477" s="28" t="str">
        <f t="shared" si="7"/>
        <v/>
      </c>
    </row>
    <row r="478" spans="7:27" ht="15" customHeight="1" x14ac:dyDescent="0.25">
      <c r="AA478" s="28" t="str">
        <f t="shared" si="7"/>
        <v/>
      </c>
    </row>
    <row r="479" spans="7:27" ht="15" customHeight="1" x14ac:dyDescent="0.25">
      <c r="G479" s="54"/>
      <c r="S479" s="37"/>
      <c r="T479" s="37"/>
      <c r="W479" s="37"/>
      <c r="X479" s="37"/>
      <c r="AA479" s="28" t="str">
        <f t="shared" si="7"/>
        <v/>
      </c>
    </row>
    <row r="480" spans="7:27" ht="15" customHeight="1" x14ac:dyDescent="0.25">
      <c r="AA480" s="28" t="str">
        <f t="shared" si="7"/>
        <v/>
      </c>
    </row>
    <row r="481" spans="7:27" ht="15" customHeight="1" x14ac:dyDescent="0.25">
      <c r="G481" s="54"/>
      <c r="S481" s="37"/>
      <c r="T481" s="37"/>
      <c r="W481" s="37"/>
      <c r="X481" s="37"/>
      <c r="AA481" s="28" t="str">
        <f t="shared" si="7"/>
        <v/>
      </c>
    </row>
    <row r="482" spans="7:27" ht="15" customHeight="1" x14ac:dyDescent="0.25">
      <c r="AA482" s="28" t="str">
        <f t="shared" si="7"/>
        <v/>
      </c>
    </row>
    <row r="483" spans="7:27" ht="15" customHeight="1" x14ac:dyDescent="0.25">
      <c r="G483" s="54"/>
      <c r="S483" s="37"/>
      <c r="T483" s="37"/>
      <c r="W483" s="37"/>
      <c r="X483" s="37"/>
      <c r="AA483" s="28" t="str">
        <f t="shared" si="7"/>
        <v/>
      </c>
    </row>
    <row r="484" spans="7:27" ht="15" customHeight="1" x14ac:dyDescent="0.25">
      <c r="AA484" s="28" t="str">
        <f t="shared" si="7"/>
        <v/>
      </c>
    </row>
    <row r="485" spans="7:27" ht="15" customHeight="1" x14ac:dyDescent="0.25">
      <c r="G485" s="54"/>
      <c r="S485" s="37"/>
      <c r="T485" s="37"/>
      <c r="W485" s="37"/>
      <c r="X485" s="37"/>
      <c r="AA485" s="28" t="str">
        <f t="shared" si="7"/>
        <v/>
      </c>
    </row>
    <row r="486" spans="7:27" ht="15" customHeight="1" x14ac:dyDescent="0.25">
      <c r="AA486" s="28" t="str">
        <f t="shared" si="7"/>
        <v/>
      </c>
    </row>
    <row r="487" spans="7:27" ht="15" customHeight="1" x14ac:dyDescent="0.25">
      <c r="G487" s="54"/>
      <c r="S487" s="37"/>
      <c r="T487" s="37"/>
      <c r="W487" s="37"/>
      <c r="X487" s="37"/>
      <c r="AA487" s="28" t="str">
        <f t="shared" si="7"/>
        <v/>
      </c>
    </row>
    <row r="488" spans="7:27" ht="15" customHeight="1" x14ac:dyDescent="0.25">
      <c r="AA488" s="28" t="str">
        <f t="shared" si="7"/>
        <v/>
      </c>
    </row>
    <row r="489" spans="7:27" ht="15" customHeight="1" x14ac:dyDescent="0.25">
      <c r="G489" s="54"/>
      <c r="S489" s="37"/>
      <c r="T489" s="37"/>
      <c r="W489" s="37"/>
      <c r="X489" s="37"/>
      <c r="AA489" s="28" t="str">
        <f t="shared" si="7"/>
        <v/>
      </c>
    </row>
    <row r="490" spans="7:27" ht="15" customHeight="1" x14ac:dyDescent="0.25">
      <c r="AA490" s="28" t="str">
        <f t="shared" si="7"/>
        <v/>
      </c>
    </row>
    <row r="491" spans="7:27" ht="15" customHeight="1" x14ac:dyDescent="0.25">
      <c r="G491" s="54"/>
      <c r="S491" s="37"/>
      <c r="T491" s="37"/>
      <c r="W491" s="37"/>
      <c r="X491" s="37"/>
      <c r="AA491" s="28" t="str">
        <f t="shared" si="7"/>
        <v/>
      </c>
    </row>
    <row r="492" spans="7:27" ht="15" customHeight="1" x14ac:dyDescent="0.25">
      <c r="AA492" s="28" t="str">
        <f t="shared" si="7"/>
        <v/>
      </c>
    </row>
    <row r="493" spans="7:27" ht="15" customHeight="1" x14ac:dyDescent="0.25">
      <c r="G493" s="54"/>
      <c r="S493" s="37"/>
      <c r="T493" s="37"/>
      <c r="W493" s="37"/>
      <c r="X493" s="37"/>
      <c r="AA493" s="28" t="str">
        <f t="shared" si="7"/>
        <v/>
      </c>
    </row>
    <row r="494" spans="7:27" ht="15" customHeight="1" x14ac:dyDescent="0.25">
      <c r="AA494" s="28" t="str">
        <f t="shared" si="7"/>
        <v/>
      </c>
    </row>
    <row r="495" spans="7:27" ht="15" customHeight="1" x14ac:dyDescent="0.25">
      <c r="G495" s="54"/>
      <c r="S495" s="37"/>
      <c r="T495" s="37"/>
      <c r="W495" s="37"/>
      <c r="X495" s="37"/>
      <c r="AA495" s="28" t="str">
        <f t="shared" si="7"/>
        <v/>
      </c>
    </row>
    <row r="496" spans="7:27" ht="15" customHeight="1" x14ac:dyDescent="0.25">
      <c r="AA496" s="28" t="str">
        <f t="shared" si="7"/>
        <v/>
      </c>
    </row>
    <row r="497" spans="7:27" ht="15" customHeight="1" x14ac:dyDescent="0.25">
      <c r="G497" s="54"/>
      <c r="S497" s="37"/>
      <c r="T497" s="37"/>
      <c r="W497" s="37"/>
      <c r="X497" s="37"/>
      <c r="AA497" s="28" t="str">
        <f t="shared" si="7"/>
        <v/>
      </c>
    </row>
    <row r="498" spans="7:27" ht="15" customHeight="1" x14ac:dyDescent="0.25">
      <c r="AA498" s="28" t="str">
        <f t="shared" si="7"/>
        <v/>
      </c>
    </row>
    <row r="499" spans="7:27" ht="15" customHeight="1" x14ac:dyDescent="0.25">
      <c r="G499" s="54"/>
      <c r="S499" s="37"/>
      <c r="T499" s="37"/>
      <c r="W499" s="37"/>
      <c r="X499" s="37"/>
      <c r="AA499" s="28" t="str">
        <f t="shared" si="7"/>
        <v/>
      </c>
    </row>
    <row r="500" spans="7:27" ht="15" customHeight="1" x14ac:dyDescent="0.25">
      <c r="AA500" s="28" t="str">
        <f t="shared" si="7"/>
        <v/>
      </c>
    </row>
    <row r="501" spans="7:27" ht="15" customHeight="1" x14ac:dyDescent="0.25">
      <c r="G501" s="54"/>
      <c r="S501" s="37"/>
      <c r="T501" s="37"/>
      <c r="W501" s="37"/>
      <c r="X501" s="37"/>
      <c r="AA501" s="28" t="str">
        <f t="shared" si="7"/>
        <v/>
      </c>
    </row>
    <row r="502" spans="7:27" ht="15" customHeight="1" x14ac:dyDescent="0.25">
      <c r="AA502" s="28" t="str">
        <f t="shared" si="7"/>
        <v/>
      </c>
    </row>
    <row r="503" spans="7:27" ht="15" customHeight="1" x14ac:dyDescent="0.25">
      <c r="G503" s="54"/>
      <c r="S503" s="37"/>
      <c r="T503" s="37"/>
      <c r="W503" s="37"/>
      <c r="X503" s="37"/>
      <c r="AA503" s="28" t="str">
        <f t="shared" si="7"/>
        <v/>
      </c>
    </row>
    <row r="504" spans="7:27" ht="15" customHeight="1" x14ac:dyDescent="0.25">
      <c r="AA504" s="28" t="str">
        <f t="shared" si="7"/>
        <v/>
      </c>
    </row>
    <row r="505" spans="7:27" ht="15" customHeight="1" x14ac:dyDescent="0.25">
      <c r="G505" s="54"/>
      <c r="S505" s="37"/>
      <c r="T505" s="37"/>
      <c r="W505" s="37"/>
      <c r="X505" s="37"/>
      <c r="AA505" s="28" t="str">
        <f t="shared" si="7"/>
        <v/>
      </c>
    </row>
    <row r="506" spans="7:27" ht="15" customHeight="1" x14ac:dyDescent="0.25">
      <c r="G506" s="54"/>
      <c r="S506" s="37"/>
      <c r="T506" s="37"/>
      <c r="W506" s="37"/>
      <c r="X506" s="37"/>
      <c r="AA506" s="28" t="str">
        <f t="shared" si="7"/>
        <v/>
      </c>
    </row>
    <row r="507" spans="7:27" ht="15" customHeight="1" x14ac:dyDescent="0.25">
      <c r="AA507" s="28" t="str">
        <f t="shared" si="7"/>
        <v/>
      </c>
    </row>
    <row r="508" spans="7:27" ht="15" customHeight="1" x14ac:dyDescent="0.25">
      <c r="G508" s="54"/>
      <c r="S508" s="37"/>
      <c r="T508" s="37"/>
      <c r="W508" s="37"/>
      <c r="X508" s="37"/>
      <c r="AA508" s="28" t="str">
        <f t="shared" si="7"/>
        <v/>
      </c>
    </row>
    <row r="509" spans="7:27" ht="15" customHeight="1" x14ac:dyDescent="0.25">
      <c r="AA509" s="28" t="str">
        <f t="shared" si="7"/>
        <v/>
      </c>
    </row>
    <row r="510" spans="7:27" ht="15" customHeight="1" x14ac:dyDescent="0.25">
      <c r="G510" s="54"/>
      <c r="S510" s="37"/>
      <c r="T510" s="37"/>
      <c r="W510" s="37"/>
      <c r="X510" s="37"/>
      <c r="AA510" s="28" t="str">
        <f t="shared" si="7"/>
        <v/>
      </c>
    </row>
    <row r="511" spans="7:27" ht="15" customHeight="1" x14ac:dyDescent="0.25">
      <c r="AA511" s="28" t="str">
        <f t="shared" si="7"/>
        <v/>
      </c>
    </row>
    <row r="512" spans="7:27" ht="15" customHeight="1" x14ac:dyDescent="0.25">
      <c r="G512" s="54"/>
      <c r="S512" s="37"/>
      <c r="T512" s="37"/>
      <c r="W512" s="37"/>
      <c r="X512" s="37"/>
      <c r="AA512" s="28" t="str">
        <f t="shared" si="7"/>
        <v/>
      </c>
    </row>
    <row r="513" spans="7:27" ht="15" customHeight="1" x14ac:dyDescent="0.25">
      <c r="AA513" s="28" t="str">
        <f t="shared" si="7"/>
        <v/>
      </c>
    </row>
    <row r="514" spans="7:27" ht="15" customHeight="1" x14ac:dyDescent="0.25">
      <c r="G514" s="54"/>
      <c r="S514" s="37"/>
      <c r="T514" s="37"/>
      <c r="W514" s="37"/>
      <c r="X514" s="37"/>
      <c r="AA514" s="28" t="str">
        <f t="shared" si="7"/>
        <v/>
      </c>
    </row>
    <row r="515" spans="7:27" ht="15" customHeight="1" x14ac:dyDescent="0.25">
      <c r="AA515" s="28" t="str">
        <f t="shared" si="7"/>
        <v/>
      </c>
    </row>
    <row r="516" spans="7:27" ht="15" customHeight="1" x14ac:dyDescent="0.25">
      <c r="G516" s="54"/>
      <c r="S516" s="37"/>
      <c r="T516" s="37"/>
      <c r="W516" s="37"/>
      <c r="X516" s="37"/>
      <c r="AA516" s="28" t="str">
        <f t="shared" si="7"/>
        <v/>
      </c>
    </row>
    <row r="517" spans="7:27" ht="15" customHeight="1" x14ac:dyDescent="0.25">
      <c r="AA517" s="28" t="str">
        <f t="shared" si="7"/>
        <v/>
      </c>
    </row>
    <row r="518" spans="7:27" ht="15" customHeight="1" x14ac:dyDescent="0.25">
      <c r="G518" s="54"/>
      <c r="S518" s="37"/>
      <c r="T518" s="37"/>
      <c r="W518" s="37"/>
      <c r="X518" s="37"/>
      <c r="AA518" s="28" t="str">
        <f t="shared" si="7"/>
        <v/>
      </c>
    </row>
    <row r="519" spans="7:27" ht="15" customHeight="1" x14ac:dyDescent="0.25">
      <c r="AA519" s="28" t="str">
        <f t="shared" si="7"/>
        <v/>
      </c>
    </row>
    <row r="520" spans="7:27" ht="15" customHeight="1" x14ac:dyDescent="0.25">
      <c r="G520" s="54"/>
      <c r="S520" s="37"/>
      <c r="T520" s="37"/>
      <c r="W520" s="37"/>
      <c r="X520" s="37"/>
      <c r="AA520" s="28" t="str">
        <f t="shared" ref="AA520:AA583" si="8">IFERROR(
IF(AND(X520="Não",Y520="Sim"),"REP",
IF(AND(X520="Sim",Y520="Não"),"Técnico",
IF(AND(X520="Sim",Y520="Sim"),"Ambos",""))),
"")</f>
        <v/>
      </c>
    </row>
    <row r="521" spans="7:27" ht="15" customHeight="1" x14ac:dyDescent="0.25">
      <c r="AA521" s="28" t="str">
        <f t="shared" si="8"/>
        <v/>
      </c>
    </row>
    <row r="522" spans="7:27" ht="15" customHeight="1" x14ac:dyDescent="0.25">
      <c r="G522" s="54"/>
      <c r="S522" s="37"/>
      <c r="T522" s="37"/>
      <c r="W522" s="37"/>
      <c r="X522" s="37"/>
      <c r="AA522" s="28" t="str">
        <f t="shared" si="8"/>
        <v/>
      </c>
    </row>
    <row r="523" spans="7:27" ht="15" customHeight="1" x14ac:dyDescent="0.25">
      <c r="AA523" s="28" t="str">
        <f t="shared" si="8"/>
        <v/>
      </c>
    </row>
    <row r="524" spans="7:27" ht="15" customHeight="1" x14ac:dyDescent="0.25">
      <c r="G524" s="54"/>
      <c r="S524" s="37"/>
      <c r="T524" s="37"/>
      <c r="W524" s="37"/>
      <c r="X524" s="37"/>
      <c r="AA524" s="28" t="str">
        <f t="shared" si="8"/>
        <v/>
      </c>
    </row>
    <row r="525" spans="7:27" ht="15" customHeight="1" x14ac:dyDescent="0.25">
      <c r="AA525" s="28" t="str">
        <f t="shared" si="8"/>
        <v/>
      </c>
    </row>
    <row r="526" spans="7:27" ht="15" customHeight="1" x14ac:dyDescent="0.25">
      <c r="G526" s="54"/>
      <c r="S526" s="37"/>
      <c r="T526" s="37"/>
      <c r="W526" s="37"/>
      <c r="X526" s="37"/>
      <c r="AA526" s="28" t="str">
        <f t="shared" si="8"/>
        <v/>
      </c>
    </row>
    <row r="527" spans="7:27" ht="15" customHeight="1" x14ac:dyDescent="0.25">
      <c r="AA527" s="28" t="str">
        <f t="shared" si="8"/>
        <v/>
      </c>
    </row>
    <row r="528" spans="7:27" ht="15" customHeight="1" x14ac:dyDescent="0.25">
      <c r="G528" s="54"/>
      <c r="S528" s="37"/>
      <c r="T528" s="37"/>
      <c r="W528" s="37"/>
      <c r="X528" s="37"/>
      <c r="AA528" s="28" t="str">
        <f t="shared" si="8"/>
        <v/>
      </c>
    </row>
    <row r="529" spans="7:27" ht="15" customHeight="1" x14ac:dyDescent="0.25">
      <c r="AA529" s="28" t="str">
        <f t="shared" si="8"/>
        <v/>
      </c>
    </row>
    <row r="530" spans="7:27" ht="15" customHeight="1" x14ac:dyDescent="0.25">
      <c r="G530" s="54"/>
      <c r="S530" s="37"/>
      <c r="T530" s="37"/>
      <c r="W530" s="37"/>
      <c r="X530" s="37"/>
      <c r="AA530" s="28" t="str">
        <f t="shared" si="8"/>
        <v/>
      </c>
    </row>
    <row r="531" spans="7:27" ht="15" customHeight="1" x14ac:dyDescent="0.25">
      <c r="AA531" s="28" t="str">
        <f t="shared" si="8"/>
        <v/>
      </c>
    </row>
    <row r="532" spans="7:27" ht="15" customHeight="1" x14ac:dyDescent="0.25">
      <c r="S532" s="37"/>
      <c r="T532" s="37"/>
      <c r="W532" s="37"/>
      <c r="X532" s="37"/>
      <c r="AA532" s="28" t="str">
        <f t="shared" si="8"/>
        <v/>
      </c>
    </row>
    <row r="533" spans="7:27" ht="15" customHeight="1" x14ac:dyDescent="0.25">
      <c r="AA533" s="28" t="str">
        <f t="shared" si="8"/>
        <v/>
      </c>
    </row>
    <row r="534" spans="7:27" ht="15" customHeight="1" x14ac:dyDescent="0.25">
      <c r="G534" s="54"/>
      <c r="S534" s="37"/>
      <c r="T534" s="37"/>
      <c r="W534" s="37"/>
      <c r="X534" s="37"/>
      <c r="AA534" s="28" t="str">
        <f t="shared" si="8"/>
        <v/>
      </c>
    </row>
    <row r="535" spans="7:27" ht="15" customHeight="1" x14ac:dyDescent="0.25">
      <c r="AA535" s="28" t="str">
        <f t="shared" si="8"/>
        <v/>
      </c>
    </row>
    <row r="536" spans="7:27" ht="15" customHeight="1" x14ac:dyDescent="0.25">
      <c r="G536" s="54"/>
      <c r="S536" s="37"/>
      <c r="T536" s="37"/>
      <c r="W536" s="37"/>
      <c r="X536" s="37"/>
      <c r="AA536" s="28" t="str">
        <f t="shared" si="8"/>
        <v/>
      </c>
    </row>
    <row r="537" spans="7:27" ht="15" customHeight="1" x14ac:dyDescent="0.25">
      <c r="AA537" s="28" t="str">
        <f t="shared" si="8"/>
        <v/>
      </c>
    </row>
    <row r="538" spans="7:27" ht="15" customHeight="1" x14ac:dyDescent="0.25">
      <c r="G538" s="54"/>
      <c r="S538" s="37"/>
      <c r="T538" s="37"/>
      <c r="W538" s="37"/>
      <c r="X538" s="37"/>
      <c r="AA538" s="28" t="str">
        <f t="shared" si="8"/>
        <v/>
      </c>
    </row>
    <row r="539" spans="7:27" ht="15" customHeight="1" x14ac:dyDescent="0.25">
      <c r="AA539" s="28" t="str">
        <f t="shared" si="8"/>
        <v/>
      </c>
    </row>
    <row r="540" spans="7:27" ht="15" customHeight="1" x14ac:dyDescent="0.25">
      <c r="G540" s="54"/>
      <c r="S540" s="37"/>
      <c r="T540" s="37"/>
      <c r="W540" s="37"/>
      <c r="X540" s="37"/>
      <c r="AA540" s="28" t="str">
        <f t="shared" si="8"/>
        <v/>
      </c>
    </row>
    <row r="541" spans="7:27" ht="15" customHeight="1" x14ac:dyDescent="0.25">
      <c r="AA541" s="28" t="str">
        <f t="shared" si="8"/>
        <v/>
      </c>
    </row>
    <row r="542" spans="7:27" ht="15" customHeight="1" x14ac:dyDescent="0.25">
      <c r="G542" s="54"/>
      <c r="S542" s="37"/>
      <c r="T542" s="37"/>
      <c r="W542" s="37"/>
      <c r="X542" s="37"/>
      <c r="AA542" s="28" t="str">
        <f t="shared" si="8"/>
        <v/>
      </c>
    </row>
    <row r="543" spans="7:27" ht="15" customHeight="1" x14ac:dyDescent="0.25">
      <c r="AA543" s="28" t="str">
        <f t="shared" si="8"/>
        <v/>
      </c>
    </row>
    <row r="544" spans="7:27" ht="15" customHeight="1" x14ac:dyDescent="0.25">
      <c r="G544" s="54"/>
      <c r="S544" s="37"/>
      <c r="T544" s="37"/>
      <c r="W544" s="37"/>
      <c r="X544" s="37"/>
      <c r="AA544" s="28" t="str">
        <f t="shared" si="8"/>
        <v/>
      </c>
    </row>
    <row r="545" spans="7:27" ht="15" customHeight="1" x14ac:dyDescent="0.25">
      <c r="AA545" s="28" t="str">
        <f t="shared" si="8"/>
        <v/>
      </c>
    </row>
    <row r="546" spans="7:27" ht="15" customHeight="1" x14ac:dyDescent="0.25">
      <c r="G546" s="54"/>
      <c r="S546" s="37"/>
      <c r="T546" s="37"/>
      <c r="W546" s="37"/>
      <c r="X546" s="37"/>
      <c r="AA546" s="28" t="str">
        <f t="shared" si="8"/>
        <v/>
      </c>
    </row>
    <row r="547" spans="7:27" ht="15" customHeight="1" x14ac:dyDescent="0.25">
      <c r="AA547" s="28" t="str">
        <f t="shared" si="8"/>
        <v/>
      </c>
    </row>
    <row r="548" spans="7:27" ht="15" customHeight="1" x14ac:dyDescent="0.25">
      <c r="S548" s="37"/>
      <c r="T548" s="37"/>
      <c r="W548" s="37"/>
      <c r="X548" s="37"/>
      <c r="AA548" s="28" t="str">
        <f t="shared" si="8"/>
        <v/>
      </c>
    </row>
    <row r="549" spans="7:27" ht="15" customHeight="1" x14ac:dyDescent="0.25">
      <c r="AA549" s="28" t="str">
        <f t="shared" si="8"/>
        <v/>
      </c>
    </row>
    <row r="550" spans="7:27" ht="15" customHeight="1" x14ac:dyDescent="0.25">
      <c r="G550" s="54"/>
      <c r="S550" s="37"/>
      <c r="T550" s="37"/>
      <c r="W550" s="37"/>
      <c r="X550" s="37"/>
      <c r="AA550" s="28" t="str">
        <f t="shared" si="8"/>
        <v/>
      </c>
    </row>
    <row r="551" spans="7:27" ht="15" customHeight="1" x14ac:dyDescent="0.25">
      <c r="AA551" s="28" t="str">
        <f t="shared" si="8"/>
        <v/>
      </c>
    </row>
    <row r="552" spans="7:27" ht="15" customHeight="1" x14ac:dyDescent="0.25">
      <c r="G552" s="54"/>
      <c r="S552" s="37"/>
      <c r="T552" s="37"/>
      <c r="W552" s="37"/>
      <c r="X552" s="37"/>
      <c r="AA552" s="28" t="str">
        <f t="shared" si="8"/>
        <v/>
      </c>
    </row>
    <row r="553" spans="7:27" ht="15" customHeight="1" x14ac:dyDescent="0.25">
      <c r="AA553" s="28" t="str">
        <f t="shared" si="8"/>
        <v/>
      </c>
    </row>
    <row r="554" spans="7:27" ht="15" customHeight="1" x14ac:dyDescent="0.25">
      <c r="G554" s="54"/>
      <c r="S554" s="37"/>
      <c r="T554" s="37"/>
      <c r="W554" s="37"/>
      <c r="X554" s="37"/>
      <c r="AA554" s="28" t="str">
        <f t="shared" si="8"/>
        <v/>
      </c>
    </row>
    <row r="555" spans="7:27" ht="15" customHeight="1" x14ac:dyDescent="0.25">
      <c r="AA555" s="28" t="str">
        <f t="shared" si="8"/>
        <v/>
      </c>
    </row>
    <row r="556" spans="7:27" ht="15" customHeight="1" x14ac:dyDescent="0.25">
      <c r="G556" s="54"/>
      <c r="S556" s="37"/>
      <c r="T556" s="37"/>
      <c r="W556" s="37"/>
      <c r="X556" s="37"/>
      <c r="AA556" s="28" t="str">
        <f t="shared" si="8"/>
        <v/>
      </c>
    </row>
    <row r="557" spans="7:27" ht="15" customHeight="1" x14ac:dyDescent="0.25">
      <c r="AA557" s="28" t="str">
        <f t="shared" si="8"/>
        <v/>
      </c>
    </row>
    <row r="558" spans="7:27" ht="15" customHeight="1" x14ac:dyDescent="0.25">
      <c r="G558" s="54"/>
      <c r="S558" s="37"/>
      <c r="T558" s="37"/>
      <c r="W558" s="37"/>
      <c r="X558" s="37"/>
      <c r="AA558" s="28" t="str">
        <f t="shared" si="8"/>
        <v/>
      </c>
    </row>
    <row r="559" spans="7:27" ht="15" customHeight="1" x14ac:dyDescent="0.25">
      <c r="AA559" s="28" t="str">
        <f t="shared" si="8"/>
        <v/>
      </c>
    </row>
    <row r="560" spans="7:27" ht="15" customHeight="1" x14ac:dyDescent="0.25">
      <c r="G560" s="54"/>
      <c r="S560" s="37"/>
      <c r="T560" s="37"/>
      <c r="W560" s="37"/>
      <c r="X560" s="37"/>
      <c r="AA560" s="28" t="str">
        <f t="shared" si="8"/>
        <v/>
      </c>
    </row>
    <row r="561" spans="7:27" ht="15" customHeight="1" x14ac:dyDescent="0.25">
      <c r="AA561" s="28" t="str">
        <f t="shared" si="8"/>
        <v/>
      </c>
    </row>
    <row r="562" spans="7:27" ht="15" customHeight="1" x14ac:dyDescent="0.25">
      <c r="G562" s="54"/>
      <c r="S562" s="37"/>
      <c r="T562" s="37"/>
      <c r="W562" s="37"/>
      <c r="X562" s="37"/>
      <c r="AA562" s="28" t="str">
        <f t="shared" si="8"/>
        <v/>
      </c>
    </row>
    <row r="563" spans="7:27" ht="15" customHeight="1" x14ac:dyDescent="0.25">
      <c r="AA563" s="28" t="str">
        <f t="shared" si="8"/>
        <v/>
      </c>
    </row>
    <row r="564" spans="7:27" ht="15" customHeight="1" x14ac:dyDescent="0.25">
      <c r="G564" s="54"/>
      <c r="S564" s="37"/>
      <c r="T564" s="37"/>
      <c r="W564" s="37"/>
      <c r="X564" s="37"/>
      <c r="AA564" s="28" t="str">
        <f t="shared" si="8"/>
        <v/>
      </c>
    </row>
    <row r="565" spans="7:27" ht="15" customHeight="1" x14ac:dyDescent="0.25">
      <c r="AA565" s="28" t="str">
        <f t="shared" si="8"/>
        <v/>
      </c>
    </row>
    <row r="566" spans="7:27" ht="15" customHeight="1" x14ac:dyDescent="0.25">
      <c r="G566" s="54"/>
      <c r="S566" s="37"/>
      <c r="T566" s="37"/>
      <c r="W566" s="37"/>
      <c r="X566" s="37"/>
      <c r="AA566" s="28" t="str">
        <f t="shared" si="8"/>
        <v/>
      </c>
    </row>
    <row r="567" spans="7:27" ht="15" customHeight="1" x14ac:dyDescent="0.25">
      <c r="AA567" s="28" t="str">
        <f t="shared" si="8"/>
        <v/>
      </c>
    </row>
    <row r="568" spans="7:27" ht="15" customHeight="1" x14ac:dyDescent="0.25">
      <c r="G568" s="54"/>
      <c r="S568" s="37"/>
      <c r="T568" s="37"/>
      <c r="W568" s="37"/>
      <c r="X568" s="37"/>
      <c r="AA568" s="28" t="str">
        <f t="shared" si="8"/>
        <v/>
      </c>
    </row>
    <row r="569" spans="7:27" ht="15" customHeight="1" x14ac:dyDescent="0.25">
      <c r="AA569" s="28" t="str">
        <f t="shared" si="8"/>
        <v/>
      </c>
    </row>
    <row r="570" spans="7:27" ht="15" customHeight="1" x14ac:dyDescent="0.25">
      <c r="G570" s="54"/>
      <c r="S570" s="37"/>
      <c r="T570" s="37"/>
      <c r="W570" s="37"/>
      <c r="X570" s="37"/>
      <c r="AA570" s="28" t="str">
        <f t="shared" si="8"/>
        <v/>
      </c>
    </row>
    <row r="571" spans="7:27" ht="15" customHeight="1" x14ac:dyDescent="0.25">
      <c r="AA571" s="28" t="str">
        <f t="shared" si="8"/>
        <v/>
      </c>
    </row>
    <row r="572" spans="7:27" ht="15" customHeight="1" x14ac:dyDescent="0.25">
      <c r="G572" s="54"/>
      <c r="S572" s="37"/>
      <c r="T572" s="37"/>
      <c r="W572" s="37"/>
      <c r="X572" s="37"/>
      <c r="AA572" s="28" t="str">
        <f t="shared" si="8"/>
        <v/>
      </c>
    </row>
    <row r="573" spans="7:27" ht="15" customHeight="1" x14ac:dyDescent="0.25">
      <c r="AA573" s="28" t="str">
        <f t="shared" si="8"/>
        <v/>
      </c>
    </row>
    <row r="574" spans="7:27" ht="15" customHeight="1" x14ac:dyDescent="0.25">
      <c r="G574" s="54"/>
      <c r="S574" s="37"/>
      <c r="T574" s="37"/>
      <c r="W574" s="37"/>
      <c r="X574" s="37"/>
      <c r="AA574" s="28" t="str">
        <f t="shared" si="8"/>
        <v/>
      </c>
    </row>
    <row r="575" spans="7:27" ht="15" customHeight="1" x14ac:dyDescent="0.25">
      <c r="AA575" s="28" t="str">
        <f t="shared" si="8"/>
        <v/>
      </c>
    </row>
    <row r="576" spans="7:27" ht="15" customHeight="1" x14ac:dyDescent="0.25">
      <c r="G576" s="54"/>
      <c r="S576" s="37"/>
      <c r="T576" s="37"/>
      <c r="W576" s="37"/>
      <c r="X576" s="37"/>
      <c r="AA576" s="28" t="str">
        <f t="shared" si="8"/>
        <v/>
      </c>
    </row>
    <row r="577" spans="7:27" ht="15" customHeight="1" x14ac:dyDescent="0.25">
      <c r="AA577" s="28" t="str">
        <f t="shared" si="8"/>
        <v/>
      </c>
    </row>
    <row r="578" spans="7:27" ht="15" customHeight="1" x14ac:dyDescent="0.25">
      <c r="G578" s="54"/>
      <c r="S578" s="37"/>
      <c r="T578" s="37"/>
      <c r="W578" s="37"/>
      <c r="X578" s="37"/>
      <c r="AA578" s="28" t="str">
        <f t="shared" si="8"/>
        <v/>
      </c>
    </row>
    <row r="579" spans="7:27" ht="15" customHeight="1" x14ac:dyDescent="0.25">
      <c r="G579" s="54"/>
      <c r="S579" s="37"/>
      <c r="T579" s="37"/>
      <c r="W579" s="37"/>
      <c r="X579" s="37"/>
      <c r="AA579" s="28" t="str">
        <f t="shared" si="8"/>
        <v/>
      </c>
    </row>
    <row r="580" spans="7:27" ht="15" customHeight="1" x14ac:dyDescent="0.25">
      <c r="AA580" s="28" t="str">
        <f t="shared" si="8"/>
        <v/>
      </c>
    </row>
    <row r="581" spans="7:27" ht="15" customHeight="1" x14ac:dyDescent="0.25">
      <c r="G581" s="54"/>
      <c r="S581" s="37"/>
      <c r="T581" s="37"/>
      <c r="W581" s="37"/>
      <c r="X581" s="37"/>
      <c r="AA581" s="28" t="str">
        <f t="shared" si="8"/>
        <v/>
      </c>
    </row>
    <row r="582" spans="7:27" ht="15" customHeight="1" x14ac:dyDescent="0.25">
      <c r="AA582" s="28" t="str">
        <f t="shared" si="8"/>
        <v/>
      </c>
    </row>
    <row r="583" spans="7:27" ht="15" customHeight="1" x14ac:dyDescent="0.25">
      <c r="G583" s="54"/>
      <c r="S583" s="37"/>
      <c r="T583" s="37"/>
      <c r="W583" s="37"/>
      <c r="X583" s="37"/>
      <c r="AA583" s="28" t="str">
        <f t="shared" si="8"/>
        <v/>
      </c>
    </row>
    <row r="584" spans="7:27" ht="15" customHeight="1" x14ac:dyDescent="0.25">
      <c r="AA584" s="28" t="str">
        <f t="shared" ref="AA584:AA647" si="9">IFERROR(
IF(AND(X584="Não",Y584="Sim"),"REP",
IF(AND(X584="Sim",Y584="Não"),"Técnico",
IF(AND(X584="Sim",Y584="Sim"),"Ambos",""))),
"")</f>
        <v/>
      </c>
    </row>
    <row r="585" spans="7:27" ht="15" customHeight="1" x14ac:dyDescent="0.25">
      <c r="G585" s="54"/>
      <c r="S585" s="37"/>
      <c r="T585" s="37"/>
      <c r="W585" s="37"/>
      <c r="X585" s="37"/>
      <c r="AA585" s="28" t="str">
        <f t="shared" si="9"/>
        <v/>
      </c>
    </row>
    <row r="586" spans="7:27" ht="15" customHeight="1" x14ac:dyDescent="0.25">
      <c r="AA586" s="28" t="str">
        <f t="shared" si="9"/>
        <v/>
      </c>
    </row>
    <row r="587" spans="7:27" ht="15" customHeight="1" x14ac:dyDescent="0.25">
      <c r="S587" s="37"/>
      <c r="T587" s="37"/>
      <c r="W587" s="37"/>
      <c r="X587" s="37"/>
      <c r="AA587" s="28" t="str">
        <f t="shared" si="9"/>
        <v/>
      </c>
    </row>
    <row r="588" spans="7:27" ht="15" customHeight="1" x14ac:dyDescent="0.25">
      <c r="AA588" s="28" t="str">
        <f t="shared" si="9"/>
        <v/>
      </c>
    </row>
    <row r="589" spans="7:27" ht="15" customHeight="1" x14ac:dyDescent="0.25">
      <c r="G589" s="54"/>
      <c r="S589" s="37"/>
      <c r="T589" s="37"/>
      <c r="W589" s="37"/>
      <c r="X589" s="37"/>
      <c r="AA589" s="28" t="str">
        <f t="shared" si="9"/>
        <v/>
      </c>
    </row>
    <row r="590" spans="7:27" ht="15" customHeight="1" x14ac:dyDescent="0.25">
      <c r="AA590" s="28" t="str">
        <f t="shared" si="9"/>
        <v/>
      </c>
    </row>
    <row r="591" spans="7:27" ht="15" customHeight="1" x14ac:dyDescent="0.25">
      <c r="G591" s="54"/>
      <c r="S591" s="37"/>
      <c r="T591" s="37"/>
      <c r="W591" s="37"/>
      <c r="X591" s="37"/>
      <c r="AA591" s="28" t="str">
        <f t="shared" si="9"/>
        <v/>
      </c>
    </row>
    <row r="592" spans="7:27" ht="15" customHeight="1" x14ac:dyDescent="0.25">
      <c r="AA592" s="28" t="str">
        <f t="shared" si="9"/>
        <v/>
      </c>
    </row>
    <row r="593" spans="7:27" ht="15" customHeight="1" x14ac:dyDescent="0.25">
      <c r="G593" s="54"/>
      <c r="S593" s="37"/>
      <c r="T593" s="37"/>
      <c r="W593" s="37"/>
      <c r="X593" s="37"/>
      <c r="AA593" s="28" t="str">
        <f t="shared" si="9"/>
        <v/>
      </c>
    </row>
    <row r="594" spans="7:27" ht="15" customHeight="1" x14ac:dyDescent="0.25">
      <c r="AA594" s="28" t="str">
        <f t="shared" si="9"/>
        <v/>
      </c>
    </row>
    <row r="595" spans="7:27" ht="15" customHeight="1" x14ac:dyDescent="0.25">
      <c r="G595" s="54"/>
      <c r="S595" s="37"/>
      <c r="T595" s="37"/>
      <c r="W595" s="37"/>
      <c r="X595" s="37"/>
      <c r="AA595" s="28" t="str">
        <f t="shared" si="9"/>
        <v/>
      </c>
    </row>
    <row r="596" spans="7:27" ht="15" customHeight="1" x14ac:dyDescent="0.25">
      <c r="AA596" s="28" t="str">
        <f t="shared" si="9"/>
        <v/>
      </c>
    </row>
    <row r="597" spans="7:27" ht="15" customHeight="1" x14ac:dyDescent="0.25">
      <c r="G597" s="54"/>
      <c r="S597" s="37"/>
      <c r="T597" s="37"/>
      <c r="W597" s="37"/>
      <c r="X597" s="37"/>
      <c r="AA597" s="28" t="str">
        <f t="shared" si="9"/>
        <v/>
      </c>
    </row>
    <row r="598" spans="7:27" ht="15" customHeight="1" x14ac:dyDescent="0.25">
      <c r="AA598" s="28" t="str">
        <f t="shared" si="9"/>
        <v/>
      </c>
    </row>
    <row r="599" spans="7:27" ht="15" customHeight="1" x14ac:dyDescent="0.25">
      <c r="G599" s="54"/>
      <c r="S599" s="37"/>
      <c r="T599" s="37"/>
      <c r="W599" s="37"/>
      <c r="X599" s="37"/>
      <c r="AA599" s="28" t="str">
        <f t="shared" si="9"/>
        <v/>
      </c>
    </row>
    <row r="600" spans="7:27" ht="15" customHeight="1" x14ac:dyDescent="0.25">
      <c r="AA600" s="28" t="str">
        <f t="shared" si="9"/>
        <v/>
      </c>
    </row>
    <row r="601" spans="7:27" ht="15" customHeight="1" x14ac:dyDescent="0.25">
      <c r="S601" s="37"/>
      <c r="T601" s="37"/>
      <c r="W601" s="37"/>
      <c r="X601" s="37"/>
      <c r="AA601" s="28" t="str">
        <f t="shared" si="9"/>
        <v/>
      </c>
    </row>
    <row r="602" spans="7:27" ht="15" customHeight="1" x14ac:dyDescent="0.25">
      <c r="AA602" s="28" t="str">
        <f t="shared" si="9"/>
        <v/>
      </c>
    </row>
    <row r="603" spans="7:27" ht="15" customHeight="1" x14ac:dyDescent="0.25">
      <c r="G603" s="54"/>
      <c r="S603" s="37"/>
      <c r="T603" s="37"/>
      <c r="W603" s="37"/>
      <c r="X603" s="37"/>
      <c r="AA603" s="28" t="str">
        <f t="shared" si="9"/>
        <v/>
      </c>
    </row>
    <row r="604" spans="7:27" ht="15" customHeight="1" x14ac:dyDescent="0.25">
      <c r="AA604" s="28" t="str">
        <f t="shared" si="9"/>
        <v/>
      </c>
    </row>
    <row r="605" spans="7:27" ht="15" customHeight="1" x14ac:dyDescent="0.25">
      <c r="G605" s="54"/>
      <c r="S605" s="37"/>
      <c r="T605" s="37"/>
      <c r="W605" s="37"/>
      <c r="X605" s="37"/>
      <c r="AA605" s="28" t="str">
        <f t="shared" si="9"/>
        <v/>
      </c>
    </row>
    <row r="606" spans="7:27" ht="15" customHeight="1" x14ac:dyDescent="0.25">
      <c r="AA606" s="28" t="str">
        <f t="shared" si="9"/>
        <v/>
      </c>
    </row>
    <row r="607" spans="7:27" ht="15" customHeight="1" x14ac:dyDescent="0.25">
      <c r="G607" s="54"/>
      <c r="S607" s="37"/>
      <c r="T607" s="37"/>
      <c r="W607" s="37"/>
      <c r="X607" s="37"/>
      <c r="AA607" s="28" t="str">
        <f t="shared" si="9"/>
        <v/>
      </c>
    </row>
    <row r="608" spans="7:27" ht="15" customHeight="1" x14ac:dyDescent="0.25">
      <c r="AA608" s="28" t="str">
        <f t="shared" si="9"/>
        <v/>
      </c>
    </row>
    <row r="609" spans="7:27" ht="15" customHeight="1" x14ac:dyDescent="0.25">
      <c r="G609" s="54"/>
      <c r="S609" s="37"/>
      <c r="T609" s="37"/>
      <c r="W609" s="37"/>
      <c r="X609" s="37"/>
      <c r="AA609" s="28" t="str">
        <f t="shared" si="9"/>
        <v/>
      </c>
    </row>
    <row r="610" spans="7:27" ht="15" customHeight="1" x14ac:dyDescent="0.25">
      <c r="AA610" s="28" t="str">
        <f t="shared" si="9"/>
        <v/>
      </c>
    </row>
    <row r="611" spans="7:27" ht="15" customHeight="1" x14ac:dyDescent="0.25">
      <c r="G611" s="54"/>
      <c r="S611" s="37"/>
      <c r="T611" s="37"/>
      <c r="W611" s="37"/>
      <c r="X611" s="37"/>
      <c r="AA611" s="28" t="str">
        <f t="shared" si="9"/>
        <v/>
      </c>
    </row>
    <row r="612" spans="7:27" ht="15" customHeight="1" x14ac:dyDescent="0.25">
      <c r="AA612" s="28" t="str">
        <f t="shared" si="9"/>
        <v/>
      </c>
    </row>
    <row r="613" spans="7:27" ht="15" customHeight="1" x14ac:dyDescent="0.25">
      <c r="G613" s="54"/>
      <c r="S613" s="37"/>
      <c r="T613" s="37"/>
      <c r="W613" s="37"/>
      <c r="X613" s="37"/>
      <c r="AA613" s="28" t="str">
        <f t="shared" si="9"/>
        <v/>
      </c>
    </row>
    <row r="614" spans="7:27" ht="15" customHeight="1" x14ac:dyDescent="0.25">
      <c r="AA614" s="28" t="str">
        <f t="shared" si="9"/>
        <v/>
      </c>
    </row>
    <row r="615" spans="7:27" ht="15" customHeight="1" x14ac:dyDescent="0.25">
      <c r="G615" s="54"/>
      <c r="S615" s="37"/>
      <c r="T615" s="37"/>
      <c r="W615" s="37"/>
      <c r="X615" s="37"/>
      <c r="AA615" s="28" t="str">
        <f t="shared" si="9"/>
        <v/>
      </c>
    </row>
    <row r="616" spans="7:27" ht="15" customHeight="1" x14ac:dyDescent="0.25">
      <c r="AA616" s="28" t="str">
        <f t="shared" si="9"/>
        <v/>
      </c>
    </row>
    <row r="617" spans="7:27" ht="15" customHeight="1" x14ac:dyDescent="0.25">
      <c r="G617" s="54"/>
      <c r="S617" s="37"/>
      <c r="T617" s="37"/>
      <c r="W617" s="37"/>
      <c r="X617" s="37"/>
      <c r="AA617" s="28" t="str">
        <f t="shared" si="9"/>
        <v/>
      </c>
    </row>
    <row r="618" spans="7:27" ht="15" customHeight="1" x14ac:dyDescent="0.25">
      <c r="AA618" s="28" t="str">
        <f t="shared" si="9"/>
        <v/>
      </c>
    </row>
    <row r="619" spans="7:27" ht="15" customHeight="1" x14ac:dyDescent="0.25">
      <c r="G619" s="54"/>
      <c r="S619" s="37"/>
      <c r="T619" s="37"/>
      <c r="W619" s="37"/>
      <c r="X619" s="37"/>
      <c r="AA619" s="28" t="str">
        <f t="shared" si="9"/>
        <v/>
      </c>
    </row>
    <row r="620" spans="7:27" ht="15" customHeight="1" x14ac:dyDescent="0.25">
      <c r="AA620" s="28" t="str">
        <f t="shared" si="9"/>
        <v/>
      </c>
    </row>
    <row r="621" spans="7:27" ht="15" customHeight="1" x14ac:dyDescent="0.25">
      <c r="G621" s="54"/>
      <c r="S621" s="37"/>
      <c r="T621" s="37"/>
      <c r="W621" s="37"/>
      <c r="X621" s="37"/>
      <c r="AA621" s="28" t="str">
        <f t="shared" si="9"/>
        <v/>
      </c>
    </row>
    <row r="622" spans="7:27" ht="15" customHeight="1" x14ac:dyDescent="0.25">
      <c r="AA622" s="28" t="str">
        <f t="shared" si="9"/>
        <v/>
      </c>
    </row>
    <row r="623" spans="7:27" ht="15" customHeight="1" x14ac:dyDescent="0.25">
      <c r="G623" s="54"/>
      <c r="S623" s="37"/>
      <c r="T623" s="37"/>
      <c r="W623" s="37"/>
      <c r="X623" s="37"/>
      <c r="AA623" s="28" t="str">
        <f t="shared" si="9"/>
        <v/>
      </c>
    </row>
    <row r="624" spans="7:27" ht="15" customHeight="1" x14ac:dyDescent="0.25">
      <c r="AA624" s="28" t="str">
        <f t="shared" si="9"/>
        <v/>
      </c>
    </row>
    <row r="625" spans="7:27" ht="15" customHeight="1" x14ac:dyDescent="0.25">
      <c r="G625" s="54"/>
      <c r="S625" s="37"/>
      <c r="T625" s="37"/>
      <c r="W625" s="37"/>
      <c r="X625" s="37"/>
      <c r="AA625" s="28" t="str">
        <f t="shared" si="9"/>
        <v/>
      </c>
    </row>
    <row r="626" spans="7:27" ht="15" customHeight="1" x14ac:dyDescent="0.25">
      <c r="AA626" s="28" t="str">
        <f t="shared" si="9"/>
        <v/>
      </c>
    </row>
    <row r="627" spans="7:27" ht="15" customHeight="1" x14ac:dyDescent="0.25">
      <c r="G627" s="54"/>
      <c r="S627" s="37"/>
      <c r="T627" s="37"/>
      <c r="W627" s="37"/>
      <c r="X627" s="37"/>
      <c r="AA627" s="28" t="str">
        <f t="shared" si="9"/>
        <v/>
      </c>
    </row>
    <row r="628" spans="7:27" ht="15" customHeight="1" x14ac:dyDescent="0.25">
      <c r="AA628" s="28" t="str">
        <f t="shared" si="9"/>
        <v/>
      </c>
    </row>
    <row r="629" spans="7:27" ht="15" customHeight="1" x14ac:dyDescent="0.25">
      <c r="G629" s="54"/>
      <c r="S629" s="37"/>
      <c r="T629" s="37"/>
      <c r="W629" s="37"/>
      <c r="X629" s="37"/>
      <c r="AA629" s="28" t="str">
        <f t="shared" si="9"/>
        <v/>
      </c>
    </row>
    <row r="630" spans="7:27" ht="15" customHeight="1" x14ac:dyDescent="0.25">
      <c r="AA630" s="28" t="str">
        <f t="shared" si="9"/>
        <v/>
      </c>
    </row>
    <row r="631" spans="7:27" ht="15" customHeight="1" x14ac:dyDescent="0.25">
      <c r="G631" s="54"/>
      <c r="S631" s="37"/>
      <c r="T631" s="37"/>
      <c r="W631" s="37"/>
      <c r="X631" s="37"/>
      <c r="AA631" s="28" t="str">
        <f t="shared" si="9"/>
        <v/>
      </c>
    </row>
    <row r="632" spans="7:27" ht="15" customHeight="1" x14ac:dyDescent="0.25">
      <c r="AA632" s="28" t="str">
        <f t="shared" si="9"/>
        <v/>
      </c>
    </row>
    <row r="633" spans="7:27" ht="15" customHeight="1" x14ac:dyDescent="0.25">
      <c r="G633" s="54"/>
      <c r="S633" s="37"/>
      <c r="T633" s="37"/>
      <c r="W633" s="37"/>
      <c r="X633" s="37"/>
      <c r="AA633" s="28" t="str">
        <f t="shared" si="9"/>
        <v/>
      </c>
    </row>
    <row r="634" spans="7:27" ht="15" customHeight="1" x14ac:dyDescent="0.25">
      <c r="AA634" s="28" t="str">
        <f t="shared" si="9"/>
        <v/>
      </c>
    </row>
    <row r="635" spans="7:27" ht="15" customHeight="1" x14ac:dyDescent="0.25">
      <c r="G635" s="54"/>
      <c r="S635" s="37"/>
      <c r="T635" s="37"/>
      <c r="W635" s="37"/>
      <c r="X635" s="37"/>
      <c r="AA635" s="28" t="str">
        <f t="shared" si="9"/>
        <v/>
      </c>
    </row>
    <row r="636" spans="7:27" ht="15" customHeight="1" x14ac:dyDescent="0.25">
      <c r="AA636" s="28" t="str">
        <f t="shared" si="9"/>
        <v/>
      </c>
    </row>
    <row r="637" spans="7:27" ht="15" customHeight="1" x14ac:dyDescent="0.25">
      <c r="G637" s="54"/>
      <c r="S637" s="37"/>
      <c r="T637" s="37"/>
      <c r="W637" s="37"/>
      <c r="X637" s="37"/>
      <c r="AA637" s="28" t="str">
        <f t="shared" si="9"/>
        <v/>
      </c>
    </row>
    <row r="638" spans="7:27" ht="15" customHeight="1" x14ac:dyDescent="0.25">
      <c r="AA638" s="28" t="str">
        <f t="shared" si="9"/>
        <v/>
      </c>
    </row>
    <row r="639" spans="7:27" ht="15" customHeight="1" x14ac:dyDescent="0.25">
      <c r="G639" s="54"/>
      <c r="S639" s="37"/>
      <c r="T639" s="37"/>
      <c r="W639" s="37"/>
      <c r="X639" s="37"/>
      <c r="AA639" s="28" t="str">
        <f t="shared" si="9"/>
        <v/>
      </c>
    </row>
    <row r="640" spans="7:27" ht="15" customHeight="1" x14ac:dyDescent="0.25">
      <c r="AA640" s="28" t="str">
        <f t="shared" si="9"/>
        <v/>
      </c>
    </row>
    <row r="641" spans="7:27" ht="15" customHeight="1" x14ac:dyDescent="0.25">
      <c r="G641" s="54"/>
      <c r="S641" s="37"/>
      <c r="T641" s="37"/>
      <c r="W641" s="37"/>
      <c r="X641" s="37"/>
      <c r="AA641" s="28" t="str">
        <f t="shared" si="9"/>
        <v/>
      </c>
    </row>
    <row r="642" spans="7:27" ht="15" customHeight="1" x14ac:dyDescent="0.25">
      <c r="AA642" s="28" t="str">
        <f t="shared" si="9"/>
        <v/>
      </c>
    </row>
    <row r="643" spans="7:27" ht="15" customHeight="1" x14ac:dyDescent="0.25">
      <c r="G643" s="54"/>
      <c r="S643" s="37"/>
      <c r="T643" s="37"/>
      <c r="W643" s="37"/>
      <c r="X643" s="37"/>
      <c r="AA643" s="28" t="str">
        <f t="shared" si="9"/>
        <v/>
      </c>
    </row>
    <row r="644" spans="7:27" ht="15" customHeight="1" x14ac:dyDescent="0.25">
      <c r="AA644" s="28" t="str">
        <f t="shared" si="9"/>
        <v/>
      </c>
    </row>
    <row r="645" spans="7:27" ht="15" customHeight="1" x14ac:dyDescent="0.25">
      <c r="G645" s="54"/>
      <c r="S645" s="37"/>
      <c r="T645" s="37"/>
      <c r="W645" s="37"/>
      <c r="X645" s="37"/>
      <c r="AA645" s="28" t="str">
        <f t="shared" si="9"/>
        <v/>
      </c>
    </row>
    <row r="646" spans="7:27" ht="15" customHeight="1" x14ac:dyDescent="0.25">
      <c r="AA646" s="28" t="str">
        <f t="shared" si="9"/>
        <v/>
      </c>
    </row>
    <row r="647" spans="7:27" ht="15" customHeight="1" x14ac:dyDescent="0.25">
      <c r="G647" s="54"/>
      <c r="S647" s="37"/>
      <c r="T647" s="37"/>
      <c r="W647" s="37"/>
      <c r="X647" s="37"/>
      <c r="AA647" s="28" t="str">
        <f t="shared" si="9"/>
        <v/>
      </c>
    </row>
    <row r="648" spans="7:27" ht="15" customHeight="1" x14ac:dyDescent="0.25">
      <c r="AA648" s="28" t="str">
        <f t="shared" ref="AA648:AA711" si="10">IFERROR(
IF(AND(X648="Não",Y648="Sim"),"REP",
IF(AND(X648="Sim",Y648="Não"),"Técnico",
IF(AND(X648="Sim",Y648="Sim"),"Ambos",""))),
"")</f>
        <v/>
      </c>
    </row>
    <row r="649" spans="7:27" ht="15" customHeight="1" x14ac:dyDescent="0.25">
      <c r="G649" s="54"/>
      <c r="S649" s="37"/>
      <c r="T649" s="37"/>
      <c r="W649" s="37"/>
      <c r="X649" s="37"/>
      <c r="AA649" s="28" t="str">
        <f t="shared" si="10"/>
        <v/>
      </c>
    </row>
    <row r="650" spans="7:27" ht="15" customHeight="1" x14ac:dyDescent="0.25">
      <c r="AA650" s="28" t="str">
        <f t="shared" si="10"/>
        <v/>
      </c>
    </row>
    <row r="651" spans="7:27" ht="15" customHeight="1" x14ac:dyDescent="0.25">
      <c r="G651" s="54"/>
      <c r="S651" s="37"/>
      <c r="T651" s="37"/>
      <c r="W651" s="37"/>
      <c r="X651" s="37"/>
      <c r="AA651" s="28" t="str">
        <f t="shared" si="10"/>
        <v/>
      </c>
    </row>
    <row r="652" spans="7:27" ht="15" customHeight="1" x14ac:dyDescent="0.25">
      <c r="G652" s="54"/>
      <c r="S652" s="37"/>
      <c r="T652" s="37"/>
      <c r="W652" s="37"/>
      <c r="X652" s="37"/>
      <c r="AA652" s="28" t="str">
        <f t="shared" si="10"/>
        <v/>
      </c>
    </row>
    <row r="653" spans="7:27" ht="15" customHeight="1" x14ac:dyDescent="0.25">
      <c r="AA653" s="28" t="str">
        <f t="shared" si="10"/>
        <v/>
      </c>
    </row>
    <row r="654" spans="7:27" ht="15" customHeight="1" x14ac:dyDescent="0.25">
      <c r="G654" s="54"/>
      <c r="S654" s="37"/>
      <c r="T654" s="37"/>
      <c r="W654" s="37"/>
      <c r="X654" s="37"/>
      <c r="AA654" s="28" t="str">
        <f t="shared" si="10"/>
        <v/>
      </c>
    </row>
    <row r="655" spans="7:27" ht="15" customHeight="1" x14ac:dyDescent="0.25">
      <c r="AA655" s="28" t="str">
        <f t="shared" si="10"/>
        <v/>
      </c>
    </row>
    <row r="656" spans="7:27" ht="15" customHeight="1" x14ac:dyDescent="0.25">
      <c r="G656" s="54"/>
      <c r="S656" s="37"/>
      <c r="T656" s="37"/>
      <c r="W656" s="37"/>
      <c r="X656" s="37"/>
      <c r="AA656" s="28" t="str">
        <f t="shared" si="10"/>
        <v/>
      </c>
    </row>
    <row r="657" spans="7:27" ht="15" customHeight="1" x14ac:dyDescent="0.25">
      <c r="AA657" s="28" t="str">
        <f t="shared" si="10"/>
        <v/>
      </c>
    </row>
    <row r="658" spans="7:27" ht="15" customHeight="1" x14ac:dyDescent="0.25">
      <c r="G658" s="54"/>
      <c r="S658" s="37"/>
      <c r="T658" s="37"/>
      <c r="W658" s="37"/>
      <c r="X658" s="37"/>
      <c r="AA658" s="28" t="str">
        <f t="shared" si="10"/>
        <v/>
      </c>
    </row>
    <row r="659" spans="7:27" ht="15" customHeight="1" x14ac:dyDescent="0.25">
      <c r="AA659" s="28" t="str">
        <f t="shared" si="10"/>
        <v/>
      </c>
    </row>
    <row r="660" spans="7:27" ht="15" customHeight="1" x14ac:dyDescent="0.25">
      <c r="G660" s="54"/>
      <c r="S660" s="37"/>
      <c r="T660" s="37"/>
      <c r="W660" s="37"/>
      <c r="X660" s="37"/>
      <c r="AA660" s="28" t="str">
        <f t="shared" si="10"/>
        <v/>
      </c>
    </row>
    <row r="661" spans="7:27" ht="15" customHeight="1" x14ac:dyDescent="0.25">
      <c r="AA661" s="28" t="str">
        <f t="shared" si="10"/>
        <v/>
      </c>
    </row>
    <row r="662" spans="7:27" ht="15" customHeight="1" x14ac:dyDescent="0.25">
      <c r="G662" s="54"/>
      <c r="S662" s="37"/>
      <c r="T662" s="37"/>
      <c r="W662" s="37"/>
      <c r="X662" s="37"/>
      <c r="AA662" s="28" t="str">
        <f t="shared" si="10"/>
        <v/>
      </c>
    </row>
    <row r="663" spans="7:27" ht="15" customHeight="1" x14ac:dyDescent="0.25">
      <c r="AA663" s="28" t="str">
        <f t="shared" si="10"/>
        <v/>
      </c>
    </row>
    <row r="664" spans="7:27" ht="15" customHeight="1" x14ac:dyDescent="0.25">
      <c r="G664" s="54"/>
      <c r="S664" s="37"/>
      <c r="T664" s="37"/>
      <c r="W664" s="37"/>
      <c r="X664" s="37"/>
      <c r="AA664" s="28" t="str">
        <f t="shared" si="10"/>
        <v/>
      </c>
    </row>
    <row r="665" spans="7:27" ht="15" customHeight="1" x14ac:dyDescent="0.25">
      <c r="AA665" s="28" t="str">
        <f t="shared" si="10"/>
        <v/>
      </c>
    </row>
    <row r="666" spans="7:27" ht="15" customHeight="1" x14ac:dyDescent="0.25">
      <c r="G666" s="54"/>
      <c r="S666" s="37"/>
      <c r="T666" s="37"/>
      <c r="W666" s="37"/>
      <c r="X666" s="37"/>
      <c r="AA666" s="28" t="str">
        <f t="shared" si="10"/>
        <v/>
      </c>
    </row>
    <row r="667" spans="7:27" ht="15" customHeight="1" x14ac:dyDescent="0.25">
      <c r="AA667" s="28" t="str">
        <f t="shared" si="10"/>
        <v/>
      </c>
    </row>
    <row r="668" spans="7:27" ht="15" customHeight="1" x14ac:dyDescent="0.25">
      <c r="G668" s="54"/>
      <c r="S668" s="37"/>
      <c r="T668" s="37"/>
      <c r="W668" s="37"/>
      <c r="X668" s="37"/>
      <c r="AA668" s="28" t="str">
        <f t="shared" si="10"/>
        <v/>
      </c>
    </row>
    <row r="669" spans="7:27" ht="15" customHeight="1" x14ac:dyDescent="0.25">
      <c r="AA669" s="28" t="str">
        <f t="shared" si="10"/>
        <v/>
      </c>
    </row>
    <row r="670" spans="7:27" ht="15" customHeight="1" x14ac:dyDescent="0.25">
      <c r="S670" s="37"/>
      <c r="T670" s="37"/>
      <c r="W670" s="37"/>
      <c r="X670" s="37"/>
      <c r="AA670" s="28" t="str">
        <f t="shared" si="10"/>
        <v/>
      </c>
    </row>
    <row r="671" spans="7:27" ht="15" customHeight="1" x14ac:dyDescent="0.25">
      <c r="AA671" s="28" t="str">
        <f t="shared" si="10"/>
        <v/>
      </c>
    </row>
    <row r="672" spans="7:27" ht="15" customHeight="1" x14ac:dyDescent="0.25">
      <c r="S672" s="37"/>
      <c r="T672" s="37"/>
      <c r="W672" s="37"/>
      <c r="X672" s="37"/>
      <c r="AA672" s="28" t="str">
        <f t="shared" si="10"/>
        <v/>
      </c>
    </row>
    <row r="673" spans="7:27" ht="15" customHeight="1" x14ac:dyDescent="0.25">
      <c r="AA673" s="28" t="str">
        <f t="shared" si="10"/>
        <v/>
      </c>
    </row>
    <row r="674" spans="7:27" ht="15" customHeight="1" x14ac:dyDescent="0.25">
      <c r="S674" s="37"/>
      <c r="T674" s="37"/>
      <c r="W674" s="37"/>
      <c r="X674" s="37"/>
      <c r="AA674" s="28" t="str">
        <f t="shared" si="10"/>
        <v/>
      </c>
    </row>
    <row r="675" spans="7:27" ht="15" customHeight="1" x14ac:dyDescent="0.25">
      <c r="AA675" s="28" t="str">
        <f t="shared" si="10"/>
        <v/>
      </c>
    </row>
    <row r="676" spans="7:27" ht="15" customHeight="1" x14ac:dyDescent="0.25">
      <c r="S676" s="37"/>
      <c r="T676" s="37"/>
      <c r="W676" s="37"/>
      <c r="X676" s="37"/>
      <c r="AA676" s="28" t="str">
        <f t="shared" si="10"/>
        <v/>
      </c>
    </row>
    <row r="677" spans="7:27" ht="15" customHeight="1" x14ac:dyDescent="0.25">
      <c r="AA677" s="28" t="str">
        <f t="shared" si="10"/>
        <v/>
      </c>
    </row>
    <row r="678" spans="7:27" ht="15" customHeight="1" x14ac:dyDescent="0.25">
      <c r="G678" s="54"/>
      <c r="S678" s="37"/>
      <c r="T678" s="37"/>
      <c r="W678" s="37"/>
      <c r="X678" s="37"/>
      <c r="AA678" s="28" t="str">
        <f t="shared" si="10"/>
        <v/>
      </c>
    </row>
    <row r="679" spans="7:27" ht="15" customHeight="1" x14ac:dyDescent="0.25">
      <c r="AA679" s="28" t="str">
        <f t="shared" si="10"/>
        <v/>
      </c>
    </row>
    <row r="680" spans="7:27" ht="15" customHeight="1" x14ac:dyDescent="0.25">
      <c r="G680" s="54"/>
      <c r="S680" s="37"/>
      <c r="T680" s="37"/>
      <c r="W680" s="37"/>
      <c r="X680" s="37"/>
      <c r="AA680" s="28" t="str">
        <f t="shared" si="10"/>
        <v/>
      </c>
    </row>
    <row r="681" spans="7:27" ht="15" customHeight="1" x14ac:dyDescent="0.25">
      <c r="AA681" s="28" t="str">
        <f t="shared" si="10"/>
        <v/>
      </c>
    </row>
    <row r="682" spans="7:27" ht="15" customHeight="1" x14ac:dyDescent="0.25">
      <c r="G682" s="54"/>
      <c r="S682" s="37"/>
      <c r="T682" s="37"/>
      <c r="W682" s="37"/>
      <c r="X682" s="37"/>
      <c r="AA682" s="28" t="str">
        <f t="shared" si="10"/>
        <v/>
      </c>
    </row>
    <row r="683" spans="7:27" ht="15" customHeight="1" x14ac:dyDescent="0.25">
      <c r="AA683" s="28" t="str">
        <f t="shared" si="10"/>
        <v/>
      </c>
    </row>
    <row r="684" spans="7:27" ht="15" customHeight="1" x14ac:dyDescent="0.25">
      <c r="AA684" s="28" t="str">
        <f t="shared" si="10"/>
        <v/>
      </c>
    </row>
    <row r="685" spans="7:27" ht="15" customHeight="1" x14ac:dyDescent="0.25">
      <c r="AA685" s="28" t="str">
        <f t="shared" si="10"/>
        <v/>
      </c>
    </row>
    <row r="686" spans="7:27" ht="15" customHeight="1" x14ac:dyDescent="0.25">
      <c r="Q686" s="38"/>
      <c r="R686" s="38"/>
      <c r="U686" s="38"/>
      <c r="V686" s="38"/>
      <c r="W686" s="54"/>
      <c r="X686" s="30"/>
      <c r="AA686" s="28" t="str">
        <f t="shared" si="10"/>
        <v/>
      </c>
    </row>
    <row r="687" spans="7:27" ht="15" customHeight="1" x14ac:dyDescent="0.25">
      <c r="AA687" s="28" t="str">
        <f t="shared" si="10"/>
        <v/>
      </c>
    </row>
    <row r="688" spans="7:27" ht="15" customHeight="1" x14ac:dyDescent="0.25">
      <c r="AA688" s="28" t="str">
        <f t="shared" si="10"/>
        <v/>
      </c>
    </row>
    <row r="689" spans="27:27" ht="15" customHeight="1" x14ac:dyDescent="0.25">
      <c r="AA689" s="28" t="str">
        <f t="shared" si="10"/>
        <v/>
      </c>
    </row>
    <row r="690" spans="27:27" ht="15" customHeight="1" x14ac:dyDescent="0.25">
      <c r="AA690" s="28" t="str">
        <f t="shared" si="10"/>
        <v/>
      </c>
    </row>
    <row r="691" spans="27:27" ht="15" customHeight="1" x14ac:dyDescent="0.25">
      <c r="AA691" s="28" t="str">
        <f t="shared" si="10"/>
        <v/>
      </c>
    </row>
    <row r="692" spans="27:27" ht="15" customHeight="1" x14ac:dyDescent="0.25">
      <c r="AA692" s="28" t="str">
        <f t="shared" si="10"/>
        <v/>
      </c>
    </row>
    <row r="693" spans="27:27" ht="15" customHeight="1" x14ac:dyDescent="0.25">
      <c r="AA693" s="28" t="str">
        <f t="shared" si="10"/>
        <v/>
      </c>
    </row>
    <row r="694" spans="27:27" ht="15" customHeight="1" x14ac:dyDescent="0.25">
      <c r="AA694" s="28" t="str">
        <f t="shared" si="10"/>
        <v/>
      </c>
    </row>
    <row r="695" spans="27:27" ht="15" customHeight="1" x14ac:dyDescent="0.25">
      <c r="AA695" s="28" t="str">
        <f t="shared" si="10"/>
        <v/>
      </c>
    </row>
    <row r="696" spans="27:27" ht="15" customHeight="1" x14ac:dyDescent="0.25">
      <c r="AA696" s="28" t="str">
        <f t="shared" si="10"/>
        <v/>
      </c>
    </row>
    <row r="697" spans="27:27" ht="15" customHeight="1" x14ac:dyDescent="0.25">
      <c r="AA697" s="28" t="str">
        <f t="shared" si="10"/>
        <v/>
      </c>
    </row>
    <row r="698" spans="27:27" ht="15" customHeight="1" x14ac:dyDescent="0.25">
      <c r="AA698" s="28" t="str">
        <f t="shared" si="10"/>
        <v/>
      </c>
    </row>
    <row r="699" spans="27:27" ht="15" customHeight="1" x14ac:dyDescent="0.25">
      <c r="AA699" s="28" t="str">
        <f t="shared" si="10"/>
        <v/>
      </c>
    </row>
    <row r="700" spans="27:27" ht="15" customHeight="1" x14ac:dyDescent="0.25">
      <c r="AA700" s="28" t="str">
        <f t="shared" si="10"/>
        <v/>
      </c>
    </row>
    <row r="701" spans="27:27" ht="15" customHeight="1" x14ac:dyDescent="0.25">
      <c r="AA701" s="28" t="str">
        <f t="shared" si="10"/>
        <v/>
      </c>
    </row>
    <row r="702" spans="27:27" ht="15" customHeight="1" x14ac:dyDescent="0.25">
      <c r="AA702" s="28" t="str">
        <f t="shared" si="10"/>
        <v/>
      </c>
    </row>
    <row r="703" spans="27:27" ht="15" customHeight="1" x14ac:dyDescent="0.25">
      <c r="AA703" s="28" t="str">
        <f t="shared" si="10"/>
        <v/>
      </c>
    </row>
    <row r="704" spans="27:27" ht="15" customHeight="1" x14ac:dyDescent="0.25">
      <c r="AA704" s="28" t="str">
        <f t="shared" si="10"/>
        <v/>
      </c>
    </row>
    <row r="705" spans="27:27" ht="15" customHeight="1" x14ac:dyDescent="0.25">
      <c r="AA705" s="28" t="str">
        <f t="shared" si="10"/>
        <v/>
      </c>
    </row>
    <row r="706" spans="27:27" ht="15" customHeight="1" x14ac:dyDescent="0.25">
      <c r="AA706" s="28" t="str">
        <f t="shared" si="10"/>
        <v/>
      </c>
    </row>
    <row r="707" spans="27:27" ht="15" customHeight="1" x14ac:dyDescent="0.25">
      <c r="AA707" s="28" t="str">
        <f t="shared" si="10"/>
        <v/>
      </c>
    </row>
    <row r="708" spans="27:27" ht="15" customHeight="1" x14ac:dyDescent="0.25">
      <c r="AA708" s="28" t="str">
        <f t="shared" si="10"/>
        <v/>
      </c>
    </row>
    <row r="709" spans="27:27" ht="15" customHeight="1" x14ac:dyDescent="0.25">
      <c r="AA709" s="28" t="str">
        <f t="shared" si="10"/>
        <v/>
      </c>
    </row>
    <row r="710" spans="27:27" ht="15" customHeight="1" x14ac:dyDescent="0.25">
      <c r="AA710" s="28" t="str">
        <f t="shared" si="10"/>
        <v/>
      </c>
    </row>
    <row r="711" spans="27:27" ht="15" customHeight="1" x14ac:dyDescent="0.25">
      <c r="AA711" s="28" t="str">
        <f t="shared" si="10"/>
        <v/>
      </c>
    </row>
    <row r="712" spans="27:27" ht="15" customHeight="1" x14ac:dyDescent="0.25">
      <c r="AA712" s="28" t="str">
        <f t="shared" ref="AA712:AA775" si="11">IFERROR(
IF(AND(X712="Não",Y712="Sim"),"REP",
IF(AND(X712="Sim",Y712="Não"),"Técnico",
IF(AND(X712="Sim",Y712="Sim"),"Ambos",""))),
"")</f>
        <v/>
      </c>
    </row>
    <row r="713" spans="27:27" ht="15" customHeight="1" x14ac:dyDescent="0.25">
      <c r="AA713" s="28" t="str">
        <f t="shared" si="11"/>
        <v/>
      </c>
    </row>
    <row r="714" spans="27:27" ht="15" customHeight="1" x14ac:dyDescent="0.25">
      <c r="AA714" s="28" t="str">
        <f t="shared" si="11"/>
        <v/>
      </c>
    </row>
    <row r="715" spans="27:27" ht="15" customHeight="1" x14ac:dyDescent="0.25">
      <c r="AA715" s="28" t="str">
        <f t="shared" si="11"/>
        <v/>
      </c>
    </row>
    <row r="716" spans="27:27" ht="15" customHeight="1" x14ac:dyDescent="0.25">
      <c r="AA716" s="28" t="str">
        <f t="shared" si="11"/>
        <v/>
      </c>
    </row>
    <row r="717" spans="27:27" ht="15" customHeight="1" x14ac:dyDescent="0.25">
      <c r="AA717" s="28" t="str">
        <f t="shared" si="11"/>
        <v/>
      </c>
    </row>
    <row r="718" spans="27:27" ht="15" customHeight="1" x14ac:dyDescent="0.25">
      <c r="AA718" s="28" t="str">
        <f t="shared" si="11"/>
        <v/>
      </c>
    </row>
    <row r="719" spans="27:27" ht="15" customHeight="1" x14ac:dyDescent="0.25">
      <c r="AA719" s="28" t="str">
        <f t="shared" si="11"/>
        <v/>
      </c>
    </row>
    <row r="720" spans="27:27" ht="15" customHeight="1" x14ac:dyDescent="0.25">
      <c r="AA720" s="28" t="str">
        <f t="shared" si="11"/>
        <v/>
      </c>
    </row>
    <row r="721" spans="27:27" ht="15" customHeight="1" x14ac:dyDescent="0.25">
      <c r="AA721" s="28" t="str">
        <f t="shared" si="11"/>
        <v/>
      </c>
    </row>
    <row r="722" spans="27:27" ht="15" customHeight="1" x14ac:dyDescent="0.25">
      <c r="AA722" s="28" t="str">
        <f t="shared" si="11"/>
        <v/>
      </c>
    </row>
    <row r="723" spans="27:27" ht="15" customHeight="1" x14ac:dyDescent="0.25">
      <c r="AA723" s="28" t="str">
        <f t="shared" si="11"/>
        <v/>
      </c>
    </row>
    <row r="724" spans="27:27" ht="15" customHeight="1" x14ac:dyDescent="0.25">
      <c r="AA724" s="28" t="str">
        <f t="shared" si="11"/>
        <v/>
      </c>
    </row>
    <row r="725" spans="27:27" ht="15" customHeight="1" x14ac:dyDescent="0.25">
      <c r="AA725" s="28" t="str">
        <f t="shared" si="11"/>
        <v/>
      </c>
    </row>
    <row r="726" spans="27:27" ht="15" customHeight="1" x14ac:dyDescent="0.25">
      <c r="AA726" s="28" t="str">
        <f t="shared" si="11"/>
        <v/>
      </c>
    </row>
    <row r="727" spans="27:27" ht="15" customHeight="1" x14ac:dyDescent="0.25">
      <c r="AA727" s="28" t="str">
        <f t="shared" si="11"/>
        <v/>
      </c>
    </row>
    <row r="728" spans="27:27" ht="15" customHeight="1" x14ac:dyDescent="0.25">
      <c r="AA728" s="28" t="str">
        <f t="shared" si="11"/>
        <v/>
      </c>
    </row>
    <row r="729" spans="27:27" ht="15" customHeight="1" x14ac:dyDescent="0.25">
      <c r="AA729" s="28" t="str">
        <f t="shared" si="11"/>
        <v/>
      </c>
    </row>
    <row r="730" spans="27:27" ht="15" customHeight="1" x14ac:dyDescent="0.25">
      <c r="AA730" s="28" t="str">
        <f t="shared" si="11"/>
        <v/>
      </c>
    </row>
    <row r="731" spans="27:27" ht="15" customHeight="1" x14ac:dyDescent="0.25">
      <c r="AA731" s="28" t="str">
        <f t="shared" si="11"/>
        <v/>
      </c>
    </row>
    <row r="732" spans="27:27" ht="15" customHeight="1" x14ac:dyDescent="0.25">
      <c r="AA732" s="28" t="str">
        <f t="shared" si="11"/>
        <v/>
      </c>
    </row>
    <row r="733" spans="27:27" ht="15" customHeight="1" x14ac:dyDescent="0.25">
      <c r="AA733" s="28" t="str">
        <f t="shared" si="11"/>
        <v/>
      </c>
    </row>
    <row r="734" spans="27:27" ht="15" customHeight="1" x14ac:dyDescent="0.25">
      <c r="AA734" s="28" t="str">
        <f t="shared" si="11"/>
        <v/>
      </c>
    </row>
    <row r="735" spans="27:27" ht="15" customHeight="1" x14ac:dyDescent="0.25">
      <c r="AA735" s="28" t="str">
        <f t="shared" si="11"/>
        <v/>
      </c>
    </row>
    <row r="736" spans="27:27" ht="15" customHeight="1" x14ac:dyDescent="0.25">
      <c r="AA736" s="28" t="str">
        <f t="shared" si="11"/>
        <v/>
      </c>
    </row>
    <row r="737" spans="27:27" ht="15" customHeight="1" x14ac:dyDescent="0.25">
      <c r="AA737" s="28" t="str">
        <f t="shared" si="11"/>
        <v/>
      </c>
    </row>
    <row r="738" spans="27:27" ht="15" customHeight="1" x14ac:dyDescent="0.25">
      <c r="AA738" s="28" t="str">
        <f t="shared" si="11"/>
        <v/>
      </c>
    </row>
    <row r="739" spans="27:27" ht="15" customHeight="1" x14ac:dyDescent="0.25">
      <c r="AA739" s="28" t="str">
        <f t="shared" si="11"/>
        <v/>
      </c>
    </row>
    <row r="740" spans="27:27" ht="15" customHeight="1" x14ac:dyDescent="0.25">
      <c r="AA740" s="28" t="str">
        <f t="shared" si="11"/>
        <v/>
      </c>
    </row>
    <row r="741" spans="27:27" ht="15" customHeight="1" x14ac:dyDescent="0.25">
      <c r="AA741" s="28" t="str">
        <f t="shared" si="11"/>
        <v/>
      </c>
    </row>
    <row r="742" spans="27:27" ht="15" customHeight="1" x14ac:dyDescent="0.25">
      <c r="AA742" s="28" t="str">
        <f t="shared" si="11"/>
        <v/>
      </c>
    </row>
    <row r="743" spans="27:27" ht="15" customHeight="1" x14ac:dyDescent="0.25">
      <c r="AA743" s="28" t="str">
        <f t="shared" si="11"/>
        <v/>
      </c>
    </row>
    <row r="744" spans="27:27" ht="15" customHeight="1" x14ac:dyDescent="0.25">
      <c r="AA744" s="28" t="str">
        <f t="shared" si="11"/>
        <v/>
      </c>
    </row>
    <row r="745" spans="27:27" ht="15" customHeight="1" x14ac:dyDescent="0.25">
      <c r="AA745" s="28" t="str">
        <f t="shared" si="11"/>
        <v/>
      </c>
    </row>
    <row r="746" spans="27:27" ht="15" customHeight="1" x14ac:dyDescent="0.25">
      <c r="AA746" s="28" t="str">
        <f t="shared" si="11"/>
        <v/>
      </c>
    </row>
    <row r="747" spans="27:27" ht="15" customHeight="1" x14ac:dyDescent="0.25">
      <c r="AA747" s="28" t="str">
        <f t="shared" si="11"/>
        <v/>
      </c>
    </row>
    <row r="748" spans="27:27" ht="15" customHeight="1" x14ac:dyDescent="0.25">
      <c r="AA748" s="28" t="str">
        <f t="shared" si="11"/>
        <v/>
      </c>
    </row>
    <row r="749" spans="27:27" ht="15" customHeight="1" x14ac:dyDescent="0.25">
      <c r="AA749" s="28" t="str">
        <f t="shared" si="11"/>
        <v/>
      </c>
    </row>
    <row r="750" spans="27:27" ht="15" customHeight="1" x14ac:dyDescent="0.25">
      <c r="AA750" s="28" t="str">
        <f t="shared" si="11"/>
        <v/>
      </c>
    </row>
    <row r="751" spans="27:27" ht="15" customHeight="1" x14ac:dyDescent="0.25">
      <c r="AA751" s="28" t="str">
        <f t="shared" si="11"/>
        <v/>
      </c>
    </row>
    <row r="752" spans="27:27" ht="15" customHeight="1" x14ac:dyDescent="0.25">
      <c r="AA752" s="28" t="str">
        <f t="shared" si="11"/>
        <v/>
      </c>
    </row>
    <row r="753" spans="27:27" ht="15" customHeight="1" x14ac:dyDescent="0.25">
      <c r="AA753" s="28" t="str">
        <f t="shared" si="11"/>
        <v/>
      </c>
    </row>
    <row r="754" spans="27:27" ht="15" customHeight="1" x14ac:dyDescent="0.25">
      <c r="AA754" s="28" t="str">
        <f t="shared" si="11"/>
        <v/>
      </c>
    </row>
    <row r="755" spans="27:27" ht="15" customHeight="1" x14ac:dyDescent="0.25">
      <c r="AA755" s="28" t="str">
        <f t="shared" si="11"/>
        <v/>
      </c>
    </row>
    <row r="756" spans="27:27" ht="15" customHeight="1" x14ac:dyDescent="0.25">
      <c r="AA756" s="28" t="str">
        <f t="shared" si="11"/>
        <v/>
      </c>
    </row>
    <row r="757" spans="27:27" ht="15" customHeight="1" x14ac:dyDescent="0.25">
      <c r="AA757" s="28" t="str">
        <f t="shared" si="11"/>
        <v/>
      </c>
    </row>
    <row r="758" spans="27:27" ht="15" customHeight="1" x14ac:dyDescent="0.25">
      <c r="AA758" s="28" t="str">
        <f t="shared" si="11"/>
        <v/>
      </c>
    </row>
    <row r="759" spans="27:27" ht="15" customHeight="1" x14ac:dyDescent="0.25">
      <c r="AA759" s="28" t="str">
        <f t="shared" si="11"/>
        <v/>
      </c>
    </row>
    <row r="760" spans="27:27" ht="15" customHeight="1" x14ac:dyDescent="0.25">
      <c r="AA760" s="28" t="str">
        <f t="shared" si="11"/>
        <v/>
      </c>
    </row>
    <row r="761" spans="27:27" ht="15" customHeight="1" x14ac:dyDescent="0.25">
      <c r="AA761" s="28" t="str">
        <f t="shared" si="11"/>
        <v/>
      </c>
    </row>
    <row r="762" spans="27:27" ht="15" customHeight="1" x14ac:dyDescent="0.25">
      <c r="AA762" s="28" t="str">
        <f t="shared" si="11"/>
        <v/>
      </c>
    </row>
    <row r="763" spans="27:27" ht="15" customHeight="1" x14ac:dyDescent="0.25">
      <c r="AA763" s="28" t="str">
        <f t="shared" si="11"/>
        <v/>
      </c>
    </row>
    <row r="764" spans="27:27" ht="15" customHeight="1" x14ac:dyDescent="0.25">
      <c r="AA764" s="28" t="str">
        <f t="shared" si="11"/>
        <v/>
      </c>
    </row>
    <row r="765" spans="27:27" ht="15" customHeight="1" x14ac:dyDescent="0.25">
      <c r="AA765" s="28" t="str">
        <f t="shared" si="11"/>
        <v/>
      </c>
    </row>
    <row r="766" spans="27:27" ht="15" customHeight="1" x14ac:dyDescent="0.25">
      <c r="AA766" s="28" t="str">
        <f t="shared" si="11"/>
        <v/>
      </c>
    </row>
    <row r="767" spans="27:27" ht="15" customHeight="1" x14ac:dyDescent="0.25">
      <c r="AA767" s="28" t="str">
        <f t="shared" si="11"/>
        <v/>
      </c>
    </row>
    <row r="768" spans="27:27" ht="15" customHeight="1" x14ac:dyDescent="0.25">
      <c r="AA768" s="28" t="str">
        <f t="shared" si="11"/>
        <v/>
      </c>
    </row>
    <row r="769" spans="27:27" ht="15" customHeight="1" x14ac:dyDescent="0.25">
      <c r="AA769" s="28" t="str">
        <f t="shared" si="11"/>
        <v/>
      </c>
    </row>
    <row r="770" spans="27:27" ht="15" customHeight="1" x14ac:dyDescent="0.25">
      <c r="AA770" s="28" t="str">
        <f t="shared" si="11"/>
        <v/>
      </c>
    </row>
    <row r="771" spans="27:27" ht="15" customHeight="1" x14ac:dyDescent="0.25">
      <c r="AA771" s="28" t="str">
        <f t="shared" si="11"/>
        <v/>
      </c>
    </row>
    <row r="772" spans="27:27" ht="15" customHeight="1" x14ac:dyDescent="0.25">
      <c r="AA772" s="28" t="str">
        <f t="shared" si="11"/>
        <v/>
      </c>
    </row>
    <row r="773" spans="27:27" ht="15" customHeight="1" x14ac:dyDescent="0.25">
      <c r="AA773" s="28" t="str">
        <f t="shared" si="11"/>
        <v/>
      </c>
    </row>
    <row r="774" spans="27:27" ht="15" customHeight="1" x14ac:dyDescent="0.25">
      <c r="AA774" s="28" t="str">
        <f t="shared" si="11"/>
        <v/>
      </c>
    </row>
    <row r="775" spans="27:27" ht="15" customHeight="1" x14ac:dyDescent="0.25">
      <c r="AA775" s="28" t="str">
        <f t="shared" si="11"/>
        <v/>
      </c>
    </row>
    <row r="776" spans="27:27" ht="15" customHeight="1" x14ac:dyDescent="0.25">
      <c r="AA776" s="28" t="str">
        <f t="shared" ref="AA776:AA839" si="12">IFERROR(
IF(AND(X776="Não",Y776="Sim"),"REP",
IF(AND(X776="Sim",Y776="Não"),"Técnico",
IF(AND(X776="Sim",Y776="Sim"),"Ambos",""))),
"")</f>
        <v/>
      </c>
    </row>
    <row r="777" spans="27:27" ht="15" customHeight="1" x14ac:dyDescent="0.25">
      <c r="AA777" s="28" t="str">
        <f t="shared" si="12"/>
        <v/>
      </c>
    </row>
    <row r="778" spans="27:27" ht="15" customHeight="1" x14ac:dyDescent="0.25">
      <c r="AA778" s="28" t="str">
        <f t="shared" si="12"/>
        <v/>
      </c>
    </row>
    <row r="779" spans="27:27" ht="15" customHeight="1" x14ac:dyDescent="0.25">
      <c r="AA779" s="28" t="str">
        <f t="shared" si="12"/>
        <v/>
      </c>
    </row>
    <row r="780" spans="27:27" ht="15" customHeight="1" x14ac:dyDescent="0.25">
      <c r="AA780" s="28" t="str">
        <f t="shared" si="12"/>
        <v/>
      </c>
    </row>
    <row r="781" spans="27:27" ht="15" customHeight="1" x14ac:dyDescent="0.25">
      <c r="AA781" s="28" t="str">
        <f t="shared" si="12"/>
        <v/>
      </c>
    </row>
    <row r="782" spans="27:27" ht="15" customHeight="1" x14ac:dyDescent="0.25">
      <c r="AA782" s="28" t="str">
        <f t="shared" si="12"/>
        <v/>
      </c>
    </row>
    <row r="783" spans="27:27" ht="15" customHeight="1" x14ac:dyDescent="0.25">
      <c r="AA783" s="28" t="str">
        <f t="shared" si="12"/>
        <v/>
      </c>
    </row>
    <row r="784" spans="27:27" ht="15" customHeight="1" x14ac:dyDescent="0.25">
      <c r="AA784" s="28" t="str">
        <f t="shared" si="12"/>
        <v/>
      </c>
    </row>
    <row r="785" spans="27:27" ht="15" customHeight="1" x14ac:dyDescent="0.25">
      <c r="AA785" s="28" t="str">
        <f t="shared" si="12"/>
        <v/>
      </c>
    </row>
    <row r="786" spans="27:27" ht="15" customHeight="1" x14ac:dyDescent="0.25">
      <c r="AA786" s="28" t="str">
        <f t="shared" si="12"/>
        <v/>
      </c>
    </row>
    <row r="787" spans="27:27" ht="15" customHeight="1" x14ac:dyDescent="0.25">
      <c r="AA787" s="28" t="str">
        <f t="shared" si="12"/>
        <v/>
      </c>
    </row>
    <row r="788" spans="27:27" ht="15" customHeight="1" x14ac:dyDescent="0.25">
      <c r="AA788" s="28" t="str">
        <f t="shared" si="12"/>
        <v/>
      </c>
    </row>
    <row r="789" spans="27:27" ht="15" customHeight="1" x14ac:dyDescent="0.25">
      <c r="AA789" s="28" t="str">
        <f t="shared" si="12"/>
        <v/>
      </c>
    </row>
    <row r="790" spans="27:27" ht="15" customHeight="1" x14ac:dyDescent="0.25">
      <c r="AA790" s="28" t="str">
        <f t="shared" si="12"/>
        <v/>
      </c>
    </row>
    <row r="791" spans="27:27" ht="15" customHeight="1" x14ac:dyDescent="0.25">
      <c r="AA791" s="28" t="str">
        <f t="shared" si="12"/>
        <v/>
      </c>
    </row>
    <row r="792" spans="27:27" ht="15" customHeight="1" x14ac:dyDescent="0.25">
      <c r="AA792" s="28" t="str">
        <f t="shared" si="12"/>
        <v/>
      </c>
    </row>
    <row r="793" spans="27:27" ht="15" customHeight="1" x14ac:dyDescent="0.25">
      <c r="AA793" s="28" t="str">
        <f t="shared" si="12"/>
        <v/>
      </c>
    </row>
    <row r="794" spans="27:27" ht="15" customHeight="1" x14ac:dyDescent="0.25">
      <c r="AA794" s="28" t="str">
        <f t="shared" si="12"/>
        <v/>
      </c>
    </row>
    <row r="795" spans="27:27" ht="15" customHeight="1" x14ac:dyDescent="0.25">
      <c r="AA795" s="28" t="str">
        <f t="shared" si="12"/>
        <v/>
      </c>
    </row>
    <row r="796" spans="27:27" ht="15" customHeight="1" x14ac:dyDescent="0.25">
      <c r="AA796" s="28" t="str">
        <f t="shared" si="12"/>
        <v/>
      </c>
    </row>
    <row r="797" spans="27:27" ht="15" customHeight="1" x14ac:dyDescent="0.25">
      <c r="AA797" s="28" t="str">
        <f t="shared" si="12"/>
        <v/>
      </c>
    </row>
    <row r="798" spans="27:27" ht="15" customHeight="1" x14ac:dyDescent="0.25">
      <c r="AA798" s="28" t="str">
        <f t="shared" si="12"/>
        <v/>
      </c>
    </row>
    <row r="799" spans="27:27" ht="15" customHeight="1" x14ac:dyDescent="0.25">
      <c r="AA799" s="28" t="str">
        <f t="shared" si="12"/>
        <v/>
      </c>
    </row>
    <row r="800" spans="27:27" ht="15" customHeight="1" x14ac:dyDescent="0.25">
      <c r="AA800" s="28" t="str">
        <f t="shared" si="12"/>
        <v/>
      </c>
    </row>
    <row r="801" spans="27:27" ht="15" customHeight="1" x14ac:dyDescent="0.25">
      <c r="AA801" s="28" t="str">
        <f t="shared" si="12"/>
        <v/>
      </c>
    </row>
    <row r="802" spans="27:27" ht="15" customHeight="1" x14ac:dyDescent="0.25">
      <c r="AA802" s="28" t="str">
        <f t="shared" si="12"/>
        <v/>
      </c>
    </row>
    <row r="803" spans="27:27" ht="15" customHeight="1" x14ac:dyDescent="0.25">
      <c r="AA803" s="28" t="str">
        <f t="shared" si="12"/>
        <v/>
      </c>
    </row>
    <row r="804" spans="27:27" ht="15" customHeight="1" x14ac:dyDescent="0.25">
      <c r="AA804" s="28" t="str">
        <f t="shared" si="12"/>
        <v/>
      </c>
    </row>
    <row r="805" spans="27:27" ht="15" customHeight="1" x14ac:dyDescent="0.25">
      <c r="AA805" s="28" t="str">
        <f t="shared" si="12"/>
        <v/>
      </c>
    </row>
    <row r="806" spans="27:27" ht="15" customHeight="1" x14ac:dyDescent="0.25">
      <c r="AA806" s="28" t="str">
        <f t="shared" si="12"/>
        <v/>
      </c>
    </row>
    <row r="807" spans="27:27" ht="15" customHeight="1" x14ac:dyDescent="0.25">
      <c r="AA807" s="28" t="str">
        <f t="shared" si="12"/>
        <v/>
      </c>
    </row>
    <row r="808" spans="27:27" ht="15" customHeight="1" x14ac:dyDescent="0.25">
      <c r="AA808" s="28" t="str">
        <f t="shared" si="12"/>
        <v/>
      </c>
    </row>
    <row r="809" spans="27:27" ht="15" customHeight="1" x14ac:dyDescent="0.25">
      <c r="AA809" s="28" t="str">
        <f t="shared" si="12"/>
        <v/>
      </c>
    </row>
    <row r="810" spans="27:27" ht="15" customHeight="1" x14ac:dyDescent="0.25">
      <c r="AA810" s="28" t="str">
        <f t="shared" si="12"/>
        <v/>
      </c>
    </row>
    <row r="811" spans="27:27" ht="15" customHeight="1" x14ac:dyDescent="0.25">
      <c r="AA811" s="28" t="str">
        <f t="shared" si="12"/>
        <v/>
      </c>
    </row>
    <row r="812" spans="27:27" ht="15" customHeight="1" x14ac:dyDescent="0.25">
      <c r="AA812" s="28" t="str">
        <f t="shared" si="12"/>
        <v/>
      </c>
    </row>
    <row r="813" spans="27:27" ht="15" customHeight="1" x14ac:dyDescent="0.25">
      <c r="AA813" s="28" t="str">
        <f t="shared" si="12"/>
        <v/>
      </c>
    </row>
    <row r="814" spans="27:27" ht="15" customHeight="1" x14ac:dyDescent="0.25">
      <c r="AA814" s="28" t="str">
        <f t="shared" si="12"/>
        <v/>
      </c>
    </row>
    <row r="815" spans="27:27" ht="15" customHeight="1" x14ac:dyDescent="0.25">
      <c r="AA815" s="28" t="str">
        <f t="shared" si="12"/>
        <v/>
      </c>
    </row>
    <row r="816" spans="27:27" ht="15" customHeight="1" x14ac:dyDescent="0.25">
      <c r="AA816" s="28" t="str">
        <f t="shared" si="12"/>
        <v/>
      </c>
    </row>
    <row r="817" spans="27:27" ht="15" customHeight="1" x14ac:dyDescent="0.25">
      <c r="AA817" s="28" t="str">
        <f t="shared" si="12"/>
        <v/>
      </c>
    </row>
    <row r="818" spans="27:27" ht="15" customHeight="1" x14ac:dyDescent="0.25">
      <c r="AA818" s="28" t="str">
        <f t="shared" si="12"/>
        <v/>
      </c>
    </row>
    <row r="819" spans="27:27" ht="15" customHeight="1" x14ac:dyDescent="0.25">
      <c r="AA819" s="28" t="str">
        <f t="shared" si="12"/>
        <v/>
      </c>
    </row>
    <row r="820" spans="27:27" ht="15" customHeight="1" x14ac:dyDescent="0.25">
      <c r="AA820" s="28" t="str">
        <f t="shared" si="12"/>
        <v/>
      </c>
    </row>
    <row r="821" spans="27:27" ht="15" customHeight="1" x14ac:dyDescent="0.25">
      <c r="AA821" s="28" t="str">
        <f t="shared" si="12"/>
        <v/>
      </c>
    </row>
    <row r="822" spans="27:27" ht="15" customHeight="1" x14ac:dyDescent="0.25">
      <c r="AA822" s="28" t="str">
        <f t="shared" si="12"/>
        <v/>
      </c>
    </row>
    <row r="823" spans="27:27" ht="15" customHeight="1" x14ac:dyDescent="0.25">
      <c r="AA823" s="28" t="str">
        <f t="shared" si="12"/>
        <v/>
      </c>
    </row>
    <row r="824" spans="27:27" ht="15" customHeight="1" x14ac:dyDescent="0.25">
      <c r="AA824" s="28" t="str">
        <f t="shared" si="12"/>
        <v/>
      </c>
    </row>
    <row r="825" spans="27:27" ht="15" customHeight="1" x14ac:dyDescent="0.25">
      <c r="AA825" s="28" t="str">
        <f t="shared" si="12"/>
        <v/>
      </c>
    </row>
    <row r="826" spans="27:27" ht="15" customHeight="1" x14ac:dyDescent="0.25">
      <c r="AA826" s="28" t="str">
        <f t="shared" si="12"/>
        <v/>
      </c>
    </row>
    <row r="827" spans="27:27" ht="15" customHeight="1" x14ac:dyDescent="0.25">
      <c r="AA827" s="28" t="str">
        <f t="shared" si="12"/>
        <v/>
      </c>
    </row>
    <row r="828" spans="27:27" ht="15" customHeight="1" x14ac:dyDescent="0.25">
      <c r="AA828" s="28" t="str">
        <f t="shared" si="12"/>
        <v/>
      </c>
    </row>
    <row r="829" spans="27:27" ht="15" customHeight="1" x14ac:dyDescent="0.25">
      <c r="AA829" s="28" t="str">
        <f t="shared" si="12"/>
        <v/>
      </c>
    </row>
    <row r="830" spans="27:27" ht="15" customHeight="1" x14ac:dyDescent="0.25">
      <c r="AA830" s="28" t="str">
        <f t="shared" si="12"/>
        <v/>
      </c>
    </row>
    <row r="831" spans="27:27" ht="15" customHeight="1" x14ac:dyDescent="0.25">
      <c r="AA831" s="28" t="str">
        <f t="shared" si="12"/>
        <v/>
      </c>
    </row>
    <row r="832" spans="27:27" ht="15" customHeight="1" x14ac:dyDescent="0.25">
      <c r="AA832" s="28" t="str">
        <f t="shared" si="12"/>
        <v/>
      </c>
    </row>
    <row r="833" spans="27:27" ht="15" customHeight="1" x14ac:dyDescent="0.25">
      <c r="AA833" s="28" t="str">
        <f t="shared" si="12"/>
        <v/>
      </c>
    </row>
    <row r="834" spans="27:27" ht="15" customHeight="1" x14ac:dyDescent="0.25">
      <c r="AA834" s="28" t="str">
        <f t="shared" si="12"/>
        <v/>
      </c>
    </row>
    <row r="835" spans="27:27" ht="15" customHeight="1" x14ac:dyDescent="0.25">
      <c r="AA835" s="28" t="str">
        <f t="shared" si="12"/>
        <v/>
      </c>
    </row>
    <row r="836" spans="27:27" ht="15" customHeight="1" x14ac:dyDescent="0.25">
      <c r="AA836" s="28" t="str">
        <f t="shared" si="12"/>
        <v/>
      </c>
    </row>
    <row r="837" spans="27:27" ht="15" customHeight="1" x14ac:dyDescent="0.25">
      <c r="AA837" s="28" t="str">
        <f t="shared" si="12"/>
        <v/>
      </c>
    </row>
    <row r="838" spans="27:27" ht="15" customHeight="1" x14ac:dyDescent="0.25">
      <c r="AA838" s="28" t="str">
        <f t="shared" si="12"/>
        <v/>
      </c>
    </row>
    <row r="839" spans="27:27" ht="15" customHeight="1" x14ac:dyDescent="0.25">
      <c r="AA839" s="28" t="str">
        <f t="shared" si="12"/>
        <v/>
      </c>
    </row>
    <row r="840" spans="27:27" ht="15" customHeight="1" x14ac:dyDescent="0.25">
      <c r="AA840" s="28" t="str">
        <f t="shared" ref="AA840:AA903" si="13">IFERROR(
IF(AND(X840="Não",Y840="Sim"),"REP",
IF(AND(X840="Sim",Y840="Não"),"Técnico",
IF(AND(X840="Sim",Y840="Sim"),"Ambos",""))),
"")</f>
        <v/>
      </c>
    </row>
    <row r="841" spans="27:27" ht="15" customHeight="1" x14ac:dyDescent="0.25">
      <c r="AA841" s="28" t="str">
        <f t="shared" si="13"/>
        <v/>
      </c>
    </row>
    <row r="842" spans="27:27" ht="15" customHeight="1" x14ac:dyDescent="0.25">
      <c r="AA842" s="28" t="str">
        <f t="shared" si="13"/>
        <v/>
      </c>
    </row>
    <row r="843" spans="27:27" ht="15" customHeight="1" x14ac:dyDescent="0.25">
      <c r="AA843" s="28" t="str">
        <f t="shared" si="13"/>
        <v/>
      </c>
    </row>
    <row r="844" spans="27:27" ht="15" customHeight="1" x14ac:dyDescent="0.25">
      <c r="AA844" s="28" t="str">
        <f t="shared" si="13"/>
        <v/>
      </c>
    </row>
    <row r="845" spans="27:27" ht="15" customHeight="1" x14ac:dyDescent="0.25">
      <c r="AA845" s="28" t="str">
        <f t="shared" si="13"/>
        <v/>
      </c>
    </row>
    <row r="846" spans="27:27" ht="15" customHeight="1" x14ac:dyDescent="0.25">
      <c r="AA846" s="28" t="str">
        <f t="shared" si="13"/>
        <v/>
      </c>
    </row>
    <row r="847" spans="27:27" ht="15" customHeight="1" x14ac:dyDescent="0.25">
      <c r="AA847" s="28" t="str">
        <f t="shared" si="13"/>
        <v/>
      </c>
    </row>
    <row r="848" spans="27:27" ht="15" customHeight="1" x14ac:dyDescent="0.25">
      <c r="AA848" s="28" t="str">
        <f t="shared" si="13"/>
        <v/>
      </c>
    </row>
    <row r="849" spans="27:27" ht="15" customHeight="1" x14ac:dyDescent="0.25">
      <c r="AA849" s="28" t="str">
        <f t="shared" si="13"/>
        <v/>
      </c>
    </row>
    <row r="850" spans="27:27" ht="15" customHeight="1" x14ac:dyDescent="0.25">
      <c r="AA850" s="28" t="str">
        <f t="shared" si="13"/>
        <v/>
      </c>
    </row>
    <row r="851" spans="27:27" ht="15" customHeight="1" x14ac:dyDescent="0.25">
      <c r="AA851" s="28" t="str">
        <f t="shared" si="13"/>
        <v/>
      </c>
    </row>
    <row r="852" spans="27:27" ht="15" customHeight="1" x14ac:dyDescent="0.25">
      <c r="AA852" s="28" t="str">
        <f t="shared" si="13"/>
        <v/>
      </c>
    </row>
    <row r="853" spans="27:27" ht="15" customHeight="1" x14ac:dyDescent="0.25">
      <c r="AA853" s="28" t="str">
        <f t="shared" si="13"/>
        <v/>
      </c>
    </row>
    <row r="854" spans="27:27" ht="15" customHeight="1" x14ac:dyDescent="0.25">
      <c r="AA854" s="28" t="str">
        <f t="shared" si="13"/>
        <v/>
      </c>
    </row>
    <row r="855" spans="27:27" ht="15" customHeight="1" x14ac:dyDescent="0.25">
      <c r="AA855" s="28" t="str">
        <f t="shared" si="13"/>
        <v/>
      </c>
    </row>
    <row r="856" spans="27:27" ht="15" customHeight="1" x14ac:dyDescent="0.25">
      <c r="AA856" s="28" t="str">
        <f t="shared" si="13"/>
        <v/>
      </c>
    </row>
    <row r="857" spans="27:27" ht="15" customHeight="1" x14ac:dyDescent="0.25">
      <c r="AA857" s="28" t="str">
        <f t="shared" si="13"/>
        <v/>
      </c>
    </row>
    <row r="858" spans="27:27" ht="15" customHeight="1" x14ac:dyDescent="0.25">
      <c r="AA858" s="28" t="str">
        <f t="shared" si="13"/>
        <v/>
      </c>
    </row>
    <row r="859" spans="27:27" ht="15" customHeight="1" x14ac:dyDescent="0.25">
      <c r="AA859" s="28" t="str">
        <f t="shared" si="13"/>
        <v/>
      </c>
    </row>
    <row r="860" spans="27:27" ht="15" customHeight="1" x14ac:dyDescent="0.25">
      <c r="AA860" s="28" t="str">
        <f t="shared" si="13"/>
        <v/>
      </c>
    </row>
    <row r="861" spans="27:27" ht="15" customHeight="1" x14ac:dyDescent="0.25">
      <c r="AA861" s="28" t="str">
        <f t="shared" si="13"/>
        <v/>
      </c>
    </row>
    <row r="862" spans="27:27" ht="15" customHeight="1" x14ac:dyDescent="0.25">
      <c r="AA862" s="28" t="str">
        <f t="shared" si="13"/>
        <v/>
      </c>
    </row>
    <row r="863" spans="27:27" ht="15" customHeight="1" x14ac:dyDescent="0.25">
      <c r="AA863" s="28" t="str">
        <f t="shared" si="13"/>
        <v/>
      </c>
    </row>
    <row r="864" spans="27:27" ht="15" customHeight="1" x14ac:dyDescent="0.25">
      <c r="AA864" s="28" t="str">
        <f t="shared" si="13"/>
        <v/>
      </c>
    </row>
    <row r="865" spans="27:27" ht="15" customHeight="1" x14ac:dyDescent="0.25">
      <c r="AA865" s="28" t="str">
        <f t="shared" si="13"/>
        <v/>
      </c>
    </row>
    <row r="866" spans="27:27" ht="15" customHeight="1" x14ac:dyDescent="0.25">
      <c r="AA866" s="28" t="str">
        <f t="shared" si="13"/>
        <v/>
      </c>
    </row>
    <row r="867" spans="27:27" ht="15" customHeight="1" x14ac:dyDescent="0.25">
      <c r="AA867" s="28" t="str">
        <f t="shared" si="13"/>
        <v/>
      </c>
    </row>
    <row r="868" spans="27:27" ht="15" customHeight="1" x14ac:dyDescent="0.25">
      <c r="AA868" s="28" t="str">
        <f t="shared" si="13"/>
        <v/>
      </c>
    </row>
    <row r="869" spans="27:27" ht="15" customHeight="1" x14ac:dyDescent="0.25">
      <c r="AA869" s="28" t="str">
        <f t="shared" si="13"/>
        <v/>
      </c>
    </row>
    <row r="870" spans="27:27" ht="15" customHeight="1" x14ac:dyDescent="0.25">
      <c r="AA870" s="28" t="str">
        <f t="shared" si="13"/>
        <v/>
      </c>
    </row>
    <row r="871" spans="27:27" ht="15" customHeight="1" x14ac:dyDescent="0.25">
      <c r="AA871" s="28" t="str">
        <f t="shared" si="13"/>
        <v/>
      </c>
    </row>
    <row r="872" spans="27:27" ht="15" customHeight="1" x14ac:dyDescent="0.25">
      <c r="AA872" s="28" t="str">
        <f t="shared" si="13"/>
        <v/>
      </c>
    </row>
    <row r="873" spans="27:27" ht="15" customHeight="1" x14ac:dyDescent="0.25">
      <c r="AA873" s="28" t="str">
        <f t="shared" si="13"/>
        <v/>
      </c>
    </row>
    <row r="874" spans="27:27" ht="15" customHeight="1" x14ac:dyDescent="0.25">
      <c r="AA874" s="28" t="str">
        <f t="shared" si="13"/>
        <v/>
      </c>
    </row>
    <row r="875" spans="27:27" ht="15" customHeight="1" x14ac:dyDescent="0.25">
      <c r="AA875" s="28" t="str">
        <f t="shared" si="13"/>
        <v/>
      </c>
    </row>
    <row r="876" spans="27:27" ht="15" customHeight="1" x14ac:dyDescent="0.25">
      <c r="AA876" s="28" t="str">
        <f t="shared" si="13"/>
        <v/>
      </c>
    </row>
    <row r="877" spans="27:27" ht="15" customHeight="1" x14ac:dyDescent="0.25">
      <c r="AA877" s="28" t="str">
        <f t="shared" si="13"/>
        <v/>
      </c>
    </row>
    <row r="878" spans="27:27" ht="15" customHeight="1" x14ac:dyDescent="0.25">
      <c r="AA878" s="28" t="str">
        <f t="shared" si="13"/>
        <v/>
      </c>
    </row>
    <row r="879" spans="27:27" ht="15" customHeight="1" x14ac:dyDescent="0.25">
      <c r="AA879" s="28" t="str">
        <f t="shared" si="13"/>
        <v/>
      </c>
    </row>
    <row r="880" spans="27:27" ht="15" customHeight="1" x14ac:dyDescent="0.25">
      <c r="AA880" s="28" t="str">
        <f t="shared" si="13"/>
        <v/>
      </c>
    </row>
    <row r="881" spans="27:27" ht="15" customHeight="1" x14ac:dyDescent="0.25">
      <c r="AA881" s="28" t="str">
        <f t="shared" si="13"/>
        <v/>
      </c>
    </row>
    <row r="882" spans="27:27" ht="15" customHeight="1" x14ac:dyDescent="0.25">
      <c r="AA882" s="28" t="str">
        <f t="shared" si="13"/>
        <v/>
      </c>
    </row>
    <row r="883" spans="27:27" ht="15" customHeight="1" x14ac:dyDescent="0.25">
      <c r="AA883" s="28" t="str">
        <f t="shared" si="13"/>
        <v/>
      </c>
    </row>
    <row r="884" spans="27:27" ht="15" customHeight="1" x14ac:dyDescent="0.25">
      <c r="AA884" s="28" t="str">
        <f t="shared" si="13"/>
        <v/>
      </c>
    </row>
    <row r="885" spans="27:27" ht="15" customHeight="1" x14ac:dyDescent="0.25">
      <c r="AA885" s="28" t="str">
        <f t="shared" si="13"/>
        <v/>
      </c>
    </row>
    <row r="886" spans="27:27" ht="15" customHeight="1" x14ac:dyDescent="0.25">
      <c r="AA886" s="28" t="str">
        <f t="shared" si="13"/>
        <v/>
      </c>
    </row>
    <row r="887" spans="27:27" ht="15" customHeight="1" x14ac:dyDescent="0.25">
      <c r="AA887" s="28" t="str">
        <f t="shared" si="13"/>
        <v/>
      </c>
    </row>
    <row r="888" spans="27:27" ht="15" customHeight="1" x14ac:dyDescent="0.25">
      <c r="AA888" s="28" t="str">
        <f t="shared" si="13"/>
        <v/>
      </c>
    </row>
    <row r="889" spans="27:27" ht="15" customHeight="1" x14ac:dyDescent="0.25">
      <c r="AA889" s="28" t="str">
        <f t="shared" si="13"/>
        <v/>
      </c>
    </row>
    <row r="890" spans="27:27" ht="15" customHeight="1" x14ac:dyDescent="0.25">
      <c r="AA890" s="28" t="str">
        <f t="shared" si="13"/>
        <v/>
      </c>
    </row>
    <row r="891" spans="27:27" ht="15" customHeight="1" x14ac:dyDescent="0.25">
      <c r="AA891" s="28" t="str">
        <f t="shared" si="13"/>
        <v/>
      </c>
    </row>
    <row r="892" spans="27:27" ht="15" customHeight="1" x14ac:dyDescent="0.25">
      <c r="AA892" s="28" t="str">
        <f t="shared" si="13"/>
        <v/>
      </c>
    </row>
    <row r="893" spans="27:27" ht="15" customHeight="1" x14ac:dyDescent="0.25">
      <c r="AA893" s="28" t="str">
        <f t="shared" si="13"/>
        <v/>
      </c>
    </row>
    <row r="894" spans="27:27" ht="15" customHeight="1" x14ac:dyDescent="0.25">
      <c r="AA894" s="28" t="str">
        <f t="shared" si="13"/>
        <v/>
      </c>
    </row>
    <row r="895" spans="27:27" ht="15" customHeight="1" x14ac:dyDescent="0.25">
      <c r="AA895" s="28" t="str">
        <f t="shared" si="13"/>
        <v/>
      </c>
    </row>
    <row r="896" spans="27:27" ht="15" customHeight="1" x14ac:dyDescent="0.25">
      <c r="AA896" s="28" t="str">
        <f t="shared" si="13"/>
        <v/>
      </c>
    </row>
    <row r="897" spans="27:27" ht="15" customHeight="1" x14ac:dyDescent="0.25">
      <c r="AA897" s="28" t="str">
        <f t="shared" si="13"/>
        <v/>
      </c>
    </row>
    <row r="898" spans="27:27" ht="15" customHeight="1" x14ac:dyDescent="0.25">
      <c r="AA898" s="28" t="str">
        <f t="shared" si="13"/>
        <v/>
      </c>
    </row>
    <row r="899" spans="27:27" ht="15" customHeight="1" x14ac:dyDescent="0.25">
      <c r="AA899" s="28" t="str">
        <f t="shared" si="13"/>
        <v/>
      </c>
    </row>
    <row r="900" spans="27:27" ht="15" customHeight="1" x14ac:dyDescent="0.25">
      <c r="AA900" s="28" t="str">
        <f t="shared" si="13"/>
        <v/>
      </c>
    </row>
    <row r="901" spans="27:27" ht="15" customHeight="1" x14ac:dyDescent="0.25">
      <c r="AA901" s="28" t="str">
        <f t="shared" si="13"/>
        <v/>
      </c>
    </row>
    <row r="902" spans="27:27" ht="15" customHeight="1" x14ac:dyDescent="0.25">
      <c r="AA902" s="28" t="str">
        <f t="shared" si="13"/>
        <v/>
      </c>
    </row>
    <row r="903" spans="27:27" ht="15" customHeight="1" x14ac:dyDescent="0.25">
      <c r="AA903" s="28" t="str">
        <f t="shared" si="13"/>
        <v/>
      </c>
    </row>
    <row r="904" spans="27:27" ht="15" customHeight="1" x14ac:dyDescent="0.25">
      <c r="AA904" s="28" t="str">
        <f t="shared" ref="AA904:AA967" si="14">IFERROR(
IF(AND(X904="Não",Y904="Sim"),"REP",
IF(AND(X904="Sim",Y904="Não"),"Técnico",
IF(AND(X904="Sim",Y904="Sim"),"Ambos",""))),
"")</f>
        <v/>
      </c>
    </row>
    <row r="905" spans="27:27" ht="15" customHeight="1" x14ac:dyDescent="0.25">
      <c r="AA905" s="28" t="str">
        <f t="shared" si="14"/>
        <v/>
      </c>
    </row>
    <row r="906" spans="27:27" ht="15" customHeight="1" x14ac:dyDescent="0.25">
      <c r="AA906" s="28" t="str">
        <f t="shared" si="14"/>
        <v/>
      </c>
    </row>
    <row r="907" spans="27:27" ht="15" customHeight="1" x14ac:dyDescent="0.25">
      <c r="AA907" s="28" t="str">
        <f t="shared" si="14"/>
        <v/>
      </c>
    </row>
    <row r="908" spans="27:27" ht="15" customHeight="1" x14ac:dyDescent="0.25">
      <c r="AA908" s="28" t="str">
        <f t="shared" si="14"/>
        <v/>
      </c>
    </row>
    <row r="909" spans="27:27" ht="15" customHeight="1" x14ac:dyDescent="0.25">
      <c r="AA909" s="28" t="str">
        <f t="shared" si="14"/>
        <v/>
      </c>
    </row>
    <row r="910" spans="27:27" ht="15" customHeight="1" x14ac:dyDescent="0.25">
      <c r="AA910" s="28" t="str">
        <f t="shared" si="14"/>
        <v/>
      </c>
    </row>
    <row r="911" spans="27:27" ht="15" customHeight="1" x14ac:dyDescent="0.25">
      <c r="AA911" s="28" t="str">
        <f t="shared" si="14"/>
        <v/>
      </c>
    </row>
    <row r="912" spans="27:27" ht="15" customHeight="1" x14ac:dyDescent="0.25">
      <c r="AA912" s="28" t="str">
        <f t="shared" si="14"/>
        <v/>
      </c>
    </row>
    <row r="913" spans="27:27" ht="15" customHeight="1" x14ac:dyDescent="0.25">
      <c r="AA913" s="28" t="str">
        <f t="shared" si="14"/>
        <v/>
      </c>
    </row>
    <row r="914" spans="27:27" ht="15" customHeight="1" x14ac:dyDescent="0.25">
      <c r="AA914" s="28" t="str">
        <f t="shared" si="14"/>
        <v/>
      </c>
    </row>
    <row r="915" spans="27:27" ht="15" customHeight="1" x14ac:dyDescent="0.25">
      <c r="AA915" s="28" t="str">
        <f t="shared" si="14"/>
        <v/>
      </c>
    </row>
    <row r="916" spans="27:27" ht="15" customHeight="1" x14ac:dyDescent="0.25">
      <c r="AA916" s="28" t="str">
        <f t="shared" si="14"/>
        <v/>
      </c>
    </row>
    <row r="917" spans="27:27" ht="15" customHeight="1" x14ac:dyDescent="0.25">
      <c r="AA917" s="28" t="str">
        <f t="shared" si="14"/>
        <v/>
      </c>
    </row>
    <row r="918" spans="27:27" ht="15" customHeight="1" x14ac:dyDescent="0.25">
      <c r="AA918" s="28" t="str">
        <f t="shared" si="14"/>
        <v/>
      </c>
    </row>
    <row r="919" spans="27:27" ht="15" customHeight="1" x14ac:dyDescent="0.25">
      <c r="AA919" s="28" t="str">
        <f t="shared" si="14"/>
        <v/>
      </c>
    </row>
    <row r="920" spans="27:27" ht="15" customHeight="1" x14ac:dyDescent="0.25">
      <c r="AA920" s="28" t="str">
        <f t="shared" si="14"/>
        <v/>
      </c>
    </row>
    <row r="921" spans="27:27" ht="15" customHeight="1" x14ac:dyDescent="0.25">
      <c r="AA921" s="28" t="str">
        <f t="shared" si="14"/>
        <v/>
      </c>
    </row>
    <row r="922" spans="27:27" ht="15" customHeight="1" x14ac:dyDescent="0.25">
      <c r="AA922" s="28" t="str">
        <f t="shared" si="14"/>
        <v/>
      </c>
    </row>
    <row r="923" spans="27:27" ht="15" customHeight="1" x14ac:dyDescent="0.25">
      <c r="AA923" s="28" t="str">
        <f t="shared" si="14"/>
        <v/>
      </c>
    </row>
    <row r="924" spans="27:27" ht="15" customHeight="1" x14ac:dyDescent="0.25">
      <c r="AA924" s="28" t="str">
        <f t="shared" si="14"/>
        <v/>
      </c>
    </row>
    <row r="925" spans="27:27" ht="15" customHeight="1" x14ac:dyDescent="0.25">
      <c r="AA925" s="28" t="str">
        <f t="shared" si="14"/>
        <v/>
      </c>
    </row>
    <row r="926" spans="27:27" ht="15" customHeight="1" x14ac:dyDescent="0.25">
      <c r="AA926" s="28" t="str">
        <f t="shared" si="14"/>
        <v/>
      </c>
    </row>
    <row r="927" spans="27:27" ht="15" customHeight="1" x14ac:dyDescent="0.25">
      <c r="AA927" s="28" t="str">
        <f t="shared" si="14"/>
        <v/>
      </c>
    </row>
    <row r="928" spans="27:27" ht="15" customHeight="1" x14ac:dyDescent="0.25">
      <c r="AA928" s="28" t="str">
        <f t="shared" si="14"/>
        <v/>
      </c>
    </row>
    <row r="929" spans="27:27" ht="15" customHeight="1" x14ac:dyDescent="0.25">
      <c r="AA929" s="28" t="str">
        <f t="shared" si="14"/>
        <v/>
      </c>
    </row>
    <row r="930" spans="27:27" ht="15" customHeight="1" x14ac:dyDescent="0.25">
      <c r="AA930" s="28" t="str">
        <f t="shared" si="14"/>
        <v/>
      </c>
    </row>
    <row r="931" spans="27:27" ht="15" customHeight="1" x14ac:dyDescent="0.25">
      <c r="AA931" s="28" t="str">
        <f t="shared" si="14"/>
        <v/>
      </c>
    </row>
    <row r="932" spans="27:27" ht="15" customHeight="1" x14ac:dyDescent="0.25">
      <c r="AA932" s="28" t="str">
        <f t="shared" si="14"/>
        <v/>
      </c>
    </row>
    <row r="933" spans="27:27" ht="15" customHeight="1" x14ac:dyDescent="0.25">
      <c r="AA933" s="28" t="str">
        <f t="shared" si="14"/>
        <v/>
      </c>
    </row>
    <row r="934" spans="27:27" ht="15" customHeight="1" x14ac:dyDescent="0.25">
      <c r="AA934" s="28" t="str">
        <f t="shared" si="14"/>
        <v/>
      </c>
    </row>
    <row r="935" spans="27:27" ht="15" customHeight="1" x14ac:dyDescent="0.25">
      <c r="AA935" s="28" t="str">
        <f t="shared" si="14"/>
        <v/>
      </c>
    </row>
    <row r="936" spans="27:27" ht="15" customHeight="1" x14ac:dyDescent="0.25">
      <c r="AA936" s="28" t="str">
        <f t="shared" si="14"/>
        <v/>
      </c>
    </row>
    <row r="937" spans="27:27" ht="15" customHeight="1" x14ac:dyDescent="0.25">
      <c r="AA937" s="28" t="str">
        <f t="shared" si="14"/>
        <v/>
      </c>
    </row>
    <row r="938" spans="27:27" ht="15" customHeight="1" x14ac:dyDescent="0.25">
      <c r="AA938" s="28" t="str">
        <f t="shared" si="14"/>
        <v/>
      </c>
    </row>
    <row r="939" spans="27:27" ht="15" customHeight="1" x14ac:dyDescent="0.25">
      <c r="AA939" s="28" t="str">
        <f t="shared" si="14"/>
        <v/>
      </c>
    </row>
    <row r="940" spans="27:27" ht="15" customHeight="1" x14ac:dyDescent="0.25">
      <c r="AA940" s="28" t="str">
        <f t="shared" si="14"/>
        <v/>
      </c>
    </row>
    <row r="941" spans="27:27" ht="15" customHeight="1" x14ac:dyDescent="0.25">
      <c r="AA941" s="28" t="str">
        <f t="shared" si="14"/>
        <v/>
      </c>
    </row>
    <row r="942" spans="27:27" ht="15" customHeight="1" x14ac:dyDescent="0.25">
      <c r="AA942" s="28" t="str">
        <f t="shared" si="14"/>
        <v/>
      </c>
    </row>
    <row r="943" spans="27:27" ht="15" customHeight="1" x14ac:dyDescent="0.25">
      <c r="AA943" s="28" t="str">
        <f t="shared" si="14"/>
        <v/>
      </c>
    </row>
    <row r="944" spans="27:27" ht="15" customHeight="1" x14ac:dyDescent="0.25">
      <c r="AA944" s="28" t="str">
        <f t="shared" si="14"/>
        <v/>
      </c>
    </row>
    <row r="945" spans="27:27" ht="15" customHeight="1" x14ac:dyDescent="0.25">
      <c r="AA945" s="28" t="str">
        <f t="shared" si="14"/>
        <v/>
      </c>
    </row>
    <row r="946" spans="27:27" ht="15" customHeight="1" x14ac:dyDescent="0.25">
      <c r="AA946" s="28" t="str">
        <f t="shared" si="14"/>
        <v/>
      </c>
    </row>
    <row r="947" spans="27:27" ht="15" customHeight="1" x14ac:dyDescent="0.25">
      <c r="AA947" s="28" t="str">
        <f t="shared" si="14"/>
        <v/>
      </c>
    </row>
    <row r="948" spans="27:27" ht="15" customHeight="1" x14ac:dyDescent="0.25">
      <c r="AA948" s="28" t="str">
        <f t="shared" si="14"/>
        <v/>
      </c>
    </row>
    <row r="949" spans="27:27" ht="15" customHeight="1" x14ac:dyDescent="0.25">
      <c r="AA949" s="28" t="str">
        <f t="shared" si="14"/>
        <v/>
      </c>
    </row>
    <row r="950" spans="27:27" ht="15" customHeight="1" x14ac:dyDescent="0.25">
      <c r="AA950" s="28" t="str">
        <f t="shared" si="14"/>
        <v/>
      </c>
    </row>
    <row r="951" spans="27:27" ht="15" customHeight="1" x14ac:dyDescent="0.25">
      <c r="AA951" s="28" t="str">
        <f t="shared" si="14"/>
        <v/>
      </c>
    </row>
    <row r="952" spans="27:27" ht="15" customHeight="1" x14ac:dyDescent="0.25">
      <c r="AA952" s="28" t="str">
        <f t="shared" si="14"/>
        <v/>
      </c>
    </row>
    <row r="953" spans="27:27" ht="15" customHeight="1" x14ac:dyDescent="0.25">
      <c r="AA953" s="28" t="str">
        <f t="shared" si="14"/>
        <v/>
      </c>
    </row>
    <row r="954" spans="27:27" ht="15" customHeight="1" x14ac:dyDescent="0.25">
      <c r="AA954" s="28" t="str">
        <f t="shared" si="14"/>
        <v/>
      </c>
    </row>
    <row r="955" spans="27:27" ht="15" customHeight="1" x14ac:dyDescent="0.25">
      <c r="AA955" s="28" t="str">
        <f t="shared" si="14"/>
        <v/>
      </c>
    </row>
    <row r="956" spans="27:27" ht="15" customHeight="1" x14ac:dyDescent="0.25">
      <c r="AA956" s="28" t="str">
        <f t="shared" si="14"/>
        <v/>
      </c>
    </row>
    <row r="957" spans="27:27" ht="15" customHeight="1" x14ac:dyDescent="0.25">
      <c r="AA957" s="28" t="str">
        <f t="shared" si="14"/>
        <v/>
      </c>
    </row>
    <row r="958" spans="27:27" ht="15" customHeight="1" x14ac:dyDescent="0.25">
      <c r="AA958" s="28" t="str">
        <f t="shared" si="14"/>
        <v/>
      </c>
    </row>
    <row r="959" spans="27:27" ht="15" customHeight="1" x14ac:dyDescent="0.25">
      <c r="AA959" s="28" t="str">
        <f t="shared" si="14"/>
        <v/>
      </c>
    </row>
    <row r="960" spans="27:27" ht="15" customHeight="1" x14ac:dyDescent="0.25">
      <c r="AA960" s="28" t="str">
        <f t="shared" si="14"/>
        <v/>
      </c>
    </row>
    <row r="961" spans="27:27" ht="15" customHeight="1" x14ac:dyDescent="0.25">
      <c r="AA961" s="28" t="str">
        <f t="shared" si="14"/>
        <v/>
      </c>
    </row>
    <row r="962" spans="27:27" ht="15" customHeight="1" x14ac:dyDescent="0.25">
      <c r="AA962" s="28" t="str">
        <f t="shared" si="14"/>
        <v/>
      </c>
    </row>
    <row r="963" spans="27:27" ht="15" customHeight="1" x14ac:dyDescent="0.25">
      <c r="AA963" s="28" t="str">
        <f t="shared" si="14"/>
        <v/>
      </c>
    </row>
    <row r="964" spans="27:27" ht="15" customHeight="1" x14ac:dyDescent="0.25">
      <c r="AA964" s="28" t="str">
        <f t="shared" si="14"/>
        <v/>
      </c>
    </row>
    <row r="965" spans="27:27" ht="15" customHeight="1" x14ac:dyDescent="0.25">
      <c r="AA965" s="28" t="str">
        <f t="shared" si="14"/>
        <v/>
      </c>
    </row>
    <row r="966" spans="27:27" ht="15" customHeight="1" x14ac:dyDescent="0.25">
      <c r="AA966" s="28" t="str">
        <f t="shared" si="14"/>
        <v/>
      </c>
    </row>
    <row r="967" spans="27:27" ht="15" customHeight="1" x14ac:dyDescent="0.25">
      <c r="AA967" s="28" t="str">
        <f t="shared" si="14"/>
        <v/>
      </c>
    </row>
    <row r="968" spans="27:27" ht="15" customHeight="1" x14ac:dyDescent="0.25">
      <c r="AA968" s="28" t="str">
        <f t="shared" ref="AA968:AA1031" si="15">IFERROR(
IF(AND(X968="Não",Y968="Sim"),"REP",
IF(AND(X968="Sim",Y968="Não"),"Técnico",
IF(AND(X968="Sim",Y968="Sim"),"Ambos",""))),
"")</f>
        <v/>
      </c>
    </row>
    <row r="969" spans="27:27" ht="15" customHeight="1" x14ac:dyDescent="0.25">
      <c r="AA969" s="28" t="str">
        <f t="shared" si="15"/>
        <v/>
      </c>
    </row>
    <row r="970" spans="27:27" ht="15" customHeight="1" x14ac:dyDescent="0.25">
      <c r="AA970" s="28" t="str">
        <f t="shared" si="15"/>
        <v/>
      </c>
    </row>
    <row r="971" spans="27:27" ht="15" customHeight="1" x14ac:dyDescent="0.25">
      <c r="AA971" s="28" t="str">
        <f t="shared" si="15"/>
        <v/>
      </c>
    </row>
    <row r="972" spans="27:27" ht="15" customHeight="1" x14ac:dyDescent="0.25">
      <c r="AA972" s="28" t="str">
        <f t="shared" si="15"/>
        <v/>
      </c>
    </row>
    <row r="973" spans="27:27" ht="15" customHeight="1" x14ac:dyDescent="0.25">
      <c r="AA973" s="28" t="str">
        <f t="shared" si="15"/>
        <v/>
      </c>
    </row>
    <row r="974" spans="27:27" ht="15" customHeight="1" x14ac:dyDescent="0.25">
      <c r="AA974" s="28" t="str">
        <f t="shared" si="15"/>
        <v/>
      </c>
    </row>
    <row r="975" spans="27:27" ht="15" customHeight="1" x14ac:dyDescent="0.25">
      <c r="AA975" s="28" t="str">
        <f t="shared" si="15"/>
        <v/>
      </c>
    </row>
    <row r="976" spans="27:27" ht="15" customHeight="1" x14ac:dyDescent="0.25">
      <c r="AA976" s="28" t="str">
        <f t="shared" si="15"/>
        <v/>
      </c>
    </row>
    <row r="977" spans="27:27" ht="15" customHeight="1" x14ac:dyDescent="0.25">
      <c r="AA977" s="28" t="str">
        <f t="shared" si="15"/>
        <v/>
      </c>
    </row>
    <row r="978" spans="27:27" ht="15" customHeight="1" x14ac:dyDescent="0.25">
      <c r="AA978" s="28" t="str">
        <f t="shared" si="15"/>
        <v/>
      </c>
    </row>
    <row r="979" spans="27:27" ht="15" customHeight="1" x14ac:dyDescent="0.25">
      <c r="AA979" s="28" t="str">
        <f t="shared" si="15"/>
        <v/>
      </c>
    </row>
    <row r="980" spans="27:27" ht="15" customHeight="1" x14ac:dyDescent="0.25">
      <c r="AA980" s="28" t="str">
        <f t="shared" si="15"/>
        <v/>
      </c>
    </row>
    <row r="981" spans="27:27" ht="15" customHeight="1" x14ac:dyDescent="0.25">
      <c r="AA981" s="28" t="str">
        <f t="shared" si="15"/>
        <v/>
      </c>
    </row>
    <row r="982" spans="27:27" ht="15" customHeight="1" x14ac:dyDescent="0.25">
      <c r="AA982" s="28" t="str">
        <f t="shared" si="15"/>
        <v/>
      </c>
    </row>
    <row r="983" spans="27:27" ht="15" customHeight="1" x14ac:dyDescent="0.25">
      <c r="AA983" s="28" t="str">
        <f t="shared" si="15"/>
        <v/>
      </c>
    </row>
    <row r="984" spans="27:27" ht="15" customHeight="1" x14ac:dyDescent="0.25">
      <c r="AA984" s="28" t="str">
        <f t="shared" si="15"/>
        <v/>
      </c>
    </row>
    <row r="985" spans="27:27" ht="15" customHeight="1" x14ac:dyDescent="0.25">
      <c r="AA985" s="28" t="str">
        <f t="shared" si="15"/>
        <v/>
      </c>
    </row>
    <row r="986" spans="27:27" ht="15" customHeight="1" x14ac:dyDescent="0.25">
      <c r="AA986" s="28" t="str">
        <f t="shared" si="15"/>
        <v/>
      </c>
    </row>
    <row r="987" spans="27:27" ht="15" customHeight="1" x14ac:dyDescent="0.25">
      <c r="AA987" s="28" t="str">
        <f t="shared" si="15"/>
        <v/>
      </c>
    </row>
    <row r="988" spans="27:27" ht="15" customHeight="1" x14ac:dyDescent="0.25">
      <c r="AA988" s="28" t="str">
        <f t="shared" si="15"/>
        <v/>
      </c>
    </row>
    <row r="989" spans="27:27" ht="15" customHeight="1" x14ac:dyDescent="0.25">
      <c r="AA989" s="28" t="str">
        <f t="shared" si="15"/>
        <v/>
      </c>
    </row>
    <row r="990" spans="27:27" ht="15" customHeight="1" x14ac:dyDescent="0.25">
      <c r="AA990" s="28" t="str">
        <f t="shared" si="15"/>
        <v/>
      </c>
    </row>
    <row r="991" spans="27:27" ht="15" customHeight="1" x14ac:dyDescent="0.25">
      <c r="AA991" s="28" t="str">
        <f t="shared" si="15"/>
        <v/>
      </c>
    </row>
    <row r="992" spans="27:27" ht="15" customHeight="1" x14ac:dyDescent="0.25">
      <c r="AA992" s="28" t="str">
        <f t="shared" si="15"/>
        <v/>
      </c>
    </row>
    <row r="993" spans="27:27" ht="15" customHeight="1" x14ac:dyDescent="0.25">
      <c r="AA993" s="28" t="str">
        <f t="shared" si="15"/>
        <v/>
      </c>
    </row>
    <row r="994" spans="27:27" ht="15" customHeight="1" x14ac:dyDescent="0.25">
      <c r="AA994" s="28" t="str">
        <f t="shared" si="15"/>
        <v/>
      </c>
    </row>
    <row r="995" spans="27:27" ht="15" customHeight="1" x14ac:dyDescent="0.25">
      <c r="AA995" s="28" t="str">
        <f t="shared" si="15"/>
        <v/>
      </c>
    </row>
    <row r="996" spans="27:27" ht="15" customHeight="1" x14ac:dyDescent="0.25">
      <c r="AA996" s="28" t="str">
        <f t="shared" si="15"/>
        <v/>
      </c>
    </row>
    <row r="997" spans="27:27" ht="15" customHeight="1" x14ac:dyDescent="0.25">
      <c r="AA997" s="28" t="str">
        <f t="shared" si="15"/>
        <v/>
      </c>
    </row>
    <row r="998" spans="27:27" ht="15" customHeight="1" x14ac:dyDescent="0.25">
      <c r="AA998" s="28" t="str">
        <f t="shared" si="15"/>
        <v/>
      </c>
    </row>
    <row r="999" spans="27:27" ht="15" customHeight="1" x14ac:dyDescent="0.25">
      <c r="AA999" s="28" t="str">
        <f t="shared" si="15"/>
        <v/>
      </c>
    </row>
    <row r="1000" spans="27:27" ht="15" customHeight="1" x14ac:dyDescent="0.25">
      <c r="AA1000" s="28" t="str">
        <f t="shared" si="15"/>
        <v/>
      </c>
    </row>
    <row r="1001" spans="27:27" ht="15" customHeight="1" x14ac:dyDescent="0.25">
      <c r="AA1001" s="28" t="str">
        <f t="shared" si="15"/>
        <v/>
      </c>
    </row>
    <row r="1002" spans="27:27" ht="15" customHeight="1" x14ac:dyDescent="0.25">
      <c r="AA1002" s="28" t="str">
        <f t="shared" si="15"/>
        <v/>
      </c>
    </row>
    <row r="1003" spans="27:27" ht="15" customHeight="1" x14ac:dyDescent="0.25">
      <c r="AA1003" s="28" t="str">
        <f t="shared" si="15"/>
        <v/>
      </c>
    </row>
    <row r="1004" spans="27:27" ht="15" customHeight="1" x14ac:dyDescent="0.25">
      <c r="AA1004" s="28" t="str">
        <f t="shared" si="15"/>
        <v/>
      </c>
    </row>
    <row r="1005" spans="27:27" ht="15" customHeight="1" x14ac:dyDescent="0.25">
      <c r="AA1005" s="28" t="str">
        <f t="shared" si="15"/>
        <v/>
      </c>
    </row>
    <row r="1006" spans="27:27" ht="15" customHeight="1" x14ac:dyDescent="0.25">
      <c r="AA1006" s="28" t="str">
        <f t="shared" si="15"/>
        <v/>
      </c>
    </row>
    <row r="1007" spans="27:27" ht="15" customHeight="1" x14ac:dyDescent="0.25">
      <c r="AA1007" s="28" t="str">
        <f t="shared" si="15"/>
        <v/>
      </c>
    </row>
    <row r="1008" spans="27:27" ht="15" customHeight="1" x14ac:dyDescent="0.25">
      <c r="AA1008" s="28" t="str">
        <f t="shared" si="15"/>
        <v/>
      </c>
    </row>
    <row r="1009" spans="27:27" ht="15" customHeight="1" x14ac:dyDescent="0.25">
      <c r="AA1009" s="28" t="str">
        <f t="shared" si="15"/>
        <v/>
      </c>
    </row>
    <row r="1010" spans="27:27" ht="15" customHeight="1" x14ac:dyDescent="0.25">
      <c r="AA1010" s="28" t="str">
        <f t="shared" si="15"/>
        <v/>
      </c>
    </row>
    <row r="1011" spans="27:27" ht="15" customHeight="1" x14ac:dyDescent="0.25">
      <c r="AA1011" s="28" t="str">
        <f t="shared" si="15"/>
        <v/>
      </c>
    </row>
    <row r="1012" spans="27:27" ht="15" customHeight="1" x14ac:dyDescent="0.25">
      <c r="AA1012" s="28" t="str">
        <f t="shared" si="15"/>
        <v/>
      </c>
    </row>
    <row r="1013" spans="27:27" ht="15" customHeight="1" x14ac:dyDescent="0.25">
      <c r="AA1013" s="28" t="str">
        <f t="shared" si="15"/>
        <v/>
      </c>
    </row>
    <row r="1014" spans="27:27" ht="15" customHeight="1" x14ac:dyDescent="0.25">
      <c r="AA1014" s="28" t="str">
        <f t="shared" si="15"/>
        <v/>
      </c>
    </row>
    <row r="1015" spans="27:27" ht="15" customHeight="1" x14ac:dyDescent="0.25">
      <c r="AA1015" s="28" t="str">
        <f t="shared" si="15"/>
        <v/>
      </c>
    </row>
    <row r="1016" spans="27:27" ht="15" customHeight="1" x14ac:dyDescent="0.25">
      <c r="AA1016" s="28" t="str">
        <f t="shared" si="15"/>
        <v/>
      </c>
    </row>
    <row r="1017" spans="27:27" ht="15" customHeight="1" x14ac:dyDescent="0.25">
      <c r="AA1017" s="28" t="str">
        <f t="shared" si="15"/>
        <v/>
      </c>
    </row>
    <row r="1018" spans="27:27" ht="15" customHeight="1" x14ac:dyDescent="0.25">
      <c r="AA1018" s="28" t="str">
        <f t="shared" si="15"/>
        <v/>
      </c>
    </row>
    <row r="1019" spans="27:27" ht="15" customHeight="1" x14ac:dyDescent="0.25">
      <c r="AA1019" s="28" t="str">
        <f t="shared" si="15"/>
        <v/>
      </c>
    </row>
    <row r="1020" spans="27:27" ht="15" customHeight="1" x14ac:dyDescent="0.25">
      <c r="AA1020" s="28" t="str">
        <f t="shared" si="15"/>
        <v/>
      </c>
    </row>
    <row r="1021" spans="27:27" ht="15" customHeight="1" x14ac:dyDescent="0.25">
      <c r="AA1021" s="28" t="str">
        <f t="shared" si="15"/>
        <v/>
      </c>
    </row>
    <row r="1022" spans="27:27" ht="15" customHeight="1" x14ac:dyDescent="0.25">
      <c r="AA1022" s="28" t="str">
        <f t="shared" si="15"/>
        <v/>
      </c>
    </row>
    <row r="1023" spans="27:27" ht="15" customHeight="1" x14ac:dyDescent="0.25">
      <c r="AA1023" s="28" t="str">
        <f t="shared" si="15"/>
        <v/>
      </c>
    </row>
    <row r="1024" spans="27:27" ht="15" customHeight="1" x14ac:dyDescent="0.25">
      <c r="AA1024" s="28" t="str">
        <f t="shared" si="15"/>
        <v/>
      </c>
    </row>
    <row r="1025" spans="27:27" ht="15" customHeight="1" x14ac:dyDescent="0.25">
      <c r="AA1025" s="28" t="str">
        <f t="shared" si="15"/>
        <v/>
      </c>
    </row>
    <row r="1026" spans="27:27" ht="15" customHeight="1" x14ac:dyDescent="0.25">
      <c r="AA1026" s="28" t="str">
        <f t="shared" si="15"/>
        <v/>
      </c>
    </row>
    <row r="1027" spans="27:27" ht="15" customHeight="1" x14ac:dyDescent="0.25">
      <c r="AA1027" s="28" t="str">
        <f t="shared" si="15"/>
        <v/>
      </c>
    </row>
    <row r="1028" spans="27:27" ht="15" customHeight="1" x14ac:dyDescent="0.25">
      <c r="AA1028" s="28" t="str">
        <f t="shared" si="15"/>
        <v/>
      </c>
    </row>
    <row r="1029" spans="27:27" ht="15" customHeight="1" x14ac:dyDescent="0.25">
      <c r="AA1029" s="28" t="str">
        <f t="shared" si="15"/>
        <v/>
      </c>
    </row>
    <row r="1030" spans="27:27" ht="15" customHeight="1" x14ac:dyDescent="0.25">
      <c r="AA1030" s="28" t="str">
        <f t="shared" si="15"/>
        <v/>
      </c>
    </row>
    <row r="1031" spans="27:27" ht="15" customHeight="1" x14ac:dyDescent="0.25">
      <c r="AA1031" s="28" t="str">
        <f t="shared" si="15"/>
        <v/>
      </c>
    </row>
    <row r="1032" spans="27:27" ht="15" customHeight="1" x14ac:dyDescent="0.25">
      <c r="AA1032" s="28" t="str">
        <f t="shared" ref="AA1032:AA1095" si="16">IFERROR(
IF(AND(X1032="Não",Y1032="Sim"),"REP",
IF(AND(X1032="Sim",Y1032="Não"),"Técnico",
IF(AND(X1032="Sim",Y1032="Sim"),"Ambos",""))),
"")</f>
        <v/>
      </c>
    </row>
    <row r="1033" spans="27:27" ht="15" customHeight="1" x14ac:dyDescent="0.25">
      <c r="AA1033" s="28" t="str">
        <f t="shared" si="16"/>
        <v/>
      </c>
    </row>
    <row r="1034" spans="27:27" ht="15" customHeight="1" x14ac:dyDescent="0.25">
      <c r="AA1034" s="28" t="str">
        <f t="shared" si="16"/>
        <v/>
      </c>
    </row>
    <row r="1035" spans="27:27" ht="15" customHeight="1" x14ac:dyDescent="0.25">
      <c r="AA1035" s="28" t="str">
        <f t="shared" si="16"/>
        <v/>
      </c>
    </row>
    <row r="1036" spans="27:27" ht="15" customHeight="1" x14ac:dyDescent="0.25">
      <c r="AA1036" s="28" t="str">
        <f t="shared" si="16"/>
        <v/>
      </c>
    </row>
    <row r="1037" spans="27:27" ht="15" customHeight="1" x14ac:dyDescent="0.25">
      <c r="AA1037" s="28" t="str">
        <f t="shared" si="16"/>
        <v/>
      </c>
    </row>
    <row r="1038" spans="27:27" ht="15" customHeight="1" x14ac:dyDescent="0.25">
      <c r="AA1038" s="28" t="str">
        <f t="shared" si="16"/>
        <v/>
      </c>
    </row>
    <row r="1039" spans="27:27" ht="15" customHeight="1" x14ac:dyDescent="0.25">
      <c r="AA1039" s="28" t="str">
        <f t="shared" si="16"/>
        <v/>
      </c>
    </row>
    <row r="1040" spans="27:27" ht="15" customHeight="1" x14ac:dyDescent="0.25">
      <c r="AA1040" s="28" t="str">
        <f t="shared" si="16"/>
        <v/>
      </c>
    </row>
    <row r="1041" spans="27:27" ht="15" customHeight="1" x14ac:dyDescent="0.25">
      <c r="AA1041" s="28" t="str">
        <f t="shared" si="16"/>
        <v/>
      </c>
    </row>
    <row r="1042" spans="27:27" ht="15" customHeight="1" x14ac:dyDescent="0.25">
      <c r="AA1042" s="28" t="str">
        <f t="shared" si="16"/>
        <v/>
      </c>
    </row>
    <row r="1043" spans="27:27" ht="15" customHeight="1" x14ac:dyDescent="0.25">
      <c r="AA1043" s="28" t="str">
        <f t="shared" si="16"/>
        <v/>
      </c>
    </row>
    <row r="1044" spans="27:27" ht="15" customHeight="1" x14ac:dyDescent="0.25">
      <c r="AA1044" s="28" t="str">
        <f t="shared" si="16"/>
        <v/>
      </c>
    </row>
    <row r="1045" spans="27:27" ht="15" customHeight="1" x14ac:dyDescent="0.25">
      <c r="AA1045" s="28" t="str">
        <f t="shared" si="16"/>
        <v/>
      </c>
    </row>
    <row r="1046" spans="27:27" ht="15" customHeight="1" x14ac:dyDescent="0.25">
      <c r="AA1046" s="28" t="str">
        <f t="shared" si="16"/>
        <v/>
      </c>
    </row>
    <row r="1047" spans="27:27" ht="15" customHeight="1" x14ac:dyDescent="0.25">
      <c r="AA1047" s="28" t="str">
        <f t="shared" si="16"/>
        <v/>
      </c>
    </row>
    <row r="1048" spans="27:27" ht="15" customHeight="1" x14ac:dyDescent="0.25">
      <c r="AA1048" s="28" t="str">
        <f t="shared" si="16"/>
        <v/>
      </c>
    </row>
    <row r="1049" spans="27:27" ht="15" customHeight="1" x14ac:dyDescent="0.25">
      <c r="AA1049" s="28" t="str">
        <f t="shared" si="16"/>
        <v/>
      </c>
    </row>
    <row r="1050" spans="27:27" ht="15" customHeight="1" x14ac:dyDescent="0.25">
      <c r="AA1050" s="28" t="str">
        <f t="shared" si="16"/>
        <v/>
      </c>
    </row>
    <row r="1051" spans="27:27" ht="15" customHeight="1" x14ac:dyDescent="0.25">
      <c r="AA1051" s="28" t="str">
        <f t="shared" si="16"/>
        <v/>
      </c>
    </row>
    <row r="1052" spans="27:27" ht="15" customHeight="1" x14ac:dyDescent="0.25">
      <c r="AA1052" s="28" t="str">
        <f t="shared" si="16"/>
        <v/>
      </c>
    </row>
    <row r="1053" spans="27:27" ht="15" customHeight="1" x14ac:dyDescent="0.25">
      <c r="AA1053" s="28" t="str">
        <f t="shared" si="16"/>
        <v/>
      </c>
    </row>
    <row r="1054" spans="27:27" ht="15" customHeight="1" x14ac:dyDescent="0.25">
      <c r="AA1054" s="28" t="str">
        <f t="shared" si="16"/>
        <v/>
      </c>
    </row>
    <row r="1055" spans="27:27" ht="15" customHeight="1" x14ac:dyDescent="0.25">
      <c r="AA1055" s="28" t="str">
        <f t="shared" si="16"/>
        <v/>
      </c>
    </row>
    <row r="1056" spans="27:27" ht="15" customHeight="1" x14ac:dyDescent="0.25">
      <c r="AA1056" s="28" t="str">
        <f t="shared" si="16"/>
        <v/>
      </c>
    </row>
    <row r="1057" spans="27:27" ht="15" customHeight="1" x14ac:dyDescent="0.25">
      <c r="AA1057" s="28" t="str">
        <f t="shared" si="16"/>
        <v/>
      </c>
    </row>
    <row r="1058" spans="27:27" ht="15" customHeight="1" x14ac:dyDescent="0.25">
      <c r="AA1058" s="28" t="str">
        <f t="shared" si="16"/>
        <v/>
      </c>
    </row>
    <row r="1059" spans="27:27" ht="15" customHeight="1" x14ac:dyDescent="0.25">
      <c r="AA1059" s="28" t="str">
        <f t="shared" si="16"/>
        <v/>
      </c>
    </row>
    <row r="1060" spans="27:27" ht="15" customHeight="1" x14ac:dyDescent="0.25">
      <c r="AA1060" s="28" t="str">
        <f t="shared" si="16"/>
        <v/>
      </c>
    </row>
    <row r="1061" spans="27:27" ht="15" customHeight="1" x14ac:dyDescent="0.25">
      <c r="AA1061" s="28" t="str">
        <f t="shared" si="16"/>
        <v/>
      </c>
    </row>
    <row r="1062" spans="27:27" ht="15" customHeight="1" x14ac:dyDescent="0.25">
      <c r="AA1062" s="28" t="str">
        <f t="shared" si="16"/>
        <v/>
      </c>
    </row>
    <row r="1063" spans="27:27" ht="15" customHeight="1" x14ac:dyDescent="0.25">
      <c r="AA1063" s="28" t="str">
        <f t="shared" si="16"/>
        <v/>
      </c>
    </row>
    <row r="1064" spans="27:27" ht="15" customHeight="1" x14ac:dyDescent="0.25">
      <c r="AA1064" s="28" t="str">
        <f t="shared" si="16"/>
        <v/>
      </c>
    </row>
    <row r="1065" spans="27:27" ht="15" customHeight="1" x14ac:dyDescent="0.25">
      <c r="AA1065" s="28" t="str">
        <f t="shared" si="16"/>
        <v/>
      </c>
    </row>
    <row r="1066" spans="27:27" ht="15" customHeight="1" x14ac:dyDescent="0.25">
      <c r="AA1066" s="28" t="str">
        <f t="shared" si="16"/>
        <v/>
      </c>
    </row>
    <row r="1067" spans="27:27" ht="15" customHeight="1" x14ac:dyDescent="0.25">
      <c r="AA1067" s="28" t="str">
        <f t="shared" si="16"/>
        <v/>
      </c>
    </row>
    <row r="1068" spans="27:27" ht="15" customHeight="1" x14ac:dyDescent="0.25">
      <c r="AA1068" s="28" t="str">
        <f t="shared" si="16"/>
        <v/>
      </c>
    </row>
    <row r="1069" spans="27:27" ht="15" customHeight="1" x14ac:dyDescent="0.25">
      <c r="AA1069" s="28" t="str">
        <f t="shared" si="16"/>
        <v/>
      </c>
    </row>
    <row r="1070" spans="27:27" ht="15" customHeight="1" x14ac:dyDescent="0.25">
      <c r="AA1070" s="28" t="str">
        <f t="shared" si="16"/>
        <v/>
      </c>
    </row>
    <row r="1071" spans="27:27" ht="15" customHeight="1" x14ac:dyDescent="0.25">
      <c r="AA1071" s="28" t="str">
        <f t="shared" si="16"/>
        <v/>
      </c>
    </row>
    <row r="1072" spans="27:27" ht="15" customHeight="1" x14ac:dyDescent="0.25">
      <c r="AA1072" s="28" t="str">
        <f t="shared" si="16"/>
        <v/>
      </c>
    </row>
    <row r="1073" spans="27:27" ht="15" customHeight="1" x14ac:dyDescent="0.25">
      <c r="AA1073" s="28" t="str">
        <f t="shared" si="16"/>
        <v/>
      </c>
    </row>
    <row r="1074" spans="27:27" ht="15" customHeight="1" x14ac:dyDescent="0.25">
      <c r="AA1074" s="28" t="str">
        <f t="shared" si="16"/>
        <v/>
      </c>
    </row>
    <row r="1075" spans="27:27" ht="15" customHeight="1" x14ac:dyDescent="0.25">
      <c r="AA1075" s="28" t="str">
        <f t="shared" si="16"/>
        <v/>
      </c>
    </row>
    <row r="1076" spans="27:27" ht="15" customHeight="1" x14ac:dyDescent="0.25">
      <c r="AA1076" s="28" t="str">
        <f t="shared" si="16"/>
        <v/>
      </c>
    </row>
    <row r="1077" spans="27:27" ht="15" customHeight="1" x14ac:dyDescent="0.25">
      <c r="AA1077" s="28" t="str">
        <f t="shared" si="16"/>
        <v/>
      </c>
    </row>
    <row r="1078" spans="27:27" ht="15" customHeight="1" x14ac:dyDescent="0.25">
      <c r="AA1078" s="28" t="str">
        <f t="shared" si="16"/>
        <v/>
      </c>
    </row>
    <row r="1079" spans="27:27" ht="15" customHeight="1" x14ac:dyDescent="0.25">
      <c r="AA1079" s="28" t="str">
        <f t="shared" si="16"/>
        <v/>
      </c>
    </row>
    <row r="1080" spans="27:27" ht="15" customHeight="1" x14ac:dyDescent="0.25">
      <c r="AA1080" s="28" t="str">
        <f t="shared" si="16"/>
        <v/>
      </c>
    </row>
    <row r="1081" spans="27:27" ht="15" customHeight="1" x14ac:dyDescent="0.25">
      <c r="AA1081" s="28" t="str">
        <f t="shared" si="16"/>
        <v/>
      </c>
    </row>
    <row r="1082" spans="27:27" ht="15" customHeight="1" x14ac:dyDescent="0.25">
      <c r="AA1082" s="28" t="str">
        <f t="shared" si="16"/>
        <v/>
      </c>
    </row>
    <row r="1083" spans="27:27" ht="15" customHeight="1" x14ac:dyDescent="0.25">
      <c r="AA1083" s="28" t="str">
        <f t="shared" si="16"/>
        <v/>
      </c>
    </row>
    <row r="1084" spans="27:27" ht="15" customHeight="1" x14ac:dyDescent="0.25">
      <c r="AA1084" s="28" t="str">
        <f t="shared" si="16"/>
        <v/>
      </c>
    </row>
    <row r="1085" spans="27:27" ht="15" customHeight="1" x14ac:dyDescent="0.25">
      <c r="AA1085" s="28" t="str">
        <f t="shared" si="16"/>
        <v/>
      </c>
    </row>
    <row r="1086" spans="27:27" ht="15" customHeight="1" x14ac:dyDescent="0.25">
      <c r="AA1086" s="28" t="str">
        <f t="shared" si="16"/>
        <v/>
      </c>
    </row>
    <row r="1087" spans="27:27" ht="15" customHeight="1" x14ac:dyDescent="0.25">
      <c r="AA1087" s="28" t="str">
        <f t="shared" si="16"/>
        <v/>
      </c>
    </row>
    <row r="1088" spans="27:27" ht="15" customHeight="1" x14ac:dyDescent="0.25">
      <c r="AA1088" s="28" t="str">
        <f t="shared" si="16"/>
        <v/>
      </c>
    </row>
    <row r="1089" spans="27:27" ht="15" customHeight="1" x14ac:dyDescent="0.25">
      <c r="AA1089" s="28" t="str">
        <f t="shared" si="16"/>
        <v/>
      </c>
    </row>
    <row r="1090" spans="27:27" ht="15" customHeight="1" x14ac:dyDescent="0.25">
      <c r="AA1090" s="28" t="str">
        <f t="shared" si="16"/>
        <v/>
      </c>
    </row>
    <row r="1091" spans="27:27" ht="15" customHeight="1" x14ac:dyDescent="0.25">
      <c r="AA1091" s="28" t="str">
        <f t="shared" si="16"/>
        <v/>
      </c>
    </row>
    <row r="1092" spans="27:27" ht="15" customHeight="1" x14ac:dyDescent="0.25">
      <c r="AA1092" s="28" t="str">
        <f t="shared" si="16"/>
        <v/>
      </c>
    </row>
    <row r="1093" spans="27:27" ht="15" customHeight="1" x14ac:dyDescent="0.25">
      <c r="AA1093" s="28" t="str">
        <f t="shared" si="16"/>
        <v/>
      </c>
    </row>
    <row r="1094" spans="27:27" ht="15" customHeight="1" x14ac:dyDescent="0.25">
      <c r="AA1094" s="28" t="str">
        <f t="shared" si="16"/>
        <v/>
      </c>
    </row>
    <row r="1095" spans="27:27" ht="15" customHeight="1" x14ac:dyDescent="0.25">
      <c r="AA1095" s="28" t="str">
        <f t="shared" si="16"/>
        <v/>
      </c>
    </row>
    <row r="1096" spans="27:27" ht="15" customHeight="1" x14ac:dyDescent="0.25">
      <c r="AA1096" s="28" t="str">
        <f t="shared" ref="AA1096:AA1159" si="17">IFERROR(
IF(AND(X1096="Não",Y1096="Sim"),"REP",
IF(AND(X1096="Sim",Y1096="Não"),"Técnico",
IF(AND(X1096="Sim",Y1096="Sim"),"Ambos",""))),
"")</f>
        <v/>
      </c>
    </row>
    <row r="1097" spans="27:27" ht="15" customHeight="1" x14ac:dyDescent="0.25">
      <c r="AA1097" s="28" t="str">
        <f t="shared" si="17"/>
        <v/>
      </c>
    </row>
    <row r="1098" spans="27:27" ht="15" customHeight="1" x14ac:dyDescent="0.25">
      <c r="AA1098" s="28" t="str">
        <f t="shared" si="17"/>
        <v/>
      </c>
    </row>
    <row r="1099" spans="27:27" ht="15" customHeight="1" x14ac:dyDescent="0.25">
      <c r="AA1099" s="28" t="str">
        <f t="shared" si="17"/>
        <v/>
      </c>
    </row>
    <row r="1100" spans="27:27" ht="15" customHeight="1" x14ac:dyDescent="0.25">
      <c r="AA1100" s="28" t="str">
        <f t="shared" si="17"/>
        <v/>
      </c>
    </row>
    <row r="1101" spans="27:27" ht="15" customHeight="1" x14ac:dyDescent="0.25">
      <c r="AA1101" s="28" t="str">
        <f t="shared" si="17"/>
        <v/>
      </c>
    </row>
    <row r="1102" spans="27:27" ht="15" customHeight="1" x14ac:dyDescent="0.25">
      <c r="AA1102" s="28" t="str">
        <f t="shared" si="17"/>
        <v/>
      </c>
    </row>
    <row r="1103" spans="27:27" ht="15" customHeight="1" x14ac:dyDescent="0.25">
      <c r="AA1103" s="28" t="str">
        <f t="shared" si="17"/>
        <v/>
      </c>
    </row>
    <row r="1104" spans="27:27" ht="15" customHeight="1" x14ac:dyDescent="0.25">
      <c r="AA1104" s="28" t="str">
        <f t="shared" si="17"/>
        <v/>
      </c>
    </row>
    <row r="1105" spans="27:27" ht="15" customHeight="1" x14ac:dyDescent="0.25">
      <c r="AA1105" s="28" t="str">
        <f t="shared" si="17"/>
        <v/>
      </c>
    </row>
    <row r="1106" spans="27:27" ht="15" customHeight="1" x14ac:dyDescent="0.25">
      <c r="AA1106" s="28" t="str">
        <f t="shared" si="17"/>
        <v/>
      </c>
    </row>
    <row r="1107" spans="27:27" ht="15" customHeight="1" x14ac:dyDescent="0.25">
      <c r="AA1107" s="28" t="str">
        <f t="shared" si="17"/>
        <v/>
      </c>
    </row>
    <row r="1108" spans="27:27" ht="15" customHeight="1" x14ac:dyDescent="0.25">
      <c r="AA1108" s="28" t="str">
        <f t="shared" si="17"/>
        <v/>
      </c>
    </row>
    <row r="1109" spans="27:27" ht="15" customHeight="1" x14ac:dyDescent="0.25">
      <c r="AA1109" s="28" t="str">
        <f t="shared" si="17"/>
        <v/>
      </c>
    </row>
    <row r="1110" spans="27:27" ht="15" customHeight="1" x14ac:dyDescent="0.25">
      <c r="AA1110" s="28" t="str">
        <f t="shared" si="17"/>
        <v/>
      </c>
    </row>
    <row r="1111" spans="27:27" ht="15" customHeight="1" x14ac:dyDescent="0.25">
      <c r="AA1111" s="28" t="str">
        <f t="shared" si="17"/>
        <v/>
      </c>
    </row>
    <row r="1112" spans="27:27" ht="15" customHeight="1" x14ac:dyDescent="0.25">
      <c r="AA1112" s="28" t="str">
        <f t="shared" si="17"/>
        <v/>
      </c>
    </row>
    <row r="1113" spans="27:27" ht="15" customHeight="1" x14ac:dyDescent="0.25">
      <c r="AA1113" s="28" t="str">
        <f t="shared" si="17"/>
        <v/>
      </c>
    </row>
    <row r="1114" spans="27:27" ht="15" customHeight="1" x14ac:dyDescent="0.25">
      <c r="AA1114" s="28" t="str">
        <f t="shared" si="17"/>
        <v/>
      </c>
    </row>
    <row r="1115" spans="27:27" ht="15" customHeight="1" x14ac:dyDescent="0.25">
      <c r="AA1115" s="28" t="str">
        <f t="shared" si="17"/>
        <v/>
      </c>
    </row>
    <row r="1116" spans="27:27" ht="15" customHeight="1" x14ac:dyDescent="0.25">
      <c r="AA1116" s="28" t="str">
        <f t="shared" si="17"/>
        <v/>
      </c>
    </row>
    <row r="1117" spans="27:27" ht="15" customHeight="1" x14ac:dyDescent="0.25">
      <c r="AA1117" s="28" t="str">
        <f t="shared" si="17"/>
        <v/>
      </c>
    </row>
    <row r="1118" spans="27:27" ht="15" customHeight="1" x14ac:dyDescent="0.25">
      <c r="AA1118" s="28" t="str">
        <f t="shared" si="17"/>
        <v/>
      </c>
    </row>
    <row r="1119" spans="27:27" ht="15" customHeight="1" x14ac:dyDescent="0.25">
      <c r="AA1119" s="28" t="str">
        <f t="shared" si="17"/>
        <v/>
      </c>
    </row>
    <row r="1120" spans="27:27" ht="15" customHeight="1" x14ac:dyDescent="0.25">
      <c r="AA1120" s="28" t="str">
        <f t="shared" si="17"/>
        <v/>
      </c>
    </row>
    <row r="1121" spans="27:27" ht="15" customHeight="1" x14ac:dyDescent="0.25">
      <c r="AA1121" s="28" t="str">
        <f t="shared" si="17"/>
        <v/>
      </c>
    </row>
    <row r="1122" spans="27:27" ht="15" customHeight="1" x14ac:dyDescent="0.25">
      <c r="AA1122" s="28" t="str">
        <f t="shared" si="17"/>
        <v/>
      </c>
    </row>
    <row r="1123" spans="27:27" ht="15" customHeight="1" x14ac:dyDescent="0.25">
      <c r="AA1123" s="28" t="str">
        <f t="shared" si="17"/>
        <v/>
      </c>
    </row>
    <row r="1124" spans="27:27" ht="15" customHeight="1" x14ac:dyDescent="0.25">
      <c r="AA1124" s="28" t="str">
        <f t="shared" si="17"/>
        <v/>
      </c>
    </row>
    <row r="1125" spans="27:27" ht="15" customHeight="1" x14ac:dyDescent="0.25">
      <c r="AA1125" s="28" t="str">
        <f t="shared" si="17"/>
        <v/>
      </c>
    </row>
    <row r="1126" spans="27:27" ht="15" customHeight="1" x14ac:dyDescent="0.25">
      <c r="AA1126" s="28" t="str">
        <f t="shared" si="17"/>
        <v/>
      </c>
    </row>
    <row r="1127" spans="27:27" ht="15" customHeight="1" x14ac:dyDescent="0.25">
      <c r="AA1127" s="28" t="str">
        <f t="shared" si="17"/>
        <v/>
      </c>
    </row>
    <row r="1128" spans="27:27" ht="15" customHeight="1" x14ac:dyDescent="0.25">
      <c r="AA1128" s="28" t="str">
        <f t="shared" si="17"/>
        <v/>
      </c>
    </row>
    <row r="1129" spans="27:27" ht="15" customHeight="1" x14ac:dyDescent="0.25">
      <c r="AA1129" s="28" t="str">
        <f t="shared" si="17"/>
        <v/>
      </c>
    </row>
    <row r="1130" spans="27:27" ht="15" customHeight="1" x14ac:dyDescent="0.25">
      <c r="AA1130" s="28" t="str">
        <f t="shared" si="17"/>
        <v/>
      </c>
    </row>
    <row r="1131" spans="27:27" ht="15" customHeight="1" x14ac:dyDescent="0.25">
      <c r="AA1131" s="28" t="str">
        <f t="shared" si="17"/>
        <v/>
      </c>
    </row>
    <row r="1132" spans="27:27" ht="15" customHeight="1" x14ac:dyDescent="0.25">
      <c r="AA1132" s="28" t="str">
        <f t="shared" si="17"/>
        <v/>
      </c>
    </row>
    <row r="1133" spans="27:27" ht="15" customHeight="1" x14ac:dyDescent="0.25">
      <c r="AA1133" s="28" t="str">
        <f t="shared" si="17"/>
        <v/>
      </c>
    </row>
    <row r="1134" spans="27:27" ht="15" customHeight="1" x14ac:dyDescent="0.25">
      <c r="AA1134" s="28" t="str">
        <f t="shared" si="17"/>
        <v/>
      </c>
    </row>
    <row r="1135" spans="27:27" ht="15" customHeight="1" x14ac:dyDescent="0.25">
      <c r="AA1135" s="28" t="str">
        <f t="shared" si="17"/>
        <v/>
      </c>
    </row>
    <row r="1136" spans="27:27" ht="15" customHeight="1" x14ac:dyDescent="0.25">
      <c r="AA1136" s="28" t="str">
        <f t="shared" si="17"/>
        <v/>
      </c>
    </row>
    <row r="1137" spans="27:27" ht="15" customHeight="1" x14ac:dyDescent="0.25">
      <c r="AA1137" s="28" t="str">
        <f t="shared" si="17"/>
        <v/>
      </c>
    </row>
    <row r="1138" spans="27:27" ht="15" customHeight="1" x14ac:dyDescent="0.25">
      <c r="AA1138" s="28" t="str">
        <f t="shared" si="17"/>
        <v/>
      </c>
    </row>
    <row r="1139" spans="27:27" ht="15" customHeight="1" x14ac:dyDescent="0.25">
      <c r="AA1139" s="28" t="str">
        <f t="shared" si="17"/>
        <v/>
      </c>
    </row>
    <row r="1140" spans="27:27" ht="15" customHeight="1" x14ac:dyDescent="0.25">
      <c r="AA1140" s="28" t="str">
        <f t="shared" si="17"/>
        <v/>
      </c>
    </row>
    <row r="1141" spans="27:27" ht="15" customHeight="1" x14ac:dyDescent="0.25">
      <c r="AA1141" s="28" t="str">
        <f t="shared" si="17"/>
        <v/>
      </c>
    </row>
    <row r="1142" spans="27:27" ht="15" customHeight="1" x14ac:dyDescent="0.25">
      <c r="AA1142" s="28" t="str">
        <f t="shared" si="17"/>
        <v/>
      </c>
    </row>
    <row r="1143" spans="27:27" ht="15" customHeight="1" x14ac:dyDescent="0.25">
      <c r="AA1143" s="28" t="str">
        <f t="shared" si="17"/>
        <v/>
      </c>
    </row>
    <row r="1144" spans="27:27" ht="15" customHeight="1" x14ac:dyDescent="0.25">
      <c r="AA1144" s="28" t="str">
        <f t="shared" si="17"/>
        <v/>
      </c>
    </row>
    <row r="1145" spans="27:27" ht="15" customHeight="1" x14ac:dyDescent="0.25">
      <c r="AA1145" s="28" t="str">
        <f t="shared" si="17"/>
        <v/>
      </c>
    </row>
    <row r="1146" spans="27:27" ht="15" customHeight="1" x14ac:dyDescent="0.25">
      <c r="AA1146" s="28" t="str">
        <f t="shared" si="17"/>
        <v/>
      </c>
    </row>
    <row r="1147" spans="27:27" ht="15" customHeight="1" x14ac:dyDescent="0.25">
      <c r="AA1147" s="28" t="str">
        <f t="shared" si="17"/>
        <v/>
      </c>
    </row>
    <row r="1148" spans="27:27" ht="15" customHeight="1" x14ac:dyDescent="0.25">
      <c r="AA1148" s="28" t="str">
        <f t="shared" si="17"/>
        <v/>
      </c>
    </row>
    <row r="1149" spans="27:27" ht="15" customHeight="1" x14ac:dyDescent="0.25">
      <c r="AA1149" s="28" t="str">
        <f t="shared" si="17"/>
        <v/>
      </c>
    </row>
    <row r="1150" spans="27:27" ht="15" customHeight="1" x14ac:dyDescent="0.25">
      <c r="AA1150" s="28" t="str">
        <f t="shared" si="17"/>
        <v/>
      </c>
    </row>
    <row r="1151" spans="27:27" ht="15" customHeight="1" x14ac:dyDescent="0.25">
      <c r="AA1151" s="28" t="str">
        <f t="shared" si="17"/>
        <v/>
      </c>
    </row>
    <row r="1152" spans="27:27" ht="15" customHeight="1" x14ac:dyDescent="0.25">
      <c r="AA1152" s="28" t="str">
        <f t="shared" si="17"/>
        <v/>
      </c>
    </row>
    <row r="1153" spans="27:27" ht="15" customHeight="1" x14ac:dyDescent="0.25">
      <c r="AA1153" s="28" t="str">
        <f t="shared" si="17"/>
        <v/>
      </c>
    </row>
    <row r="1154" spans="27:27" ht="15" customHeight="1" x14ac:dyDescent="0.25">
      <c r="AA1154" s="28" t="str">
        <f t="shared" si="17"/>
        <v/>
      </c>
    </row>
    <row r="1155" spans="27:27" ht="15" customHeight="1" x14ac:dyDescent="0.25">
      <c r="AA1155" s="28" t="str">
        <f t="shared" si="17"/>
        <v/>
      </c>
    </row>
    <row r="1156" spans="27:27" ht="15" customHeight="1" x14ac:dyDescent="0.25">
      <c r="AA1156" s="28" t="str">
        <f t="shared" si="17"/>
        <v/>
      </c>
    </row>
    <row r="1157" spans="27:27" ht="15" customHeight="1" x14ac:dyDescent="0.25">
      <c r="AA1157" s="28" t="str">
        <f t="shared" si="17"/>
        <v/>
      </c>
    </row>
    <row r="1158" spans="27:27" ht="15" customHeight="1" x14ac:dyDescent="0.25">
      <c r="AA1158" s="28" t="str">
        <f t="shared" si="17"/>
        <v/>
      </c>
    </row>
    <row r="1159" spans="27:27" ht="15" customHeight="1" x14ac:dyDescent="0.25">
      <c r="AA1159" s="28" t="str">
        <f t="shared" si="17"/>
        <v/>
      </c>
    </row>
    <row r="1160" spans="27:27" ht="15" customHeight="1" x14ac:dyDescent="0.25">
      <c r="AA1160" s="28" t="str">
        <f t="shared" ref="AA1160:AA1223" si="18">IFERROR(
IF(AND(X1160="Não",Y1160="Sim"),"REP",
IF(AND(X1160="Sim",Y1160="Não"),"Técnico",
IF(AND(X1160="Sim",Y1160="Sim"),"Ambos",""))),
"")</f>
        <v/>
      </c>
    </row>
    <row r="1161" spans="27:27" ht="15" customHeight="1" x14ac:dyDescent="0.25">
      <c r="AA1161" s="28" t="str">
        <f t="shared" si="18"/>
        <v/>
      </c>
    </row>
    <row r="1162" spans="27:27" ht="15" customHeight="1" x14ac:dyDescent="0.25">
      <c r="AA1162" s="28" t="str">
        <f t="shared" si="18"/>
        <v/>
      </c>
    </row>
    <row r="1163" spans="27:27" ht="15" customHeight="1" x14ac:dyDescent="0.25">
      <c r="AA1163" s="28" t="str">
        <f t="shared" si="18"/>
        <v/>
      </c>
    </row>
    <row r="1164" spans="27:27" ht="15" customHeight="1" x14ac:dyDescent="0.25">
      <c r="AA1164" s="28" t="str">
        <f t="shared" si="18"/>
        <v/>
      </c>
    </row>
    <row r="1165" spans="27:27" ht="15" customHeight="1" x14ac:dyDescent="0.25">
      <c r="AA1165" s="28" t="str">
        <f t="shared" si="18"/>
        <v/>
      </c>
    </row>
    <row r="1166" spans="27:27" ht="15" customHeight="1" x14ac:dyDescent="0.25">
      <c r="AA1166" s="28" t="str">
        <f t="shared" si="18"/>
        <v/>
      </c>
    </row>
    <row r="1167" spans="27:27" ht="15" customHeight="1" x14ac:dyDescent="0.25">
      <c r="AA1167" s="28" t="str">
        <f t="shared" si="18"/>
        <v/>
      </c>
    </row>
    <row r="1168" spans="27:27" ht="15" customHeight="1" x14ac:dyDescent="0.25">
      <c r="AA1168" s="28" t="str">
        <f t="shared" si="18"/>
        <v/>
      </c>
    </row>
    <row r="1169" spans="27:27" ht="15" customHeight="1" x14ac:dyDescent="0.25">
      <c r="AA1169" s="28" t="str">
        <f t="shared" si="18"/>
        <v/>
      </c>
    </row>
    <row r="1170" spans="27:27" ht="15" customHeight="1" x14ac:dyDescent="0.25">
      <c r="AA1170" s="28" t="str">
        <f t="shared" si="18"/>
        <v/>
      </c>
    </row>
    <row r="1171" spans="27:27" ht="15" customHeight="1" x14ac:dyDescent="0.25">
      <c r="AA1171" s="28" t="str">
        <f t="shared" si="18"/>
        <v/>
      </c>
    </row>
    <row r="1172" spans="27:27" ht="15" customHeight="1" x14ac:dyDescent="0.25">
      <c r="AA1172" s="28" t="str">
        <f t="shared" si="18"/>
        <v/>
      </c>
    </row>
    <row r="1173" spans="27:27" ht="15" customHeight="1" x14ac:dyDescent="0.25">
      <c r="AA1173" s="28" t="str">
        <f t="shared" si="18"/>
        <v/>
      </c>
    </row>
    <row r="1174" spans="27:27" ht="15" customHeight="1" x14ac:dyDescent="0.25">
      <c r="AA1174" s="28" t="str">
        <f t="shared" si="18"/>
        <v/>
      </c>
    </row>
    <row r="1175" spans="27:27" ht="15" customHeight="1" x14ac:dyDescent="0.25">
      <c r="AA1175" s="28" t="str">
        <f t="shared" si="18"/>
        <v/>
      </c>
    </row>
    <row r="1176" spans="27:27" ht="15" customHeight="1" x14ac:dyDescent="0.25">
      <c r="AA1176" s="28" t="str">
        <f t="shared" si="18"/>
        <v/>
      </c>
    </row>
    <row r="1177" spans="27:27" ht="15" customHeight="1" x14ac:dyDescent="0.25">
      <c r="AA1177" s="28" t="str">
        <f t="shared" si="18"/>
        <v/>
      </c>
    </row>
    <row r="1178" spans="27:27" ht="15" customHeight="1" x14ac:dyDescent="0.25">
      <c r="AA1178" s="28" t="str">
        <f t="shared" si="18"/>
        <v/>
      </c>
    </row>
    <row r="1179" spans="27:27" ht="15" customHeight="1" x14ac:dyDescent="0.25">
      <c r="AA1179" s="28" t="str">
        <f t="shared" si="18"/>
        <v/>
      </c>
    </row>
    <row r="1180" spans="27:27" ht="15" customHeight="1" x14ac:dyDescent="0.25">
      <c r="AA1180" s="28" t="str">
        <f t="shared" si="18"/>
        <v/>
      </c>
    </row>
    <row r="1181" spans="27:27" ht="15" customHeight="1" x14ac:dyDescent="0.25">
      <c r="AA1181" s="28" t="str">
        <f t="shared" si="18"/>
        <v/>
      </c>
    </row>
    <row r="1182" spans="27:27" ht="15" customHeight="1" x14ac:dyDescent="0.25">
      <c r="AA1182" s="28" t="str">
        <f t="shared" si="18"/>
        <v/>
      </c>
    </row>
    <row r="1183" spans="27:27" ht="15" customHeight="1" x14ac:dyDescent="0.25">
      <c r="AA1183" s="28" t="str">
        <f t="shared" si="18"/>
        <v/>
      </c>
    </row>
    <row r="1184" spans="27:27" ht="15" customHeight="1" x14ac:dyDescent="0.25">
      <c r="AA1184" s="28" t="str">
        <f t="shared" si="18"/>
        <v/>
      </c>
    </row>
    <row r="1185" spans="27:27" ht="15" customHeight="1" x14ac:dyDescent="0.25">
      <c r="AA1185" s="28" t="str">
        <f t="shared" si="18"/>
        <v/>
      </c>
    </row>
    <row r="1186" spans="27:27" ht="15" customHeight="1" x14ac:dyDescent="0.25">
      <c r="AA1186" s="28" t="str">
        <f t="shared" si="18"/>
        <v/>
      </c>
    </row>
    <row r="1187" spans="27:27" ht="15" customHeight="1" x14ac:dyDescent="0.25">
      <c r="AA1187" s="28" t="str">
        <f t="shared" si="18"/>
        <v/>
      </c>
    </row>
    <row r="1188" spans="27:27" ht="15" customHeight="1" x14ac:dyDescent="0.25">
      <c r="AA1188" s="28" t="str">
        <f t="shared" si="18"/>
        <v/>
      </c>
    </row>
    <row r="1189" spans="27:27" ht="15" customHeight="1" x14ac:dyDescent="0.25">
      <c r="AA1189" s="28" t="str">
        <f t="shared" si="18"/>
        <v/>
      </c>
    </row>
    <row r="1190" spans="27:27" ht="15" customHeight="1" x14ac:dyDescent="0.25">
      <c r="AA1190" s="28" t="str">
        <f t="shared" si="18"/>
        <v/>
      </c>
    </row>
    <row r="1191" spans="27:27" ht="15" customHeight="1" x14ac:dyDescent="0.25">
      <c r="AA1191" s="28" t="str">
        <f t="shared" si="18"/>
        <v/>
      </c>
    </row>
    <row r="1192" spans="27:27" ht="15" customHeight="1" x14ac:dyDescent="0.25">
      <c r="AA1192" s="28" t="str">
        <f t="shared" si="18"/>
        <v/>
      </c>
    </row>
    <row r="1193" spans="27:27" ht="15" customHeight="1" x14ac:dyDescent="0.25">
      <c r="AA1193" s="28" t="str">
        <f t="shared" si="18"/>
        <v/>
      </c>
    </row>
    <row r="1194" spans="27:27" ht="15" customHeight="1" x14ac:dyDescent="0.25">
      <c r="AA1194" s="28" t="str">
        <f t="shared" si="18"/>
        <v/>
      </c>
    </row>
    <row r="1195" spans="27:27" ht="15" customHeight="1" x14ac:dyDescent="0.25">
      <c r="AA1195" s="28" t="str">
        <f t="shared" si="18"/>
        <v/>
      </c>
    </row>
    <row r="1196" spans="27:27" ht="15" customHeight="1" x14ac:dyDescent="0.25">
      <c r="AA1196" s="28" t="str">
        <f t="shared" si="18"/>
        <v/>
      </c>
    </row>
    <row r="1197" spans="27:27" ht="15" customHeight="1" x14ac:dyDescent="0.25">
      <c r="AA1197" s="28" t="str">
        <f t="shared" si="18"/>
        <v/>
      </c>
    </row>
    <row r="1198" spans="27:27" ht="15" customHeight="1" x14ac:dyDescent="0.25">
      <c r="AA1198" s="28" t="str">
        <f t="shared" si="18"/>
        <v/>
      </c>
    </row>
    <row r="1199" spans="27:27" ht="15" customHeight="1" x14ac:dyDescent="0.25">
      <c r="AA1199" s="28" t="str">
        <f t="shared" si="18"/>
        <v/>
      </c>
    </row>
    <row r="1200" spans="27:27" ht="15" customHeight="1" x14ac:dyDescent="0.25">
      <c r="AA1200" s="28" t="str">
        <f t="shared" si="18"/>
        <v/>
      </c>
    </row>
    <row r="1201" spans="27:27" ht="15" customHeight="1" x14ac:dyDescent="0.25">
      <c r="AA1201" s="28" t="str">
        <f t="shared" si="18"/>
        <v/>
      </c>
    </row>
    <row r="1202" spans="27:27" ht="15" customHeight="1" x14ac:dyDescent="0.25">
      <c r="AA1202" s="28" t="str">
        <f t="shared" si="18"/>
        <v/>
      </c>
    </row>
    <row r="1203" spans="27:27" ht="15" customHeight="1" x14ac:dyDescent="0.25">
      <c r="AA1203" s="28" t="str">
        <f t="shared" si="18"/>
        <v/>
      </c>
    </row>
    <row r="1204" spans="27:27" ht="15" customHeight="1" x14ac:dyDescent="0.25">
      <c r="AA1204" s="28" t="str">
        <f t="shared" si="18"/>
        <v/>
      </c>
    </row>
    <row r="1205" spans="27:27" ht="15" customHeight="1" x14ac:dyDescent="0.25">
      <c r="AA1205" s="28" t="str">
        <f t="shared" si="18"/>
        <v/>
      </c>
    </row>
    <row r="1206" spans="27:27" ht="15" customHeight="1" x14ac:dyDescent="0.25">
      <c r="AA1206" s="28" t="str">
        <f t="shared" si="18"/>
        <v/>
      </c>
    </row>
    <row r="1207" spans="27:27" ht="15" customHeight="1" x14ac:dyDescent="0.25">
      <c r="AA1207" s="28" t="str">
        <f t="shared" si="18"/>
        <v/>
      </c>
    </row>
    <row r="1208" spans="27:27" ht="15" customHeight="1" x14ac:dyDescent="0.25">
      <c r="AA1208" s="28" t="str">
        <f t="shared" si="18"/>
        <v/>
      </c>
    </row>
    <row r="1209" spans="27:27" ht="15" customHeight="1" x14ac:dyDescent="0.25">
      <c r="AA1209" s="28" t="str">
        <f t="shared" si="18"/>
        <v/>
      </c>
    </row>
    <row r="1210" spans="27:27" ht="15" customHeight="1" x14ac:dyDescent="0.25">
      <c r="AA1210" s="28" t="str">
        <f t="shared" si="18"/>
        <v/>
      </c>
    </row>
    <row r="1211" spans="27:27" ht="15" customHeight="1" x14ac:dyDescent="0.25">
      <c r="AA1211" s="28" t="str">
        <f t="shared" si="18"/>
        <v/>
      </c>
    </row>
    <row r="1212" spans="27:27" ht="15" customHeight="1" x14ac:dyDescent="0.25">
      <c r="AA1212" s="28" t="str">
        <f t="shared" si="18"/>
        <v/>
      </c>
    </row>
    <row r="1213" spans="27:27" ht="15" customHeight="1" x14ac:dyDescent="0.25">
      <c r="AA1213" s="28" t="str">
        <f t="shared" si="18"/>
        <v/>
      </c>
    </row>
    <row r="1214" spans="27:27" ht="15" customHeight="1" x14ac:dyDescent="0.25">
      <c r="AA1214" s="28" t="str">
        <f t="shared" si="18"/>
        <v/>
      </c>
    </row>
    <row r="1215" spans="27:27" ht="15" customHeight="1" x14ac:dyDescent="0.25">
      <c r="AA1215" s="28" t="str">
        <f t="shared" si="18"/>
        <v/>
      </c>
    </row>
    <row r="1216" spans="27:27" ht="15" customHeight="1" x14ac:dyDescent="0.25">
      <c r="AA1216" s="28" t="str">
        <f t="shared" si="18"/>
        <v/>
      </c>
    </row>
    <row r="1217" spans="27:27" ht="15" customHeight="1" x14ac:dyDescent="0.25">
      <c r="AA1217" s="28" t="str">
        <f t="shared" si="18"/>
        <v/>
      </c>
    </row>
    <row r="1218" spans="27:27" ht="15" customHeight="1" x14ac:dyDescent="0.25">
      <c r="AA1218" s="28" t="str">
        <f t="shared" si="18"/>
        <v/>
      </c>
    </row>
    <row r="1219" spans="27:27" ht="15" customHeight="1" x14ac:dyDescent="0.25">
      <c r="AA1219" s="28" t="str">
        <f t="shared" si="18"/>
        <v/>
      </c>
    </row>
    <row r="1220" spans="27:27" ht="15" customHeight="1" x14ac:dyDescent="0.25">
      <c r="AA1220" s="28" t="str">
        <f t="shared" si="18"/>
        <v/>
      </c>
    </row>
    <row r="1221" spans="27:27" ht="15" customHeight="1" x14ac:dyDescent="0.25">
      <c r="AA1221" s="28" t="str">
        <f t="shared" si="18"/>
        <v/>
      </c>
    </row>
    <row r="1222" spans="27:27" ht="15" customHeight="1" x14ac:dyDescent="0.25">
      <c r="AA1222" s="28" t="str">
        <f t="shared" si="18"/>
        <v/>
      </c>
    </row>
    <row r="1223" spans="27:27" ht="15" customHeight="1" x14ac:dyDescent="0.25">
      <c r="AA1223" s="28" t="str">
        <f t="shared" si="18"/>
        <v/>
      </c>
    </row>
    <row r="1224" spans="27:27" ht="15" customHeight="1" x14ac:dyDescent="0.25">
      <c r="AA1224" s="28" t="str">
        <f t="shared" ref="AA1224:AA1287" si="19">IFERROR(
IF(AND(X1224="Não",Y1224="Sim"),"REP",
IF(AND(X1224="Sim",Y1224="Não"),"Técnico",
IF(AND(X1224="Sim",Y1224="Sim"),"Ambos",""))),
"")</f>
        <v/>
      </c>
    </row>
    <row r="1225" spans="27:27" ht="15" customHeight="1" x14ac:dyDescent="0.25">
      <c r="AA1225" s="28" t="str">
        <f t="shared" si="19"/>
        <v/>
      </c>
    </row>
    <row r="1226" spans="27:27" ht="15" customHeight="1" x14ac:dyDescent="0.25">
      <c r="AA1226" s="28" t="str">
        <f t="shared" si="19"/>
        <v/>
      </c>
    </row>
    <row r="1227" spans="27:27" ht="15" customHeight="1" x14ac:dyDescent="0.25">
      <c r="AA1227" s="28" t="str">
        <f t="shared" si="19"/>
        <v/>
      </c>
    </row>
    <row r="1228" spans="27:27" ht="15" customHeight="1" x14ac:dyDescent="0.25">
      <c r="AA1228" s="28" t="str">
        <f t="shared" si="19"/>
        <v/>
      </c>
    </row>
    <row r="1229" spans="27:27" ht="15" customHeight="1" x14ac:dyDescent="0.25">
      <c r="AA1229" s="28" t="str">
        <f t="shared" si="19"/>
        <v/>
      </c>
    </row>
    <row r="1230" spans="27:27" ht="15" customHeight="1" x14ac:dyDescent="0.25">
      <c r="AA1230" s="28" t="str">
        <f t="shared" si="19"/>
        <v/>
      </c>
    </row>
    <row r="1231" spans="27:27" ht="15" customHeight="1" x14ac:dyDescent="0.25">
      <c r="AA1231" s="28" t="str">
        <f t="shared" si="19"/>
        <v/>
      </c>
    </row>
    <row r="1232" spans="27:27" ht="15" customHeight="1" x14ac:dyDescent="0.25">
      <c r="AA1232" s="28" t="str">
        <f t="shared" si="19"/>
        <v/>
      </c>
    </row>
    <row r="1233" spans="27:27" ht="15" customHeight="1" x14ac:dyDescent="0.25">
      <c r="AA1233" s="28" t="str">
        <f t="shared" si="19"/>
        <v/>
      </c>
    </row>
    <row r="1234" spans="27:27" ht="15" customHeight="1" x14ac:dyDescent="0.25">
      <c r="AA1234" s="28" t="str">
        <f t="shared" si="19"/>
        <v/>
      </c>
    </row>
    <row r="1235" spans="27:27" ht="15" customHeight="1" x14ac:dyDescent="0.25">
      <c r="AA1235" s="28" t="str">
        <f t="shared" si="19"/>
        <v/>
      </c>
    </row>
    <row r="1236" spans="27:27" ht="15" customHeight="1" x14ac:dyDescent="0.25">
      <c r="AA1236" s="28" t="str">
        <f t="shared" si="19"/>
        <v/>
      </c>
    </row>
    <row r="1237" spans="27:27" ht="15" customHeight="1" x14ac:dyDescent="0.25">
      <c r="AA1237" s="28" t="str">
        <f t="shared" si="19"/>
        <v/>
      </c>
    </row>
    <row r="1238" spans="27:27" ht="15" customHeight="1" x14ac:dyDescent="0.25">
      <c r="AA1238" s="28" t="str">
        <f t="shared" si="19"/>
        <v/>
      </c>
    </row>
    <row r="1239" spans="27:27" ht="15" customHeight="1" x14ac:dyDescent="0.25">
      <c r="AA1239" s="28" t="str">
        <f t="shared" si="19"/>
        <v/>
      </c>
    </row>
    <row r="1240" spans="27:27" ht="15" customHeight="1" x14ac:dyDescent="0.25">
      <c r="AA1240" s="28" t="str">
        <f t="shared" si="19"/>
        <v/>
      </c>
    </row>
    <row r="1241" spans="27:27" ht="15" customHeight="1" x14ac:dyDescent="0.25">
      <c r="AA1241" s="28" t="str">
        <f t="shared" si="19"/>
        <v/>
      </c>
    </row>
    <row r="1242" spans="27:27" ht="15" customHeight="1" x14ac:dyDescent="0.25">
      <c r="AA1242" s="28" t="str">
        <f t="shared" si="19"/>
        <v/>
      </c>
    </row>
    <row r="1243" spans="27:27" ht="15" customHeight="1" x14ac:dyDescent="0.25">
      <c r="AA1243" s="28" t="str">
        <f t="shared" si="19"/>
        <v/>
      </c>
    </row>
    <row r="1244" spans="27:27" ht="15" customHeight="1" x14ac:dyDescent="0.25">
      <c r="AA1244" s="28" t="str">
        <f t="shared" si="19"/>
        <v/>
      </c>
    </row>
    <row r="1245" spans="27:27" ht="15" customHeight="1" x14ac:dyDescent="0.25">
      <c r="AA1245" s="28" t="str">
        <f t="shared" si="19"/>
        <v/>
      </c>
    </row>
    <row r="1246" spans="27:27" ht="15" customHeight="1" x14ac:dyDescent="0.25">
      <c r="AA1246" s="28" t="str">
        <f t="shared" si="19"/>
        <v/>
      </c>
    </row>
    <row r="1247" spans="27:27" ht="15" customHeight="1" x14ac:dyDescent="0.25">
      <c r="AA1247" s="28" t="str">
        <f t="shared" si="19"/>
        <v/>
      </c>
    </row>
    <row r="1248" spans="27:27" ht="15" customHeight="1" x14ac:dyDescent="0.25">
      <c r="AA1248" s="28" t="str">
        <f t="shared" si="19"/>
        <v/>
      </c>
    </row>
    <row r="1249" spans="27:27" ht="15" customHeight="1" x14ac:dyDescent="0.25">
      <c r="AA1249" s="28" t="str">
        <f t="shared" si="19"/>
        <v/>
      </c>
    </row>
    <row r="1250" spans="27:27" ht="15" customHeight="1" x14ac:dyDescent="0.25">
      <c r="AA1250" s="28" t="str">
        <f t="shared" si="19"/>
        <v/>
      </c>
    </row>
    <row r="1251" spans="27:27" ht="15" customHeight="1" x14ac:dyDescent="0.25">
      <c r="AA1251" s="28" t="str">
        <f t="shared" si="19"/>
        <v/>
      </c>
    </row>
    <row r="1252" spans="27:27" ht="15" customHeight="1" x14ac:dyDescent="0.25">
      <c r="AA1252" s="28" t="str">
        <f t="shared" si="19"/>
        <v/>
      </c>
    </row>
    <row r="1253" spans="27:27" ht="15" customHeight="1" x14ac:dyDescent="0.25">
      <c r="AA1253" s="28" t="str">
        <f t="shared" si="19"/>
        <v/>
      </c>
    </row>
    <row r="1254" spans="27:27" ht="15" customHeight="1" x14ac:dyDescent="0.25">
      <c r="AA1254" s="28" t="str">
        <f t="shared" si="19"/>
        <v/>
      </c>
    </row>
    <row r="1255" spans="27:27" ht="15" customHeight="1" x14ac:dyDescent="0.25">
      <c r="AA1255" s="28" t="str">
        <f t="shared" si="19"/>
        <v/>
      </c>
    </row>
    <row r="1256" spans="27:27" ht="15" customHeight="1" x14ac:dyDescent="0.25">
      <c r="AA1256" s="28" t="str">
        <f t="shared" si="19"/>
        <v/>
      </c>
    </row>
    <row r="1257" spans="27:27" ht="15" customHeight="1" x14ac:dyDescent="0.25">
      <c r="AA1257" s="28" t="str">
        <f t="shared" si="19"/>
        <v/>
      </c>
    </row>
    <row r="1258" spans="27:27" ht="15" customHeight="1" x14ac:dyDescent="0.25">
      <c r="AA1258" s="28" t="str">
        <f t="shared" si="19"/>
        <v/>
      </c>
    </row>
    <row r="1259" spans="27:27" ht="15" customHeight="1" x14ac:dyDescent="0.25">
      <c r="AA1259" s="28" t="str">
        <f t="shared" si="19"/>
        <v/>
      </c>
    </row>
    <row r="1260" spans="27:27" ht="15" customHeight="1" x14ac:dyDescent="0.25">
      <c r="AA1260" s="28" t="str">
        <f t="shared" si="19"/>
        <v/>
      </c>
    </row>
    <row r="1261" spans="27:27" ht="15" customHeight="1" x14ac:dyDescent="0.25">
      <c r="AA1261" s="28" t="str">
        <f t="shared" si="19"/>
        <v/>
      </c>
    </row>
    <row r="1262" spans="27:27" ht="15" customHeight="1" x14ac:dyDescent="0.25">
      <c r="AA1262" s="28" t="str">
        <f t="shared" si="19"/>
        <v/>
      </c>
    </row>
    <row r="1263" spans="27:27" ht="15" customHeight="1" x14ac:dyDescent="0.25">
      <c r="AA1263" s="28" t="str">
        <f t="shared" si="19"/>
        <v/>
      </c>
    </row>
    <row r="1264" spans="27:27" ht="15" customHeight="1" x14ac:dyDescent="0.25">
      <c r="AA1264" s="28" t="str">
        <f t="shared" si="19"/>
        <v/>
      </c>
    </row>
    <row r="1265" spans="27:27" ht="15" customHeight="1" x14ac:dyDescent="0.25">
      <c r="AA1265" s="28" t="str">
        <f t="shared" si="19"/>
        <v/>
      </c>
    </row>
    <row r="1266" spans="27:27" ht="15" customHeight="1" x14ac:dyDescent="0.25">
      <c r="AA1266" s="28" t="str">
        <f t="shared" si="19"/>
        <v/>
      </c>
    </row>
    <row r="1267" spans="27:27" ht="15" customHeight="1" x14ac:dyDescent="0.25">
      <c r="AA1267" s="28" t="str">
        <f t="shared" si="19"/>
        <v/>
      </c>
    </row>
    <row r="1268" spans="27:27" ht="15" customHeight="1" x14ac:dyDescent="0.25">
      <c r="AA1268" s="28" t="str">
        <f t="shared" si="19"/>
        <v/>
      </c>
    </row>
    <row r="1269" spans="27:27" ht="15" customHeight="1" x14ac:dyDescent="0.25">
      <c r="AA1269" s="28" t="str">
        <f t="shared" si="19"/>
        <v/>
      </c>
    </row>
    <row r="1270" spans="27:27" ht="15" customHeight="1" x14ac:dyDescent="0.25">
      <c r="AA1270" s="28" t="str">
        <f t="shared" si="19"/>
        <v/>
      </c>
    </row>
    <row r="1271" spans="27:27" ht="15" customHeight="1" x14ac:dyDescent="0.25">
      <c r="AA1271" s="28" t="str">
        <f t="shared" si="19"/>
        <v/>
      </c>
    </row>
    <row r="1272" spans="27:27" ht="15" customHeight="1" x14ac:dyDescent="0.25">
      <c r="AA1272" s="28" t="str">
        <f t="shared" si="19"/>
        <v/>
      </c>
    </row>
    <row r="1273" spans="27:27" ht="15" customHeight="1" x14ac:dyDescent="0.25">
      <c r="AA1273" s="28" t="str">
        <f t="shared" si="19"/>
        <v/>
      </c>
    </row>
    <row r="1274" spans="27:27" ht="15" customHeight="1" x14ac:dyDescent="0.25">
      <c r="AA1274" s="28" t="str">
        <f t="shared" si="19"/>
        <v/>
      </c>
    </row>
    <row r="1275" spans="27:27" ht="15" customHeight="1" x14ac:dyDescent="0.25">
      <c r="AA1275" s="28" t="str">
        <f t="shared" si="19"/>
        <v/>
      </c>
    </row>
    <row r="1276" spans="27:27" ht="15" customHeight="1" x14ac:dyDescent="0.25">
      <c r="AA1276" s="28" t="str">
        <f t="shared" si="19"/>
        <v/>
      </c>
    </row>
    <row r="1277" spans="27:27" ht="15" customHeight="1" x14ac:dyDescent="0.25">
      <c r="AA1277" s="28" t="str">
        <f t="shared" si="19"/>
        <v/>
      </c>
    </row>
    <row r="1278" spans="27:27" ht="15" customHeight="1" x14ac:dyDescent="0.25">
      <c r="AA1278" s="28" t="str">
        <f t="shared" si="19"/>
        <v/>
      </c>
    </row>
    <row r="1279" spans="27:27" ht="15" customHeight="1" x14ac:dyDescent="0.25">
      <c r="AA1279" s="28" t="str">
        <f t="shared" si="19"/>
        <v/>
      </c>
    </row>
    <row r="1280" spans="27:27" ht="15" customHeight="1" x14ac:dyDescent="0.25">
      <c r="AA1280" s="28" t="str">
        <f t="shared" si="19"/>
        <v/>
      </c>
    </row>
    <row r="1281" spans="27:27" ht="15" customHeight="1" x14ac:dyDescent="0.25">
      <c r="AA1281" s="28" t="str">
        <f t="shared" si="19"/>
        <v/>
      </c>
    </row>
    <row r="1282" spans="27:27" ht="15" customHeight="1" x14ac:dyDescent="0.25">
      <c r="AA1282" s="28" t="str">
        <f t="shared" si="19"/>
        <v/>
      </c>
    </row>
    <row r="1283" spans="27:27" ht="15" customHeight="1" x14ac:dyDescent="0.25">
      <c r="AA1283" s="28" t="str">
        <f t="shared" si="19"/>
        <v/>
      </c>
    </row>
    <row r="1284" spans="27:27" ht="15" customHeight="1" x14ac:dyDescent="0.25">
      <c r="AA1284" s="28" t="str">
        <f t="shared" si="19"/>
        <v/>
      </c>
    </row>
    <row r="1285" spans="27:27" ht="15" customHeight="1" x14ac:dyDescent="0.25">
      <c r="AA1285" s="28" t="str">
        <f t="shared" si="19"/>
        <v/>
      </c>
    </row>
    <row r="1286" spans="27:27" ht="15" customHeight="1" x14ac:dyDescent="0.25">
      <c r="AA1286" s="28" t="str">
        <f t="shared" si="19"/>
        <v/>
      </c>
    </row>
    <row r="1287" spans="27:27" ht="15" customHeight="1" x14ac:dyDescent="0.25">
      <c r="AA1287" s="28" t="str">
        <f t="shared" si="19"/>
        <v/>
      </c>
    </row>
    <row r="1288" spans="27:27" ht="15" customHeight="1" x14ac:dyDescent="0.25">
      <c r="AA1288" s="28" t="str">
        <f t="shared" ref="AA1288:AA1351" si="20">IFERROR(
IF(AND(X1288="Não",Y1288="Sim"),"REP",
IF(AND(X1288="Sim",Y1288="Não"),"Técnico",
IF(AND(X1288="Sim",Y1288="Sim"),"Ambos",""))),
"")</f>
        <v/>
      </c>
    </row>
    <row r="1289" spans="27:27" ht="15" customHeight="1" x14ac:dyDescent="0.25">
      <c r="AA1289" s="28" t="str">
        <f t="shared" si="20"/>
        <v/>
      </c>
    </row>
    <row r="1290" spans="27:27" ht="15" customHeight="1" x14ac:dyDescent="0.25">
      <c r="AA1290" s="28" t="str">
        <f t="shared" si="20"/>
        <v/>
      </c>
    </row>
    <row r="1291" spans="27:27" ht="15" customHeight="1" x14ac:dyDescent="0.25">
      <c r="AA1291" s="28" t="str">
        <f t="shared" si="20"/>
        <v/>
      </c>
    </row>
    <row r="1292" spans="27:27" ht="15" customHeight="1" x14ac:dyDescent="0.25">
      <c r="AA1292" s="28" t="str">
        <f t="shared" si="20"/>
        <v/>
      </c>
    </row>
    <row r="1293" spans="27:27" ht="15" customHeight="1" x14ac:dyDescent="0.25">
      <c r="AA1293" s="28" t="str">
        <f t="shared" si="20"/>
        <v/>
      </c>
    </row>
    <row r="1294" spans="27:27" ht="15" customHeight="1" x14ac:dyDescent="0.25">
      <c r="AA1294" s="28" t="str">
        <f t="shared" si="20"/>
        <v/>
      </c>
    </row>
    <row r="1295" spans="27:27" ht="15" customHeight="1" x14ac:dyDescent="0.25">
      <c r="AA1295" s="28" t="str">
        <f t="shared" si="20"/>
        <v/>
      </c>
    </row>
    <row r="1296" spans="27:27" ht="15" customHeight="1" x14ac:dyDescent="0.25">
      <c r="AA1296" s="28" t="str">
        <f t="shared" si="20"/>
        <v/>
      </c>
    </row>
    <row r="1297" spans="27:27" ht="15" customHeight="1" x14ac:dyDescent="0.25">
      <c r="AA1297" s="28" t="str">
        <f t="shared" si="20"/>
        <v/>
      </c>
    </row>
    <row r="1298" spans="27:27" ht="15" customHeight="1" x14ac:dyDescent="0.25">
      <c r="AA1298" s="28" t="str">
        <f t="shared" si="20"/>
        <v/>
      </c>
    </row>
    <row r="1299" spans="27:27" ht="15" customHeight="1" x14ac:dyDescent="0.25">
      <c r="AA1299" s="28" t="str">
        <f t="shared" si="20"/>
        <v/>
      </c>
    </row>
    <row r="1300" spans="27:27" ht="15" customHeight="1" x14ac:dyDescent="0.25">
      <c r="AA1300" s="28" t="str">
        <f t="shared" si="20"/>
        <v/>
      </c>
    </row>
    <row r="1301" spans="27:27" ht="15" customHeight="1" x14ac:dyDescent="0.25">
      <c r="AA1301" s="28" t="str">
        <f t="shared" si="20"/>
        <v/>
      </c>
    </row>
    <row r="1302" spans="27:27" ht="15" customHeight="1" x14ac:dyDescent="0.25">
      <c r="AA1302" s="28" t="str">
        <f t="shared" si="20"/>
        <v/>
      </c>
    </row>
    <row r="1303" spans="27:27" ht="15" customHeight="1" x14ac:dyDescent="0.25">
      <c r="AA1303" s="28" t="str">
        <f t="shared" si="20"/>
        <v/>
      </c>
    </row>
    <row r="1304" spans="27:27" ht="15" customHeight="1" x14ac:dyDescent="0.25">
      <c r="AA1304" s="28" t="str">
        <f t="shared" si="20"/>
        <v/>
      </c>
    </row>
    <row r="1305" spans="27:27" ht="15" customHeight="1" x14ac:dyDescent="0.25">
      <c r="AA1305" s="28" t="str">
        <f t="shared" si="20"/>
        <v/>
      </c>
    </row>
    <row r="1306" spans="27:27" ht="15" customHeight="1" x14ac:dyDescent="0.25">
      <c r="AA1306" s="28" t="str">
        <f t="shared" si="20"/>
        <v/>
      </c>
    </row>
    <row r="1307" spans="27:27" ht="15" customHeight="1" x14ac:dyDescent="0.25">
      <c r="AA1307" s="28" t="str">
        <f t="shared" si="20"/>
        <v/>
      </c>
    </row>
    <row r="1308" spans="27:27" ht="15" customHeight="1" x14ac:dyDescent="0.25">
      <c r="AA1308" s="28" t="str">
        <f t="shared" si="20"/>
        <v/>
      </c>
    </row>
    <row r="1309" spans="27:27" ht="15" customHeight="1" x14ac:dyDescent="0.25">
      <c r="AA1309" s="28" t="str">
        <f t="shared" si="20"/>
        <v/>
      </c>
    </row>
    <row r="1310" spans="27:27" ht="15" customHeight="1" x14ac:dyDescent="0.25">
      <c r="AA1310" s="28" t="str">
        <f t="shared" si="20"/>
        <v/>
      </c>
    </row>
    <row r="1311" spans="27:27" ht="15" customHeight="1" x14ac:dyDescent="0.25">
      <c r="AA1311" s="28" t="str">
        <f t="shared" si="20"/>
        <v/>
      </c>
    </row>
    <row r="1312" spans="27:27" ht="15" customHeight="1" x14ac:dyDescent="0.25">
      <c r="AA1312" s="28" t="str">
        <f t="shared" si="20"/>
        <v/>
      </c>
    </row>
    <row r="1313" spans="27:27" ht="15" customHeight="1" x14ac:dyDescent="0.25">
      <c r="AA1313" s="28" t="str">
        <f t="shared" si="20"/>
        <v/>
      </c>
    </row>
    <row r="1314" spans="27:27" ht="15" customHeight="1" x14ac:dyDescent="0.25">
      <c r="AA1314" s="28" t="str">
        <f t="shared" si="20"/>
        <v/>
      </c>
    </row>
    <row r="1315" spans="27:27" ht="15" customHeight="1" x14ac:dyDescent="0.25">
      <c r="AA1315" s="28" t="str">
        <f t="shared" si="20"/>
        <v/>
      </c>
    </row>
    <row r="1316" spans="27:27" ht="15" customHeight="1" x14ac:dyDescent="0.25">
      <c r="AA1316" s="28" t="str">
        <f t="shared" si="20"/>
        <v/>
      </c>
    </row>
    <row r="1317" spans="27:27" ht="15" customHeight="1" x14ac:dyDescent="0.25">
      <c r="AA1317" s="28" t="str">
        <f t="shared" si="20"/>
        <v/>
      </c>
    </row>
    <row r="1318" spans="27:27" ht="15" customHeight="1" x14ac:dyDescent="0.25">
      <c r="AA1318" s="28" t="str">
        <f t="shared" si="20"/>
        <v/>
      </c>
    </row>
    <row r="1319" spans="27:27" ht="15" customHeight="1" x14ac:dyDescent="0.25">
      <c r="AA1319" s="28" t="str">
        <f t="shared" si="20"/>
        <v/>
      </c>
    </row>
    <row r="1320" spans="27:27" ht="15" customHeight="1" x14ac:dyDescent="0.25">
      <c r="AA1320" s="28" t="str">
        <f t="shared" si="20"/>
        <v/>
      </c>
    </row>
    <row r="1321" spans="27:27" ht="15" customHeight="1" x14ac:dyDescent="0.25">
      <c r="AA1321" s="28" t="str">
        <f t="shared" si="20"/>
        <v/>
      </c>
    </row>
    <row r="1322" spans="27:27" ht="15" customHeight="1" x14ac:dyDescent="0.25">
      <c r="AA1322" s="28" t="str">
        <f t="shared" si="20"/>
        <v/>
      </c>
    </row>
    <row r="1323" spans="27:27" ht="15" customHeight="1" x14ac:dyDescent="0.25">
      <c r="AA1323" s="28" t="str">
        <f t="shared" si="20"/>
        <v/>
      </c>
    </row>
    <row r="1324" spans="27:27" ht="15" customHeight="1" x14ac:dyDescent="0.25">
      <c r="AA1324" s="28" t="str">
        <f t="shared" si="20"/>
        <v/>
      </c>
    </row>
    <row r="1325" spans="27:27" ht="15" customHeight="1" x14ac:dyDescent="0.25">
      <c r="AA1325" s="28" t="str">
        <f t="shared" si="20"/>
        <v/>
      </c>
    </row>
    <row r="1326" spans="27:27" ht="15" customHeight="1" x14ac:dyDescent="0.25">
      <c r="AA1326" s="28" t="str">
        <f t="shared" si="20"/>
        <v/>
      </c>
    </row>
    <row r="1327" spans="27:27" ht="15" customHeight="1" x14ac:dyDescent="0.25">
      <c r="AA1327" s="28" t="str">
        <f t="shared" si="20"/>
        <v/>
      </c>
    </row>
    <row r="1328" spans="27:27" ht="15" customHeight="1" x14ac:dyDescent="0.25">
      <c r="AA1328" s="28" t="str">
        <f t="shared" si="20"/>
        <v/>
      </c>
    </row>
    <row r="1329" spans="27:27" ht="15" customHeight="1" x14ac:dyDescent="0.25">
      <c r="AA1329" s="28" t="str">
        <f t="shared" si="20"/>
        <v/>
      </c>
    </row>
    <row r="1330" spans="27:27" ht="15" customHeight="1" x14ac:dyDescent="0.25">
      <c r="AA1330" s="28" t="str">
        <f t="shared" si="20"/>
        <v/>
      </c>
    </row>
    <row r="1331" spans="27:27" ht="15" customHeight="1" x14ac:dyDescent="0.25">
      <c r="AA1331" s="28" t="str">
        <f t="shared" si="20"/>
        <v/>
      </c>
    </row>
    <row r="1332" spans="27:27" ht="15" customHeight="1" x14ac:dyDescent="0.25">
      <c r="AA1332" s="28" t="str">
        <f t="shared" si="20"/>
        <v/>
      </c>
    </row>
    <row r="1333" spans="27:27" ht="15" customHeight="1" x14ac:dyDescent="0.25">
      <c r="AA1333" s="28" t="str">
        <f t="shared" si="20"/>
        <v/>
      </c>
    </row>
    <row r="1334" spans="27:27" ht="15" customHeight="1" x14ac:dyDescent="0.25">
      <c r="AA1334" s="28" t="str">
        <f t="shared" si="20"/>
        <v/>
      </c>
    </row>
    <row r="1335" spans="27:27" ht="15" customHeight="1" x14ac:dyDescent="0.25">
      <c r="AA1335" s="28" t="str">
        <f t="shared" si="20"/>
        <v/>
      </c>
    </row>
    <row r="1336" spans="27:27" ht="15" customHeight="1" x14ac:dyDescent="0.25">
      <c r="AA1336" s="28" t="str">
        <f t="shared" si="20"/>
        <v/>
      </c>
    </row>
    <row r="1337" spans="27:27" ht="15" customHeight="1" x14ac:dyDescent="0.25">
      <c r="AA1337" s="28" t="str">
        <f t="shared" si="20"/>
        <v/>
      </c>
    </row>
    <row r="1338" spans="27:27" ht="15" customHeight="1" x14ac:dyDescent="0.25">
      <c r="AA1338" s="28" t="str">
        <f t="shared" si="20"/>
        <v/>
      </c>
    </row>
    <row r="1339" spans="27:27" ht="15" customHeight="1" x14ac:dyDescent="0.25">
      <c r="AA1339" s="28" t="str">
        <f t="shared" si="20"/>
        <v/>
      </c>
    </row>
    <row r="1340" spans="27:27" ht="15" customHeight="1" x14ac:dyDescent="0.25">
      <c r="AA1340" s="28" t="str">
        <f t="shared" si="20"/>
        <v/>
      </c>
    </row>
    <row r="1341" spans="27:27" ht="15" customHeight="1" x14ac:dyDescent="0.25">
      <c r="AA1341" s="28" t="str">
        <f t="shared" si="20"/>
        <v/>
      </c>
    </row>
    <row r="1342" spans="27:27" ht="15" customHeight="1" x14ac:dyDescent="0.25">
      <c r="AA1342" s="28" t="str">
        <f t="shared" si="20"/>
        <v/>
      </c>
    </row>
    <row r="1343" spans="27:27" ht="15" customHeight="1" x14ac:dyDescent="0.25">
      <c r="AA1343" s="28" t="str">
        <f t="shared" si="20"/>
        <v/>
      </c>
    </row>
    <row r="1344" spans="27:27" ht="15" customHeight="1" x14ac:dyDescent="0.25">
      <c r="AA1344" s="28" t="str">
        <f t="shared" si="20"/>
        <v/>
      </c>
    </row>
    <row r="1345" spans="27:27" ht="15" customHeight="1" x14ac:dyDescent="0.25">
      <c r="AA1345" s="28" t="str">
        <f t="shared" si="20"/>
        <v/>
      </c>
    </row>
    <row r="1346" spans="27:27" ht="15" customHeight="1" x14ac:dyDescent="0.25">
      <c r="AA1346" s="28" t="str">
        <f t="shared" si="20"/>
        <v/>
      </c>
    </row>
    <row r="1347" spans="27:27" ht="15" customHeight="1" x14ac:dyDescent="0.25">
      <c r="AA1347" s="28" t="str">
        <f t="shared" si="20"/>
        <v/>
      </c>
    </row>
    <row r="1348" spans="27:27" ht="15" customHeight="1" x14ac:dyDescent="0.25">
      <c r="AA1348" s="28" t="str">
        <f t="shared" si="20"/>
        <v/>
      </c>
    </row>
    <row r="1349" spans="27:27" ht="15" customHeight="1" x14ac:dyDescent="0.25">
      <c r="AA1349" s="28" t="str">
        <f t="shared" si="20"/>
        <v/>
      </c>
    </row>
    <row r="1350" spans="27:27" ht="15" customHeight="1" x14ac:dyDescent="0.25">
      <c r="AA1350" s="28" t="str">
        <f t="shared" si="20"/>
        <v/>
      </c>
    </row>
    <row r="1351" spans="27:27" ht="15" customHeight="1" x14ac:dyDescent="0.25">
      <c r="AA1351" s="28" t="str">
        <f t="shared" si="20"/>
        <v/>
      </c>
    </row>
    <row r="1352" spans="27:27" ht="15" customHeight="1" x14ac:dyDescent="0.25">
      <c r="AA1352" s="28" t="str">
        <f t="shared" ref="AA1352:AA1415" si="21">IFERROR(
IF(AND(X1352="Não",Y1352="Sim"),"REP",
IF(AND(X1352="Sim",Y1352="Não"),"Técnico",
IF(AND(X1352="Sim",Y1352="Sim"),"Ambos",""))),
"")</f>
        <v/>
      </c>
    </row>
    <row r="1353" spans="27:27" ht="15" customHeight="1" x14ac:dyDescent="0.25">
      <c r="AA1353" s="28" t="str">
        <f t="shared" si="21"/>
        <v/>
      </c>
    </row>
    <row r="1354" spans="27:27" ht="15" customHeight="1" x14ac:dyDescent="0.25">
      <c r="AA1354" s="28" t="str">
        <f t="shared" si="21"/>
        <v/>
      </c>
    </row>
    <row r="1355" spans="27:27" ht="15" customHeight="1" x14ac:dyDescent="0.25">
      <c r="AA1355" s="28" t="str">
        <f t="shared" si="21"/>
        <v/>
      </c>
    </row>
    <row r="1356" spans="27:27" ht="15" customHeight="1" x14ac:dyDescent="0.25">
      <c r="AA1356" s="28" t="str">
        <f t="shared" si="21"/>
        <v/>
      </c>
    </row>
    <row r="1357" spans="27:27" ht="15" customHeight="1" x14ac:dyDescent="0.25">
      <c r="AA1357" s="28" t="str">
        <f t="shared" si="21"/>
        <v/>
      </c>
    </row>
    <row r="1358" spans="27:27" ht="15" customHeight="1" x14ac:dyDescent="0.25">
      <c r="AA1358" s="28" t="str">
        <f t="shared" si="21"/>
        <v/>
      </c>
    </row>
    <row r="1359" spans="27:27" ht="15" customHeight="1" x14ac:dyDescent="0.25">
      <c r="AA1359" s="28" t="str">
        <f t="shared" si="21"/>
        <v/>
      </c>
    </row>
    <row r="1360" spans="27:27" ht="15" customHeight="1" x14ac:dyDescent="0.25">
      <c r="AA1360" s="28" t="str">
        <f t="shared" si="21"/>
        <v/>
      </c>
    </row>
    <row r="1361" spans="27:27" ht="15" customHeight="1" x14ac:dyDescent="0.25">
      <c r="AA1361" s="28" t="str">
        <f t="shared" si="21"/>
        <v/>
      </c>
    </row>
    <row r="1362" spans="27:27" ht="15" customHeight="1" x14ac:dyDescent="0.25">
      <c r="AA1362" s="28" t="str">
        <f t="shared" si="21"/>
        <v/>
      </c>
    </row>
    <row r="1363" spans="27:27" ht="15" customHeight="1" x14ac:dyDescent="0.25">
      <c r="AA1363" s="28" t="str">
        <f t="shared" si="21"/>
        <v/>
      </c>
    </row>
    <row r="1364" spans="27:27" ht="15" customHeight="1" x14ac:dyDescent="0.25">
      <c r="AA1364" s="28" t="str">
        <f t="shared" si="21"/>
        <v/>
      </c>
    </row>
    <row r="1365" spans="27:27" ht="15" customHeight="1" x14ac:dyDescent="0.25">
      <c r="AA1365" s="28" t="str">
        <f t="shared" si="21"/>
        <v/>
      </c>
    </row>
    <row r="1366" spans="27:27" ht="15" customHeight="1" x14ac:dyDescent="0.25">
      <c r="AA1366" s="28" t="str">
        <f t="shared" si="21"/>
        <v/>
      </c>
    </row>
    <row r="1367" spans="27:27" ht="15" customHeight="1" x14ac:dyDescent="0.25">
      <c r="AA1367" s="28" t="str">
        <f t="shared" si="21"/>
        <v/>
      </c>
    </row>
    <row r="1368" spans="27:27" ht="15" customHeight="1" x14ac:dyDescent="0.25">
      <c r="AA1368" s="28" t="str">
        <f t="shared" si="21"/>
        <v/>
      </c>
    </row>
    <row r="1369" spans="27:27" ht="15" customHeight="1" x14ac:dyDescent="0.25">
      <c r="AA1369" s="28" t="str">
        <f t="shared" si="21"/>
        <v/>
      </c>
    </row>
    <row r="1370" spans="27:27" ht="15" customHeight="1" x14ac:dyDescent="0.25">
      <c r="AA1370" s="28" t="str">
        <f t="shared" si="21"/>
        <v/>
      </c>
    </row>
    <row r="1371" spans="27:27" ht="15" customHeight="1" x14ac:dyDescent="0.25">
      <c r="AA1371" s="28" t="str">
        <f t="shared" si="21"/>
        <v/>
      </c>
    </row>
    <row r="1372" spans="27:27" ht="15" customHeight="1" x14ac:dyDescent="0.25">
      <c r="AA1372" s="28" t="str">
        <f t="shared" si="21"/>
        <v/>
      </c>
    </row>
    <row r="1373" spans="27:27" ht="15" customHeight="1" x14ac:dyDescent="0.25">
      <c r="AA1373" s="28" t="str">
        <f t="shared" si="21"/>
        <v/>
      </c>
    </row>
    <row r="1374" spans="27:27" ht="15" customHeight="1" x14ac:dyDescent="0.25">
      <c r="AA1374" s="28" t="str">
        <f t="shared" si="21"/>
        <v/>
      </c>
    </row>
    <row r="1375" spans="27:27" ht="15" customHeight="1" x14ac:dyDescent="0.25">
      <c r="AA1375" s="28" t="str">
        <f t="shared" si="21"/>
        <v/>
      </c>
    </row>
    <row r="1376" spans="27:27" ht="15" customHeight="1" x14ac:dyDescent="0.25">
      <c r="AA1376" s="28" t="str">
        <f t="shared" si="21"/>
        <v/>
      </c>
    </row>
    <row r="1377" spans="27:27" ht="15" customHeight="1" x14ac:dyDescent="0.25">
      <c r="AA1377" s="28" t="str">
        <f t="shared" si="21"/>
        <v/>
      </c>
    </row>
    <row r="1378" spans="27:27" ht="15" customHeight="1" x14ac:dyDescent="0.25">
      <c r="AA1378" s="28" t="str">
        <f t="shared" si="21"/>
        <v/>
      </c>
    </row>
    <row r="1379" spans="27:27" ht="15" customHeight="1" x14ac:dyDescent="0.25">
      <c r="AA1379" s="28" t="str">
        <f t="shared" si="21"/>
        <v/>
      </c>
    </row>
    <row r="1380" spans="27:27" ht="15" customHeight="1" x14ac:dyDescent="0.25">
      <c r="AA1380" s="28" t="str">
        <f t="shared" si="21"/>
        <v/>
      </c>
    </row>
    <row r="1381" spans="27:27" ht="15" customHeight="1" x14ac:dyDescent="0.25">
      <c r="AA1381" s="28" t="str">
        <f t="shared" si="21"/>
        <v/>
      </c>
    </row>
    <row r="1382" spans="27:27" ht="15" customHeight="1" x14ac:dyDescent="0.25">
      <c r="AA1382" s="28" t="str">
        <f t="shared" si="21"/>
        <v/>
      </c>
    </row>
    <row r="1383" spans="27:27" ht="15" customHeight="1" x14ac:dyDescent="0.25">
      <c r="AA1383" s="28" t="str">
        <f t="shared" si="21"/>
        <v/>
      </c>
    </row>
    <row r="1384" spans="27:27" ht="15" customHeight="1" x14ac:dyDescent="0.25">
      <c r="AA1384" s="28" t="str">
        <f t="shared" si="21"/>
        <v/>
      </c>
    </row>
    <row r="1385" spans="27:27" ht="15" customHeight="1" x14ac:dyDescent="0.25">
      <c r="AA1385" s="28" t="str">
        <f t="shared" si="21"/>
        <v/>
      </c>
    </row>
    <row r="1386" spans="27:27" ht="15" customHeight="1" x14ac:dyDescent="0.25">
      <c r="AA1386" s="28" t="str">
        <f t="shared" si="21"/>
        <v/>
      </c>
    </row>
    <row r="1387" spans="27:27" ht="15" customHeight="1" x14ac:dyDescent="0.25">
      <c r="AA1387" s="28" t="str">
        <f t="shared" si="21"/>
        <v/>
      </c>
    </row>
    <row r="1388" spans="27:27" ht="15" customHeight="1" x14ac:dyDescent="0.25">
      <c r="AA1388" s="28" t="str">
        <f t="shared" si="21"/>
        <v/>
      </c>
    </row>
    <row r="1389" spans="27:27" ht="15" customHeight="1" x14ac:dyDescent="0.25">
      <c r="AA1389" s="28" t="str">
        <f t="shared" si="21"/>
        <v/>
      </c>
    </row>
    <row r="1390" spans="27:27" ht="15" customHeight="1" x14ac:dyDescent="0.25">
      <c r="AA1390" s="28" t="str">
        <f t="shared" si="21"/>
        <v/>
      </c>
    </row>
    <row r="1391" spans="27:27" ht="15" customHeight="1" x14ac:dyDescent="0.25">
      <c r="AA1391" s="28" t="str">
        <f t="shared" si="21"/>
        <v/>
      </c>
    </row>
    <row r="1392" spans="27:27" ht="15" customHeight="1" x14ac:dyDescent="0.25">
      <c r="AA1392" s="28" t="str">
        <f t="shared" si="21"/>
        <v/>
      </c>
    </row>
    <row r="1393" spans="27:27" ht="15" customHeight="1" x14ac:dyDescent="0.25">
      <c r="AA1393" s="28" t="str">
        <f t="shared" si="21"/>
        <v/>
      </c>
    </row>
    <row r="1394" spans="27:27" ht="15" customHeight="1" x14ac:dyDescent="0.25">
      <c r="AA1394" s="28" t="str">
        <f t="shared" si="21"/>
        <v/>
      </c>
    </row>
    <row r="1395" spans="27:27" ht="15" customHeight="1" x14ac:dyDescent="0.25">
      <c r="AA1395" s="28" t="str">
        <f t="shared" si="21"/>
        <v/>
      </c>
    </row>
    <row r="1396" spans="27:27" ht="15" customHeight="1" x14ac:dyDescent="0.25">
      <c r="AA1396" s="28" t="str">
        <f t="shared" si="21"/>
        <v/>
      </c>
    </row>
    <row r="1397" spans="27:27" ht="15" customHeight="1" x14ac:dyDescent="0.25">
      <c r="AA1397" s="28" t="str">
        <f t="shared" si="21"/>
        <v/>
      </c>
    </row>
    <row r="1398" spans="27:27" ht="15" customHeight="1" x14ac:dyDescent="0.25">
      <c r="AA1398" s="28" t="str">
        <f t="shared" si="21"/>
        <v/>
      </c>
    </row>
    <row r="1399" spans="27:27" ht="15" customHeight="1" x14ac:dyDescent="0.25">
      <c r="AA1399" s="28" t="str">
        <f t="shared" si="21"/>
        <v/>
      </c>
    </row>
    <row r="1400" spans="27:27" ht="15" customHeight="1" x14ac:dyDescent="0.25">
      <c r="AA1400" s="28" t="str">
        <f t="shared" si="21"/>
        <v/>
      </c>
    </row>
    <row r="1401" spans="27:27" ht="15" customHeight="1" x14ac:dyDescent="0.25">
      <c r="AA1401" s="28" t="str">
        <f t="shared" si="21"/>
        <v/>
      </c>
    </row>
    <row r="1402" spans="27:27" ht="15" customHeight="1" x14ac:dyDescent="0.25">
      <c r="AA1402" s="28" t="str">
        <f t="shared" si="21"/>
        <v/>
      </c>
    </row>
    <row r="1403" spans="27:27" ht="15" customHeight="1" x14ac:dyDescent="0.25">
      <c r="AA1403" s="28" t="str">
        <f t="shared" si="21"/>
        <v/>
      </c>
    </row>
    <row r="1404" spans="27:27" ht="15" customHeight="1" x14ac:dyDescent="0.25">
      <c r="AA1404" s="28" t="str">
        <f t="shared" si="21"/>
        <v/>
      </c>
    </row>
    <row r="1405" spans="27:27" ht="15" customHeight="1" x14ac:dyDescent="0.25">
      <c r="AA1405" s="28" t="str">
        <f t="shared" si="21"/>
        <v/>
      </c>
    </row>
    <row r="1406" spans="27:27" ht="15" customHeight="1" x14ac:dyDescent="0.25">
      <c r="AA1406" s="28" t="str">
        <f t="shared" si="21"/>
        <v/>
      </c>
    </row>
    <row r="1407" spans="27:27" ht="15" customHeight="1" x14ac:dyDescent="0.25">
      <c r="AA1407" s="28" t="str">
        <f t="shared" si="21"/>
        <v/>
      </c>
    </row>
    <row r="1408" spans="27:27" ht="15" customHeight="1" x14ac:dyDescent="0.25">
      <c r="AA1408" s="28" t="str">
        <f t="shared" si="21"/>
        <v/>
      </c>
    </row>
    <row r="1409" spans="27:27" ht="15" customHeight="1" x14ac:dyDescent="0.25">
      <c r="AA1409" s="28" t="str">
        <f t="shared" si="21"/>
        <v/>
      </c>
    </row>
    <row r="1410" spans="27:27" ht="15" customHeight="1" x14ac:dyDescent="0.25">
      <c r="AA1410" s="28" t="str">
        <f t="shared" si="21"/>
        <v/>
      </c>
    </row>
    <row r="1411" spans="27:27" ht="15" customHeight="1" x14ac:dyDescent="0.25">
      <c r="AA1411" s="28" t="str">
        <f t="shared" si="21"/>
        <v/>
      </c>
    </row>
    <row r="1412" spans="27:27" ht="15" customHeight="1" x14ac:dyDescent="0.25">
      <c r="AA1412" s="28" t="str">
        <f t="shared" si="21"/>
        <v/>
      </c>
    </row>
    <row r="1413" spans="27:27" ht="15" customHeight="1" x14ac:dyDescent="0.25">
      <c r="AA1413" s="28" t="str">
        <f t="shared" si="21"/>
        <v/>
      </c>
    </row>
    <row r="1414" spans="27:27" ht="15" customHeight="1" x14ac:dyDescent="0.25">
      <c r="AA1414" s="28" t="str">
        <f t="shared" si="21"/>
        <v/>
      </c>
    </row>
    <row r="1415" spans="27:27" ht="15" customHeight="1" x14ac:dyDescent="0.25">
      <c r="AA1415" s="28" t="str">
        <f t="shared" si="21"/>
        <v/>
      </c>
    </row>
    <row r="1416" spans="27:27" ht="15" customHeight="1" x14ac:dyDescent="0.25">
      <c r="AA1416" s="28" t="str">
        <f t="shared" ref="AA1416:AA1479" si="22">IFERROR(
IF(AND(X1416="Não",Y1416="Sim"),"REP",
IF(AND(X1416="Sim",Y1416="Não"),"Técnico",
IF(AND(X1416="Sim",Y1416="Sim"),"Ambos",""))),
"")</f>
        <v/>
      </c>
    </row>
    <row r="1417" spans="27:27" ht="15" customHeight="1" x14ac:dyDescent="0.25">
      <c r="AA1417" s="28" t="str">
        <f t="shared" si="22"/>
        <v/>
      </c>
    </row>
    <row r="1418" spans="27:27" ht="15" customHeight="1" x14ac:dyDescent="0.25">
      <c r="AA1418" s="28" t="str">
        <f t="shared" si="22"/>
        <v/>
      </c>
    </row>
    <row r="1419" spans="27:27" ht="15" customHeight="1" x14ac:dyDescent="0.25">
      <c r="AA1419" s="28" t="str">
        <f t="shared" si="22"/>
        <v/>
      </c>
    </row>
    <row r="1420" spans="27:27" ht="15" customHeight="1" x14ac:dyDescent="0.25">
      <c r="AA1420" s="28" t="str">
        <f t="shared" si="22"/>
        <v/>
      </c>
    </row>
    <row r="1421" spans="27:27" ht="15" customHeight="1" x14ac:dyDescent="0.25">
      <c r="AA1421" s="28" t="str">
        <f t="shared" si="22"/>
        <v/>
      </c>
    </row>
    <row r="1422" spans="27:27" ht="15" customHeight="1" x14ac:dyDescent="0.25">
      <c r="AA1422" s="28" t="str">
        <f t="shared" si="22"/>
        <v/>
      </c>
    </row>
    <row r="1423" spans="27:27" ht="15" customHeight="1" x14ac:dyDescent="0.25">
      <c r="AA1423" s="28" t="str">
        <f t="shared" si="22"/>
        <v/>
      </c>
    </row>
    <row r="1424" spans="27:27" ht="15" customHeight="1" x14ac:dyDescent="0.25">
      <c r="AA1424" s="28" t="str">
        <f t="shared" si="22"/>
        <v/>
      </c>
    </row>
    <row r="1425" spans="27:27" ht="15" customHeight="1" x14ac:dyDescent="0.25">
      <c r="AA1425" s="28" t="str">
        <f t="shared" si="22"/>
        <v/>
      </c>
    </row>
    <row r="1426" spans="27:27" ht="15" customHeight="1" x14ac:dyDescent="0.25">
      <c r="AA1426" s="28" t="str">
        <f t="shared" si="22"/>
        <v/>
      </c>
    </row>
    <row r="1427" spans="27:27" ht="15" customHeight="1" x14ac:dyDescent="0.25">
      <c r="AA1427" s="28" t="str">
        <f t="shared" si="22"/>
        <v/>
      </c>
    </row>
    <row r="1428" spans="27:27" ht="15" customHeight="1" x14ac:dyDescent="0.25">
      <c r="AA1428" s="28" t="str">
        <f t="shared" si="22"/>
        <v/>
      </c>
    </row>
    <row r="1429" spans="27:27" ht="15" customHeight="1" x14ac:dyDescent="0.25">
      <c r="AA1429" s="28" t="str">
        <f t="shared" si="22"/>
        <v/>
      </c>
    </row>
    <row r="1430" spans="27:27" ht="15" customHeight="1" x14ac:dyDescent="0.25">
      <c r="AA1430" s="28" t="str">
        <f t="shared" si="22"/>
        <v/>
      </c>
    </row>
    <row r="1431" spans="27:27" ht="15" customHeight="1" x14ac:dyDescent="0.25">
      <c r="AA1431" s="28" t="str">
        <f t="shared" si="22"/>
        <v/>
      </c>
    </row>
    <row r="1432" spans="27:27" ht="15" customHeight="1" x14ac:dyDescent="0.25">
      <c r="AA1432" s="28" t="str">
        <f t="shared" si="22"/>
        <v/>
      </c>
    </row>
    <row r="1433" spans="27:27" ht="15" customHeight="1" x14ac:dyDescent="0.25">
      <c r="AA1433" s="28" t="str">
        <f t="shared" si="22"/>
        <v/>
      </c>
    </row>
    <row r="1434" spans="27:27" ht="15" customHeight="1" x14ac:dyDescent="0.25">
      <c r="AA1434" s="28" t="str">
        <f t="shared" si="22"/>
        <v/>
      </c>
    </row>
    <row r="1435" spans="27:27" ht="15" customHeight="1" x14ac:dyDescent="0.25">
      <c r="AA1435" s="28" t="str">
        <f t="shared" si="22"/>
        <v/>
      </c>
    </row>
    <row r="1436" spans="27:27" ht="15" customHeight="1" x14ac:dyDescent="0.25">
      <c r="AA1436" s="28" t="str">
        <f t="shared" si="22"/>
        <v/>
      </c>
    </row>
    <row r="1437" spans="27:27" ht="15" customHeight="1" x14ac:dyDescent="0.25">
      <c r="AA1437" s="28" t="str">
        <f t="shared" si="22"/>
        <v/>
      </c>
    </row>
    <row r="1438" spans="27:27" ht="15" customHeight="1" x14ac:dyDescent="0.25">
      <c r="AA1438" s="28" t="str">
        <f t="shared" si="22"/>
        <v/>
      </c>
    </row>
    <row r="1439" spans="27:27" ht="15" customHeight="1" x14ac:dyDescent="0.25">
      <c r="AA1439" s="28" t="str">
        <f t="shared" si="22"/>
        <v/>
      </c>
    </row>
    <row r="1440" spans="27:27" ht="15" customHeight="1" x14ac:dyDescent="0.25">
      <c r="AA1440" s="28" t="str">
        <f t="shared" si="22"/>
        <v/>
      </c>
    </row>
    <row r="1441" spans="27:27" ht="15" customHeight="1" x14ac:dyDescent="0.25">
      <c r="AA1441" s="28" t="str">
        <f t="shared" si="22"/>
        <v/>
      </c>
    </row>
    <row r="1442" spans="27:27" ht="15" customHeight="1" x14ac:dyDescent="0.25">
      <c r="AA1442" s="28" t="str">
        <f t="shared" si="22"/>
        <v/>
      </c>
    </row>
    <row r="1443" spans="27:27" ht="15" customHeight="1" x14ac:dyDescent="0.25">
      <c r="AA1443" s="28" t="str">
        <f t="shared" si="22"/>
        <v/>
      </c>
    </row>
    <row r="1444" spans="27:27" ht="15" customHeight="1" x14ac:dyDescent="0.25">
      <c r="AA1444" s="28" t="str">
        <f t="shared" si="22"/>
        <v/>
      </c>
    </row>
    <row r="1445" spans="27:27" ht="15" customHeight="1" x14ac:dyDescent="0.25">
      <c r="AA1445" s="28" t="str">
        <f t="shared" si="22"/>
        <v/>
      </c>
    </row>
    <row r="1446" spans="27:27" ht="15" customHeight="1" x14ac:dyDescent="0.25">
      <c r="AA1446" s="28" t="str">
        <f t="shared" si="22"/>
        <v/>
      </c>
    </row>
    <row r="1447" spans="27:27" ht="15" customHeight="1" x14ac:dyDescent="0.25">
      <c r="AA1447" s="28" t="str">
        <f t="shared" si="22"/>
        <v/>
      </c>
    </row>
    <row r="1448" spans="27:27" ht="15" customHeight="1" x14ac:dyDescent="0.25">
      <c r="AA1448" s="28" t="str">
        <f t="shared" si="22"/>
        <v/>
      </c>
    </row>
    <row r="1449" spans="27:27" ht="15" customHeight="1" x14ac:dyDescent="0.25">
      <c r="AA1449" s="28" t="str">
        <f t="shared" si="22"/>
        <v/>
      </c>
    </row>
    <row r="1450" spans="27:27" ht="15" customHeight="1" x14ac:dyDescent="0.25">
      <c r="AA1450" s="28" t="str">
        <f t="shared" si="22"/>
        <v/>
      </c>
    </row>
    <row r="1451" spans="27:27" ht="15" customHeight="1" x14ac:dyDescent="0.25">
      <c r="AA1451" s="28" t="str">
        <f t="shared" si="22"/>
        <v/>
      </c>
    </row>
    <row r="1452" spans="27:27" ht="15" customHeight="1" x14ac:dyDescent="0.25">
      <c r="AA1452" s="28" t="str">
        <f t="shared" si="22"/>
        <v/>
      </c>
    </row>
    <row r="1453" spans="27:27" ht="15" customHeight="1" x14ac:dyDescent="0.25">
      <c r="AA1453" s="28" t="str">
        <f t="shared" si="22"/>
        <v/>
      </c>
    </row>
    <row r="1454" spans="27:27" ht="15" customHeight="1" x14ac:dyDescent="0.25">
      <c r="AA1454" s="28" t="str">
        <f t="shared" si="22"/>
        <v/>
      </c>
    </row>
    <row r="1455" spans="27:27" ht="15" customHeight="1" x14ac:dyDescent="0.25">
      <c r="AA1455" s="28" t="str">
        <f t="shared" si="22"/>
        <v/>
      </c>
    </row>
    <row r="1456" spans="27:27" ht="15" customHeight="1" x14ac:dyDescent="0.25">
      <c r="AA1456" s="28" t="str">
        <f t="shared" si="22"/>
        <v/>
      </c>
    </row>
    <row r="1457" spans="27:27" ht="15" customHeight="1" x14ac:dyDescent="0.25">
      <c r="AA1457" s="28" t="str">
        <f t="shared" si="22"/>
        <v/>
      </c>
    </row>
    <row r="1458" spans="27:27" ht="15" customHeight="1" x14ac:dyDescent="0.25">
      <c r="AA1458" s="28" t="str">
        <f t="shared" si="22"/>
        <v/>
      </c>
    </row>
    <row r="1459" spans="27:27" ht="15" customHeight="1" x14ac:dyDescent="0.25">
      <c r="AA1459" s="28" t="str">
        <f t="shared" si="22"/>
        <v/>
      </c>
    </row>
    <row r="1460" spans="27:27" ht="15" customHeight="1" x14ac:dyDescent="0.25">
      <c r="AA1460" s="28" t="str">
        <f t="shared" si="22"/>
        <v/>
      </c>
    </row>
    <row r="1461" spans="27:27" ht="15" customHeight="1" x14ac:dyDescent="0.25">
      <c r="AA1461" s="28" t="str">
        <f t="shared" si="22"/>
        <v/>
      </c>
    </row>
    <row r="1462" spans="27:27" ht="15" customHeight="1" x14ac:dyDescent="0.25">
      <c r="AA1462" s="28" t="str">
        <f t="shared" si="22"/>
        <v/>
      </c>
    </row>
    <row r="1463" spans="27:27" ht="15" customHeight="1" x14ac:dyDescent="0.25">
      <c r="AA1463" s="28" t="str">
        <f t="shared" si="22"/>
        <v/>
      </c>
    </row>
    <row r="1464" spans="27:27" ht="15" customHeight="1" x14ac:dyDescent="0.25">
      <c r="AA1464" s="28" t="str">
        <f t="shared" si="22"/>
        <v/>
      </c>
    </row>
    <row r="1465" spans="27:27" ht="15" customHeight="1" x14ac:dyDescent="0.25">
      <c r="AA1465" s="28" t="str">
        <f t="shared" si="22"/>
        <v/>
      </c>
    </row>
    <row r="1466" spans="27:27" ht="15" customHeight="1" x14ac:dyDescent="0.25">
      <c r="AA1466" s="28" t="str">
        <f t="shared" si="22"/>
        <v/>
      </c>
    </row>
    <row r="1467" spans="27:27" ht="15" customHeight="1" x14ac:dyDescent="0.25">
      <c r="AA1467" s="28" t="str">
        <f t="shared" si="22"/>
        <v/>
      </c>
    </row>
    <row r="1468" spans="27:27" ht="15" customHeight="1" x14ac:dyDescent="0.25">
      <c r="AA1468" s="28" t="str">
        <f t="shared" si="22"/>
        <v/>
      </c>
    </row>
    <row r="1469" spans="27:27" ht="15" customHeight="1" x14ac:dyDescent="0.25">
      <c r="AA1469" s="28" t="str">
        <f t="shared" si="22"/>
        <v/>
      </c>
    </row>
    <row r="1470" spans="27:27" ht="15" customHeight="1" x14ac:dyDescent="0.25">
      <c r="AA1470" s="28" t="str">
        <f t="shared" si="22"/>
        <v/>
      </c>
    </row>
    <row r="1471" spans="27:27" ht="15" customHeight="1" x14ac:dyDescent="0.25">
      <c r="AA1471" s="28" t="str">
        <f t="shared" si="22"/>
        <v/>
      </c>
    </row>
    <row r="1472" spans="27:27" ht="15" customHeight="1" x14ac:dyDescent="0.25">
      <c r="AA1472" s="28" t="str">
        <f t="shared" si="22"/>
        <v/>
      </c>
    </row>
    <row r="1473" spans="27:27" ht="15" customHeight="1" x14ac:dyDescent="0.25">
      <c r="AA1473" s="28" t="str">
        <f t="shared" si="22"/>
        <v/>
      </c>
    </row>
    <row r="1474" spans="27:27" ht="15" customHeight="1" x14ac:dyDescent="0.25">
      <c r="AA1474" s="28" t="str">
        <f t="shared" si="22"/>
        <v/>
      </c>
    </row>
    <row r="1475" spans="27:27" ht="15" customHeight="1" x14ac:dyDescent="0.25">
      <c r="AA1475" s="28" t="str">
        <f t="shared" si="22"/>
        <v/>
      </c>
    </row>
    <row r="1476" spans="27:27" ht="15" customHeight="1" x14ac:dyDescent="0.25">
      <c r="AA1476" s="28" t="str">
        <f t="shared" si="22"/>
        <v/>
      </c>
    </row>
    <row r="1477" spans="27:27" ht="15" customHeight="1" x14ac:dyDescent="0.25">
      <c r="AA1477" s="28" t="str">
        <f t="shared" si="22"/>
        <v/>
      </c>
    </row>
    <row r="1478" spans="27:27" ht="15" customHeight="1" x14ac:dyDescent="0.25">
      <c r="AA1478" s="28" t="str">
        <f t="shared" si="22"/>
        <v/>
      </c>
    </row>
    <row r="1479" spans="27:27" ht="15" customHeight="1" x14ac:dyDescent="0.25">
      <c r="AA1479" s="28" t="str">
        <f t="shared" si="22"/>
        <v/>
      </c>
    </row>
    <row r="1480" spans="27:27" ht="15" customHeight="1" x14ac:dyDescent="0.25">
      <c r="AA1480" s="28" t="str">
        <f t="shared" ref="AA1480:AA1543" si="23">IFERROR(
IF(AND(X1480="Não",Y1480="Sim"),"REP",
IF(AND(X1480="Sim",Y1480="Não"),"Técnico",
IF(AND(X1480="Sim",Y1480="Sim"),"Ambos",""))),
"")</f>
        <v/>
      </c>
    </row>
    <row r="1481" spans="27:27" ht="15" customHeight="1" x14ac:dyDescent="0.25">
      <c r="AA1481" s="28" t="str">
        <f t="shared" si="23"/>
        <v/>
      </c>
    </row>
    <row r="1482" spans="27:27" ht="15" customHeight="1" x14ac:dyDescent="0.25">
      <c r="AA1482" s="28" t="str">
        <f t="shared" si="23"/>
        <v/>
      </c>
    </row>
    <row r="1483" spans="27:27" ht="15" customHeight="1" x14ac:dyDescent="0.25">
      <c r="AA1483" s="28" t="str">
        <f t="shared" si="23"/>
        <v/>
      </c>
    </row>
    <row r="1484" spans="27:27" ht="15" customHeight="1" x14ac:dyDescent="0.25">
      <c r="AA1484" s="28" t="str">
        <f t="shared" si="23"/>
        <v/>
      </c>
    </row>
    <row r="1485" spans="27:27" ht="15" customHeight="1" x14ac:dyDescent="0.25">
      <c r="AA1485" s="28" t="str">
        <f t="shared" si="23"/>
        <v/>
      </c>
    </row>
    <row r="1486" spans="27:27" ht="15" customHeight="1" x14ac:dyDescent="0.25">
      <c r="AA1486" s="28" t="str">
        <f t="shared" si="23"/>
        <v/>
      </c>
    </row>
    <row r="1487" spans="27:27" ht="15" customHeight="1" x14ac:dyDescent="0.25">
      <c r="AA1487" s="28" t="str">
        <f t="shared" si="23"/>
        <v/>
      </c>
    </row>
    <row r="1488" spans="27:27" ht="15" customHeight="1" x14ac:dyDescent="0.25">
      <c r="AA1488" s="28" t="str">
        <f t="shared" si="23"/>
        <v/>
      </c>
    </row>
    <row r="1489" spans="27:27" ht="15" customHeight="1" x14ac:dyDescent="0.25">
      <c r="AA1489" s="28" t="str">
        <f t="shared" si="23"/>
        <v/>
      </c>
    </row>
    <row r="1490" spans="27:27" ht="15" customHeight="1" x14ac:dyDescent="0.25">
      <c r="AA1490" s="28" t="str">
        <f t="shared" si="23"/>
        <v/>
      </c>
    </row>
    <row r="1491" spans="27:27" ht="15" customHeight="1" x14ac:dyDescent="0.25">
      <c r="AA1491" s="28" t="str">
        <f t="shared" si="23"/>
        <v/>
      </c>
    </row>
    <row r="1492" spans="27:27" ht="15" customHeight="1" x14ac:dyDescent="0.25">
      <c r="AA1492" s="28" t="str">
        <f t="shared" si="23"/>
        <v/>
      </c>
    </row>
    <row r="1493" spans="27:27" ht="15" customHeight="1" x14ac:dyDescent="0.25">
      <c r="AA1493" s="28" t="str">
        <f t="shared" si="23"/>
        <v/>
      </c>
    </row>
    <row r="1494" spans="27:27" ht="15" customHeight="1" x14ac:dyDescent="0.25">
      <c r="AA1494" s="28" t="str">
        <f t="shared" si="23"/>
        <v/>
      </c>
    </row>
    <row r="1495" spans="27:27" ht="15" customHeight="1" x14ac:dyDescent="0.25">
      <c r="AA1495" s="28" t="str">
        <f t="shared" si="23"/>
        <v/>
      </c>
    </row>
    <row r="1496" spans="27:27" ht="15" customHeight="1" x14ac:dyDescent="0.25">
      <c r="AA1496" s="28" t="str">
        <f t="shared" si="23"/>
        <v/>
      </c>
    </row>
    <row r="1497" spans="27:27" ht="15" customHeight="1" x14ac:dyDescent="0.25">
      <c r="AA1497" s="28" t="str">
        <f t="shared" si="23"/>
        <v/>
      </c>
    </row>
    <row r="1498" spans="27:27" ht="15" customHeight="1" x14ac:dyDescent="0.25">
      <c r="AA1498" s="28" t="str">
        <f t="shared" si="23"/>
        <v/>
      </c>
    </row>
    <row r="1499" spans="27:27" ht="15" customHeight="1" x14ac:dyDescent="0.25">
      <c r="AA1499" s="28" t="str">
        <f t="shared" si="23"/>
        <v/>
      </c>
    </row>
    <row r="1500" spans="27:27" ht="15" customHeight="1" x14ac:dyDescent="0.25">
      <c r="AA1500" s="28" t="str">
        <f t="shared" si="23"/>
        <v/>
      </c>
    </row>
    <row r="1501" spans="27:27" ht="15" customHeight="1" x14ac:dyDescent="0.25">
      <c r="AA1501" s="28" t="str">
        <f t="shared" si="23"/>
        <v/>
      </c>
    </row>
    <row r="1502" spans="27:27" ht="15" customHeight="1" x14ac:dyDescent="0.25">
      <c r="AA1502" s="28" t="str">
        <f t="shared" si="23"/>
        <v/>
      </c>
    </row>
    <row r="1503" spans="27:27" ht="15" customHeight="1" x14ac:dyDescent="0.25">
      <c r="AA1503" s="28" t="str">
        <f t="shared" si="23"/>
        <v/>
      </c>
    </row>
    <row r="1504" spans="27:27" ht="15" customHeight="1" x14ac:dyDescent="0.25">
      <c r="AA1504" s="28" t="str">
        <f t="shared" si="23"/>
        <v/>
      </c>
    </row>
    <row r="1505" spans="27:27" ht="15" customHeight="1" x14ac:dyDescent="0.25">
      <c r="AA1505" s="28" t="str">
        <f t="shared" si="23"/>
        <v/>
      </c>
    </row>
    <row r="1506" spans="27:27" ht="15" customHeight="1" x14ac:dyDescent="0.25">
      <c r="AA1506" s="28" t="str">
        <f t="shared" si="23"/>
        <v/>
      </c>
    </row>
    <row r="1507" spans="27:27" ht="15" customHeight="1" x14ac:dyDescent="0.25">
      <c r="AA1507" s="28" t="str">
        <f t="shared" si="23"/>
        <v/>
      </c>
    </row>
    <row r="1508" spans="27:27" ht="15" customHeight="1" x14ac:dyDescent="0.25">
      <c r="AA1508" s="28" t="str">
        <f t="shared" si="23"/>
        <v/>
      </c>
    </row>
    <row r="1509" spans="27:27" ht="15" customHeight="1" x14ac:dyDescent="0.25">
      <c r="AA1509" s="28" t="str">
        <f t="shared" si="23"/>
        <v/>
      </c>
    </row>
    <row r="1510" spans="27:27" ht="15" customHeight="1" x14ac:dyDescent="0.25">
      <c r="AA1510" s="28" t="str">
        <f t="shared" si="23"/>
        <v/>
      </c>
    </row>
    <row r="1511" spans="27:27" ht="15" customHeight="1" x14ac:dyDescent="0.25">
      <c r="AA1511" s="28" t="str">
        <f t="shared" si="23"/>
        <v/>
      </c>
    </row>
    <row r="1512" spans="27:27" ht="15" customHeight="1" x14ac:dyDescent="0.25">
      <c r="AA1512" s="28" t="str">
        <f t="shared" si="23"/>
        <v/>
      </c>
    </row>
    <row r="1513" spans="27:27" ht="15" customHeight="1" x14ac:dyDescent="0.25">
      <c r="AA1513" s="28" t="str">
        <f t="shared" si="23"/>
        <v/>
      </c>
    </row>
    <row r="1514" spans="27:27" ht="15" customHeight="1" x14ac:dyDescent="0.25">
      <c r="AA1514" s="28" t="str">
        <f t="shared" si="23"/>
        <v/>
      </c>
    </row>
    <row r="1515" spans="27:27" ht="15" customHeight="1" x14ac:dyDescent="0.25">
      <c r="AA1515" s="28" t="str">
        <f t="shared" si="23"/>
        <v/>
      </c>
    </row>
    <row r="1516" spans="27:27" ht="15" customHeight="1" x14ac:dyDescent="0.25">
      <c r="AA1516" s="28" t="str">
        <f t="shared" si="23"/>
        <v/>
      </c>
    </row>
    <row r="1517" spans="27:27" ht="15" customHeight="1" x14ac:dyDescent="0.25">
      <c r="AA1517" s="28" t="str">
        <f t="shared" si="23"/>
        <v/>
      </c>
    </row>
    <row r="1518" spans="27:27" ht="15" customHeight="1" x14ac:dyDescent="0.25">
      <c r="AA1518" s="28" t="str">
        <f t="shared" si="23"/>
        <v/>
      </c>
    </row>
    <row r="1519" spans="27:27" ht="15" customHeight="1" x14ac:dyDescent="0.25">
      <c r="AA1519" s="28" t="str">
        <f t="shared" si="23"/>
        <v/>
      </c>
    </row>
    <row r="1520" spans="27:27" ht="15" customHeight="1" x14ac:dyDescent="0.25">
      <c r="AA1520" s="28" t="str">
        <f t="shared" si="23"/>
        <v/>
      </c>
    </row>
    <row r="1521" spans="27:27" ht="15" customHeight="1" x14ac:dyDescent="0.25">
      <c r="AA1521" s="28" t="str">
        <f t="shared" si="23"/>
        <v/>
      </c>
    </row>
    <row r="1522" spans="27:27" ht="15" customHeight="1" x14ac:dyDescent="0.25">
      <c r="AA1522" s="28" t="str">
        <f t="shared" si="23"/>
        <v/>
      </c>
    </row>
    <row r="1523" spans="27:27" ht="15" customHeight="1" x14ac:dyDescent="0.25">
      <c r="AA1523" s="28" t="str">
        <f t="shared" si="23"/>
        <v/>
      </c>
    </row>
    <row r="1524" spans="27:27" ht="15" customHeight="1" x14ac:dyDescent="0.25">
      <c r="AA1524" s="28" t="str">
        <f t="shared" si="23"/>
        <v/>
      </c>
    </row>
    <row r="1525" spans="27:27" ht="15" customHeight="1" x14ac:dyDescent="0.25">
      <c r="AA1525" s="28" t="str">
        <f t="shared" si="23"/>
        <v/>
      </c>
    </row>
    <row r="1526" spans="27:27" ht="15" customHeight="1" x14ac:dyDescent="0.25">
      <c r="AA1526" s="28" t="str">
        <f t="shared" si="23"/>
        <v/>
      </c>
    </row>
    <row r="1527" spans="27:27" ht="15" customHeight="1" x14ac:dyDescent="0.25">
      <c r="AA1527" s="28" t="str">
        <f t="shared" si="23"/>
        <v/>
      </c>
    </row>
    <row r="1528" spans="27:27" ht="15" customHeight="1" x14ac:dyDescent="0.25">
      <c r="AA1528" s="28" t="str">
        <f t="shared" si="23"/>
        <v/>
      </c>
    </row>
    <row r="1529" spans="27:27" ht="15" customHeight="1" x14ac:dyDescent="0.25">
      <c r="AA1529" s="28" t="str">
        <f t="shared" si="23"/>
        <v/>
      </c>
    </row>
    <row r="1530" spans="27:27" ht="15" customHeight="1" x14ac:dyDescent="0.25">
      <c r="AA1530" s="28" t="str">
        <f t="shared" si="23"/>
        <v/>
      </c>
    </row>
    <row r="1531" spans="27:27" ht="15" customHeight="1" x14ac:dyDescent="0.25">
      <c r="AA1531" s="28" t="str">
        <f t="shared" si="23"/>
        <v/>
      </c>
    </row>
    <row r="1532" spans="27:27" ht="15" customHeight="1" x14ac:dyDescent="0.25">
      <c r="AA1532" s="28" t="str">
        <f t="shared" si="23"/>
        <v/>
      </c>
    </row>
    <row r="1533" spans="27:27" ht="15" customHeight="1" x14ac:dyDescent="0.25">
      <c r="AA1533" s="28" t="str">
        <f t="shared" si="23"/>
        <v/>
      </c>
    </row>
    <row r="1534" spans="27:27" ht="15" customHeight="1" x14ac:dyDescent="0.25">
      <c r="AA1534" s="28" t="str">
        <f t="shared" si="23"/>
        <v/>
      </c>
    </row>
    <row r="1535" spans="27:27" ht="15" customHeight="1" x14ac:dyDescent="0.25">
      <c r="AA1535" s="28" t="str">
        <f t="shared" si="23"/>
        <v/>
      </c>
    </row>
    <row r="1536" spans="27:27" ht="15" customHeight="1" x14ac:dyDescent="0.25">
      <c r="AA1536" s="28" t="str">
        <f t="shared" si="23"/>
        <v/>
      </c>
    </row>
    <row r="1537" spans="27:27" ht="15" customHeight="1" x14ac:dyDescent="0.25">
      <c r="AA1537" s="28" t="str">
        <f t="shared" si="23"/>
        <v/>
      </c>
    </row>
    <row r="1538" spans="27:27" ht="15" customHeight="1" x14ac:dyDescent="0.25">
      <c r="AA1538" s="28" t="str">
        <f t="shared" si="23"/>
        <v/>
      </c>
    </row>
    <row r="1539" spans="27:27" ht="15" customHeight="1" x14ac:dyDescent="0.25">
      <c r="AA1539" s="28" t="str">
        <f t="shared" si="23"/>
        <v/>
      </c>
    </row>
    <row r="1540" spans="27:27" ht="15" customHeight="1" x14ac:dyDescent="0.25">
      <c r="AA1540" s="28" t="str">
        <f t="shared" si="23"/>
        <v/>
      </c>
    </row>
    <row r="1541" spans="27:27" ht="15" customHeight="1" x14ac:dyDescent="0.25">
      <c r="AA1541" s="28" t="str">
        <f t="shared" si="23"/>
        <v/>
      </c>
    </row>
    <row r="1542" spans="27:27" ht="15" customHeight="1" x14ac:dyDescent="0.25">
      <c r="AA1542" s="28" t="str">
        <f t="shared" si="23"/>
        <v/>
      </c>
    </row>
    <row r="1543" spans="27:27" ht="15" customHeight="1" x14ac:dyDescent="0.25">
      <c r="AA1543" s="28" t="str">
        <f t="shared" si="23"/>
        <v/>
      </c>
    </row>
    <row r="1544" spans="27:27" ht="15" customHeight="1" x14ac:dyDescent="0.25">
      <c r="AA1544" s="28" t="str">
        <f t="shared" ref="AA1544:AA1607" si="24">IFERROR(
IF(AND(X1544="Não",Y1544="Sim"),"REP",
IF(AND(X1544="Sim",Y1544="Não"),"Técnico",
IF(AND(X1544="Sim",Y1544="Sim"),"Ambos",""))),
"")</f>
        <v/>
      </c>
    </row>
    <row r="1545" spans="27:27" ht="15" customHeight="1" x14ac:dyDescent="0.25">
      <c r="AA1545" s="28" t="str">
        <f t="shared" si="24"/>
        <v/>
      </c>
    </row>
    <row r="1546" spans="27:27" ht="15" customHeight="1" x14ac:dyDescent="0.25">
      <c r="AA1546" s="28" t="str">
        <f t="shared" si="24"/>
        <v/>
      </c>
    </row>
    <row r="1547" spans="27:27" ht="15" customHeight="1" x14ac:dyDescent="0.25">
      <c r="AA1547" s="28" t="str">
        <f t="shared" si="24"/>
        <v/>
      </c>
    </row>
    <row r="1548" spans="27:27" ht="15" customHeight="1" x14ac:dyDescent="0.25">
      <c r="AA1548" s="28" t="str">
        <f t="shared" si="24"/>
        <v/>
      </c>
    </row>
    <row r="1549" spans="27:27" ht="15" customHeight="1" x14ac:dyDescent="0.25">
      <c r="AA1549" s="28" t="str">
        <f t="shared" si="24"/>
        <v/>
      </c>
    </row>
    <row r="1550" spans="27:27" ht="15" customHeight="1" x14ac:dyDescent="0.25">
      <c r="AA1550" s="28" t="str">
        <f t="shared" si="24"/>
        <v/>
      </c>
    </row>
    <row r="1551" spans="27:27" ht="15" customHeight="1" x14ac:dyDescent="0.25">
      <c r="AA1551" s="28" t="str">
        <f t="shared" si="24"/>
        <v/>
      </c>
    </row>
    <row r="1552" spans="27:27" ht="15" customHeight="1" x14ac:dyDescent="0.25">
      <c r="AA1552" s="28" t="str">
        <f t="shared" si="24"/>
        <v/>
      </c>
    </row>
    <row r="1553" spans="27:27" ht="15" customHeight="1" x14ac:dyDescent="0.25">
      <c r="AA1553" s="28" t="str">
        <f t="shared" si="24"/>
        <v/>
      </c>
    </row>
    <row r="1554" spans="27:27" ht="15" customHeight="1" x14ac:dyDescent="0.25">
      <c r="AA1554" s="28" t="str">
        <f t="shared" si="24"/>
        <v/>
      </c>
    </row>
    <row r="1555" spans="27:27" ht="15" customHeight="1" x14ac:dyDescent="0.25">
      <c r="AA1555" s="28" t="str">
        <f t="shared" si="24"/>
        <v/>
      </c>
    </row>
    <row r="1556" spans="27:27" ht="15" customHeight="1" x14ac:dyDescent="0.25">
      <c r="AA1556" s="28" t="str">
        <f t="shared" si="24"/>
        <v/>
      </c>
    </row>
    <row r="1557" spans="27:27" ht="15" customHeight="1" x14ac:dyDescent="0.25">
      <c r="AA1557" s="28" t="str">
        <f t="shared" si="24"/>
        <v/>
      </c>
    </row>
    <row r="1558" spans="27:27" ht="15" customHeight="1" x14ac:dyDescent="0.25">
      <c r="AA1558" s="28" t="str">
        <f t="shared" si="24"/>
        <v/>
      </c>
    </row>
    <row r="1559" spans="27:27" ht="15" customHeight="1" x14ac:dyDescent="0.25">
      <c r="AA1559" s="28" t="str">
        <f t="shared" si="24"/>
        <v/>
      </c>
    </row>
    <row r="1560" spans="27:27" ht="15" customHeight="1" x14ac:dyDescent="0.25">
      <c r="AA1560" s="28" t="str">
        <f t="shared" si="24"/>
        <v/>
      </c>
    </row>
    <row r="1561" spans="27:27" ht="15" customHeight="1" x14ac:dyDescent="0.25">
      <c r="AA1561" s="28" t="str">
        <f t="shared" si="24"/>
        <v/>
      </c>
    </row>
    <row r="1562" spans="27:27" ht="15" customHeight="1" x14ac:dyDescent="0.25">
      <c r="AA1562" s="28" t="str">
        <f t="shared" si="24"/>
        <v/>
      </c>
    </row>
    <row r="1563" spans="27:27" ht="15" customHeight="1" x14ac:dyDescent="0.25">
      <c r="AA1563" s="28" t="str">
        <f t="shared" si="24"/>
        <v/>
      </c>
    </row>
    <row r="1564" spans="27:27" ht="15" customHeight="1" x14ac:dyDescent="0.25">
      <c r="AA1564" s="28" t="str">
        <f t="shared" si="24"/>
        <v/>
      </c>
    </row>
    <row r="1565" spans="27:27" ht="15" customHeight="1" x14ac:dyDescent="0.25">
      <c r="AA1565" s="28" t="str">
        <f t="shared" si="24"/>
        <v/>
      </c>
    </row>
    <row r="1566" spans="27:27" ht="15" customHeight="1" x14ac:dyDescent="0.25">
      <c r="AA1566" s="28" t="str">
        <f t="shared" si="24"/>
        <v/>
      </c>
    </row>
    <row r="1567" spans="27:27" ht="15" customHeight="1" x14ac:dyDescent="0.25">
      <c r="AA1567" s="28" t="str">
        <f t="shared" si="24"/>
        <v/>
      </c>
    </row>
    <row r="1568" spans="27:27" ht="15" customHeight="1" x14ac:dyDescent="0.25">
      <c r="AA1568" s="28" t="str">
        <f t="shared" si="24"/>
        <v/>
      </c>
    </row>
    <row r="1569" spans="27:27" ht="15" customHeight="1" x14ac:dyDescent="0.25">
      <c r="AA1569" s="28" t="str">
        <f t="shared" si="24"/>
        <v/>
      </c>
    </row>
    <row r="1570" spans="27:27" ht="15" customHeight="1" x14ac:dyDescent="0.25">
      <c r="AA1570" s="28" t="str">
        <f t="shared" si="24"/>
        <v/>
      </c>
    </row>
    <row r="1571" spans="27:27" ht="15" customHeight="1" x14ac:dyDescent="0.25">
      <c r="AA1571" s="28" t="str">
        <f t="shared" si="24"/>
        <v/>
      </c>
    </row>
    <row r="1572" spans="27:27" ht="15" customHeight="1" x14ac:dyDescent="0.25">
      <c r="AA1572" s="28" t="str">
        <f t="shared" si="24"/>
        <v/>
      </c>
    </row>
    <row r="1573" spans="27:27" ht="15" customHeight="1" x14ac:dyDescent="0.25">
      <c r="AA1573" s="28" t="str">
        <f t="shared" si="24"/>
        <v/>
      </c>
    </row>
    <row r="1574" spans="27:27" ht="15" customHeight="1" x14ac:dyDescent="0.25">
      <c r="AA1574" s="28" t="str">
        <f t="shared" si="24"/>
        <v/>
      </c>
    </row>
    <row r="1575" spans="27:27" ht="15" customHeight="1" x14ac:dyDescent="0.25">
      <c r="AA1575" s="28" t="str">
        <f t="shared" si="24"/>
        <v/>
      </c>
    </row>
    <row r="1576" spans="27:27" ht="15" customHeight="1" x14ac:dyDescent="0.25">
      <c r="AA1576" s="28" t="str">
        <f t="shared" si="24"/>
        <v/>
      </c>
    </row>
    <row r="1577" spans="27:27" ht="15" customHeight="1" x14ac:dyDescent="0.25">
      <c r="AA1577" s="28" t="str">
        <f t="shared" si="24"/>
        <v/>
      </c>
    </row>
    <row r="1578" spans="27:27" ht="15" customHeight="1" x14ac:dyDescent="0.25">
      <c r="AA1578" s="28" t="str">
        <f t="shared" si="24"/>
        <v/>
      </c>
    </row>
    <row r="1579" spans="27:27" ht="15" customHeight="1" x14ac:dyDescent="0.25">
      <c r="AA1579" s="28" t="str">
        <f t="shared" si="24"/>
        <v/>
      </c>
    </row>
    <row r="1580" spans="27:27" ht="15" customHeight="1" x14ac:dyDescent="0.25">
      <c r="AA1580" s="28" t="str">
        <f t="shared" si="24"/>
        <v/>
      </c>
    </row>
    <row r="1581" spans="27:27" ht="15" customHeight="1" x14ac:dyDescent="0.25">
      <c r="AA1581" s="28" t="str">
        <f t="shared" si="24"/>
        <v/>
      </c>
    </row>
    <row r="1582" spans="27:27" ht="15" customHeight="1" x14ac:dyDescent="0.25">
      <c r="AA1582" s="28" t="str">
        <f t="shared" si="24"/>
        <v/>
      </c>
    </row>
    <row r="1583" spans="27:27" ht="15" customHeight="1" x14ac:dyDescent="0.25">
      <c r="AA1583" s="28" t="str">
        <f t="shared" si="24"/>
        <v/>
      </c>
    </row>
    <row r="1584" spans="27:27" ht="15" customHeight="1" x14ac:dyDescent="0.25">
      <c r="AA1584" s="28" t="str">
        <f t="shared" si="24"/>
        <v/>
      </c>
    </row>
    <row r="1585" spans="27:27" ht="15" customHeight="1" x14ac:dyDescent="0.25">
      <c r="AA1585" s="28" t="str">
        <f t="shared" si="24"/>
        <v/>
      </c>
    </row>
    <row r="1586" spans="27:27" ht="15" customHeight="1" x14ac:dyDescent="0.25">
      <c r="AA1586" s="28" t="str">
        <f t="shared" si="24"/>
        <v/>
      </c>
    </row>
    <row r="1587" spans="27:27" ht="15" customHeight="1" x14ac:dyDescent="0.25">
      <c r="AA1587" s="28" t="str">
        <f t="shared" si="24"/>
        <v/>
      </c>
    </row>
    <row r="1588" spans="27:27" ht="15" customHeight="1" x14ac:dyDescent="0.25">
      <c r="AA1588" s="28" t="str">
        <f t="shared" si="24"/>
        <v/>
      </c>
    </row>
    <row r="1589" spans="27:27" ht="15" customHeight="1" x14ac:dyDescent="0.25">
      <c r="AA1589" s="28" t="str">
        <f t="shared" si="24"/>
        <v/>
      </c>
    </row>
    <row r="1590" spans="27:27" ht="15" customHeight="1" x14ac:dyDescent="0.25">
      <c r="AA1590" s="28" t="str">
        <f t="shared" si="24"/>
        <v/>
      </c>
    </row>
    <row r="1591" spans="27:27" ht="15" customHeight="1" x14ac:dyDescent="0.25">
      <c r="AA1591" s="28" t="str">
        <f t="shared" si="24"/>
        <v/>
      </c>
    </row>
    <row r="1592" spans="27:27" ht="15" customHeight="1" x14ac:dyDescent="0.25">
      <c r="AA1592" s="28" t="str">
        <f t="shared" si="24"/>
        <v/>
      </c>
    </row>
    <row r="1593" spans="27:27" ht="15" customHeight="1" x14ac:dyDescent="0.25">
      <c r="AA1593" s="28" t="str">
        <f t="shared" si="24"/>
        <v/>
      </c>
    </row>
    <row r="1594" spans="27:27" ht="15" customHeight="1" x14ac:dyDescent="0.25">
      <c r="AA1594" s="28" t="str">
        <f t="shared" si="24"/>
        <v/>
      </c>
    </row>
    <row r="1595" spans="27:27" ht="15" customHeight="1" x14ac:dyDescent="0.25">
      <c r="AA1595" s="28" t="str">
        <f t="shared" si="24"/>
        <v/>
      </c>
    </row>
    <row r="1596" spans="27:27" ht="15" customHeight="1" x14ac:dyDescent="0.25">
      <c r="AA1596" s="28" t="str">
        <f t="shared" si="24"/>
        <v/>
      </c>
    </row>
    <row r="1597" spans="27:27" ht="15" customHeight="1" x14ac:dyDescent="0.25">
      <c r="AA1597" s="28" t="str">
        <f t="shared" si="24"/>
        <v/>
      </c>
    </row>
    <row r="1598" spans="27:27" ht="15" customHeight="1" x14ac:dyDescent="0.25">
      <c r="AA1598" s="28" t="str">
        <f t="shared" si="24"/>
        <v/>
      </c>
    </row>
    <row r="1599" spans="27:27" ht="15" customHeight="1" x14ac:dyDescent="0.25">
      <c r="AA1599" s="28" t="str">
        <f t="shared" si="24"/>
        <v/>
      </c>
    </row>
    <row r="1600" spans="27:27" ht="15" customHeight="1" x14ac:dyDescent="0.25">
      <c r="AA1600" s="28" t="str">
        <f t="shared" si="24"/>
        <v/>
      </c>
    </row>
    <row r="1601" spans="27:27" ht="15" customHeight="1" x14ac:dyDescent="0.25">
      <c r="AA1601" s="28" t="str">
        <f t="shared" si="24"/>
        <v/>
      </c>
    </row>
    <row r="1602" spans="27:27" ht="15" customHeight="1" x14ac:dyDescent="0.25">
      <c r="AA1602" s="28" t="str">
        <f t="shared" si="24"/>
        <v/>
      </c>
    </row>
    <row r="1603" spans="27:27" ht="15" customHeight="1" x14ac:dyDescent="0.25">
      <c r="AA1603" s="28" t="str">
        <f t="shared" si="24"/>
        <v/>
      </c>
    </row>
    <row r="1604" spans="27:27" ht="15" customHeight="1" x14ac:dyDescent="0.25">
      <c r="AA1604" s="28" t="str">
        <f t="shared" si="24"/>
        <v/>
      </c>
    </row>
    <row r="1605" spans="27:27" ht="15" customHeight="1" x14ac:dyDescent="0.25">
      <c r="AA1605" s="28" t="str">
        <f t="shared" si="24"/>
        <v/>
      </c>
    </row>
    <row r="1606" spans="27:27" ht="15" customHeight="1" x14ac:dyDescent="0.25">
      <c r="AA1606" s="28" t="str">
        <f t="shared" si="24"/>
        <v/>
      </c>
    </row>
    <row r="1607" spans="27:27" ht="15" customHeight="1" x14ac:dyDescent="0.25">
      <c r="AA1607" s="28" t="str">
        <f t="shared" si="24"/>
        <v/>
      </c>
    </row>
    <row r="1608" spans="27:27" ht="15" customHeight="1" x14ac:dyDescent="0.25">
      <c r="AA1608" s="28" t="str">
        <f t="shared" ref="AA1608:AA1671" si="25">IFERROR(
IF(AND(X1608="Não",Y1608="Sim"),"REP",
IF(AND(X1608="Sim",Y1608="Não"),"Técnico",
IF(AND(X1608="Sim",Y1608="Sim"),"Ambos",""))),
"")</f>
        <v/>
      </c>
    </row>
    <row r="1609" spans="27:27" ht="15" customHeight="1" x14ac:dyDescent="0.25">
      <c r="AA1609" s="28" t="str">
        <f t="shared" si="25"/>
        <v/>
      </c>
    </row>
    <row r="1610" spans="27:27" ht="15" customHeight="1" x14ac:dyDescent="0.25">
      <c r="AA1610" s="28" t="str">
        <f t="shared" si="25"/>
        <v/>
      </c>
    </row>
    <row r="1611" spans="27:27" ht="15" customHeight="1" x14ac:dyDescent="0.25">
      <c r="AA1611" s="28" t="str">
        <f t="shared" si="25"/>
        <v/>
      </c>
    </row>
    <row r="1612" spans="27:27" ht="15" customHeight="1" x14ac:dyDescent="0.25">
      <c r="AA1612" s="28" t="str">
        <f t="shared" si="25"/>
        <v/>
      </c>
    </row>
    <row r="1613" spans="27:27" ht="15" customHeight="1" x14ac:dyDescent="0.25">
      <c r="AA1613" s="28" t="str">
        <f t="shared" si="25"/>
        <v/>
      </c>
    </row>
    <row r="1614" spans="27:27" ht="15" customHeight="1" x14ac:dyDescent="0.25">
      <c r="AA1614" s="28" t="str">
        <f t="shared" si="25"/>
        <v/>
      </c>
    </row>
    <row r="1615" spans="27:27" ht="15" customHeight="1" x14ac:dyDescent="0.25">
      <c r="AA1615" s="28" t="str">
        <f t="shared" si="25"/>
        <v/>
      </c>
    </row>
    <row r="1616" spans="27:27" ht="15" customHeight="1" x14ac:dyDescent="0.25">
      <c r="AA1616" s="28" t="str">
        <f t="shared" si="25"/>
        <v/>
      </c>
    </row>
    <row r="1617" spans="27:27" ht="15" customHeight="1" x14ac:dyDescent="0.25">
      <c r="AA1617" s="28" t="str">
        <f t="shared" si="25"/>
        <v/>
      </c>
    </row>
    <row r="1618" spans="27:27" ht="15" customHeight="1" x14ac:dyDescent="0.25">
      <c r="AA1618" s="28" t="str">
        <f t="shared" si="25"/>
        <v/>
      </c>
    </row>
    <row r="1619" spans="27:27" ht="15" customHeight="1" x14ac:dyDescent="0.25">
      <c r="AA1619" s="28" t="str">
        <f t="shared" si="25"/>
        <v/>
      </c>
    </row>
    <row r="1620" spans="27:27" ht="15" customHeight="1" x14ac:dyDescent="0.25">
      <c r="AA1620" s="28" t="str">
        <f t="shared" si="25"/>
        <v/>
      </c>
    </row>
    <row r="1621" spans="27:27" ht="15" customHeight="1" x14ac:dyDescent="0.25">
      <c r="AA1621" s="28" t="str">
        <f t="shared" si="25"/>
        <v/>
      </c>
    </row>
    <row r="1622" spans="27:27" ht="15" customHeight="1" x14ac:dyDescent="0.25">
      <c r="AA1622" s="28" t="str">
        <f t="shared" si="25"/>
        <v/>
      </c>
    </row>
    <row r="1623" spans="27:27" ht="15" customHeight="1" x14ac:dyDescent="0.25">
      <c r="AA1623" s="28" t="str">
        <f t="shared" si="25"/>
        <v/>
      </c>
    </row>
    <row r="1624" spans="27:27" ht="15" customHeight="1" x14ac:dyDescent="0.25">
      <c r="AA1624" s="28" t="str">
        <f t="shared" si="25"/>
        <v/>
      </c>
    </row>
    <row r="1625" spans="27:27" ht="15" customHeight="1" x14ac:dyDescent="0.25">
      <c r="AA1625" s="28" t="str">
        <f t="shared" si="25"/>
        <v/>
      </c>
    </row>
    <row r="1626" spans="27:27" ht="15" customHeight="1" x14ac:dyDescent="0.25">
      <c r="AA1626" s="28" t="str">
        <f t="shared" si="25"/>
        <v/>
      </c>
    </row>
    <row r="1627" spans="27:27" ht="15" customHeight="1" x14ac:dyDescent="0.25">
      <c r="AA1627" s="28" t="str">
        <f t="shared" si="25"/>
        <v/>
      </c>
    </row>
    <row r="1628" spans="27:27" ht="15" customHeight="1" x14ac:dyDescent="0.25">
      <c r="AA1628" s="28" t="str">
        <f t="shared" si="25"/>
        <v/>
      </c>
    </row>
    <row r="1629" spans="27:27" ht="15" customHeight="1" x14ac:dyDescent="0.25">
      <c r="AA1629" s="28" t="str">
        <f t="shared" si="25"/>
        <v/>
      </c>
    </row>
    <row r="1630" spans="27:27" ht="15" customHeight="1" x14ac:dyDescent="0.25">
      <c r="AA1630" s="28" t="str">
        <f t="shared" si="25"/>
        <v/>
      </c>
    </row>
    <row r="1631" spans="27:27" ht="15" customHeight="1" x14ac:dyDescent="0.25">
      <c r="AA1631" s="28" t="str">
        <f t="shared" si="25"/>
        <v/>
      </c>
    </row>
    <row r="1632" spans="27:27" ht="15" customHeight="1" x14ac:dyDescent="0.25">
      <c r="AA1632" s="28" t="str">
        <f t="shared" si="25"/>
        <v/>
      </c>
    </row>
    <row r="1633" spans="27:27" ht="15" customHeight="1" x14ac:dyDescent="0.25">
      <c r="AA1633" s="28" t="str">
        <f t="shared" si="25"/>
        <v/>
      </c>
    </row>
    <row r="1634" spans="27:27" ht="15" customHeight="1" x14ac:dyDescent="0.25">
      <c r="AA1634" s="28" t="str">
        <f t="shared" si="25"/>
        <v/>
      </c>
    </row>
    <row r="1635" spans="27:27" ht="15" customHeight="1" x14ac:dyDescent="0.25">
      <c r="AA1635" s="28" t="str">
        <f t="shared" si="25"/>
        <v/>
      </c>
    </row>
    <row r="1636" spans="27:27" ht="15" customHeight="1" x14ac:dyDescent="0.25">
      <c r="AA1636" s="28" t="str">
        <f t="shared" si="25"/>
        <v/>
      </c>
    </row>
    <row r="1637" spans="27:27" ht="15" customHeight="1" x14ac:dyDescent="0.25">
      <c r="AA1637" s="28" t="str">
        <f t="shared" si="25"/>
        <v/>
      </c>
    </row>
    <row r="1638" spans="27:27" ht="15" customHeight="1" x14ac:dyDescent="0.25">
      <c r="AA1638" s="28" t="str">
        <f t="shared" si="25"/>
        <v/>
      </c>
    </row>
    <row r="1639" spans="27:27" ht="15" customHeight="1" x14ac:dyDescent="0.25">
      <c r="AA1639" s="28" t="str">
        <f t="shared" si="25"/>
        <v/>
      </c>
    </row>
    <row r="1640" spans="27:27" ht="15" customHeight="1" x14ac:dyDescent="0.25">
      <c r="AA1640" s="28" t="str">
        <f t="shared" si="25"/>
        <v/>
      </c>
    </row>
    <row r="1641" spans="27:27" ht="15" customHeight="1" x14ac:dyDescent="0.25">
      <c r="AA1641" s="28" t="str">
        <f t="shared" si="25"/>
        <v/>
      </c>
    </row>
    <row r="1642" spans="27:27" ht="15" customHeight="1" x14ac:dyDescent="0.25">
      <c r="AA1642" s="28" t="str">
        <f t="shared" si="25"/>
        <v/>
      </c>
    </row>
    <row r="1643" spans="27:27" ht="15" customHeight="1" x14ac:dyDescent="0.25">
      <c r="AA1643" s="28" t="str">
        <f t="shared" si="25"/>
        <v/>
      </c>
    </row>
    <row r="1644" spans="27:27" ht="15" customHeight="1" x14ac:dyDescent="0.25">
      <c r="AA1644" s="28" t="str">
        <f t="shared" si="25"/>
        <v/>
      </c>
    </row>
    <row r="1645" spans="27:27" ht="15" customHeight="1" x14ac:dyDescent="0.25">
      <c r="AA1645" s="28" t="str">
        <f t="shared" si="25"/>
        <v/>
      </c>
    </row>
    <row r="1646" spans="27:27" ht="15" customHeight="1" x14ac:dyDescent="0.25">
      <c r="AA1646" s="28" t="str">
        <f t="shared" si="25"/>
        <v/>
      </c>
    </row>
    <row r="1647" spans="27:27" ht="15" customHeight="1" x14ac:dyDescent="0.25">
      <c r="AA1647" s="28" t="str">
        <f t="shared" si="25"/>
        <v/>
      </c>
    </row>
    <row r="1648" spans="27:27" ht="15" customHeight="1" x14ac:dyDescent="0.25">
      <c r="AA1648" s="28" t="str">
        <f t="shared" si="25"/>
        <v/>
      </c>
    </row>
    <row r="1649" spans="27:27" ht="15" customHeight="1" x14ac:dyDescent="0.25">
      <c r="AA1649" s="28" t="str">
        <f t="shared" si="25"/>
        <v/>
      </c>
    </row>
    <row r="1650" spans="27:27" ht="15" customHeight="1" x14ac:dyDescent="0.25">
      <c r="AA1650" s="28" t="str">
        <f t="shared" si="25"/>
        <v/>
      </c>
    </row>
    <row r="1651" spans="27:27" ht="15" customHeight="1" x14ac:dyDescent="0.25">
      <c r="AA1651" s="28" t="str">
        <f t="shared" si="25"/>
        <v/>
      </c>
    </row>
    <row r="1652" spans="27:27" ht="15" customHeight="1" x14ac:dyDescent="0.25">
      <c r="AA1652" s="28" t="str">
        <f t="shared" si="25"/>
        <v/>
      </c>
    </row>
    <row r="1653" spans="27:27" ht="15" customHeight="1" x14ac:dyDescent="0.25">
      <c r="AA1653" s="28" t="str">
        <f t="shared" si="25"/>
        <v/>
      </c>
    </row>
    <row r="1654" spans="27:27" ht="15" customHeight="1" x14ac:dyDescent="0.25">
      <c r="AA1654" s="28" t="str">
        <f t="shared" si="25"/>
        <v/>
      </c>
    </row>
    <row r="1655" spans="27:27" ht="15" customHeight="1" x14ac:dyDescent="0.25">
      <c r="AA1655" s="28" t="str">
        <f t="shared" si="25"/>
        <v/>
      </c>
    </row>
    <row r="1656" spans="27:27" ht="15" customHeight="1" x14ac:dyDescent="0.25">
      <c r="AA1656" s="28" t="str">
        <f t="shared" si="25"/>
        <v/>
      </c>
    </row>
    <row r="1657" spans="27:27" ht="15" customHeight="1" x14ac:dyDescent="0.25">
      <c r="AA1657" s="28" t="str">
        <f t="shared" si="25"/>
        <v/>
      </c>
    </row>
    <row r="1658" spans="27:27" ht="15" customHeight="1" x14ac:dyDescent="0.25">
      <c r="AA1658" s="28" t="str">
        <f t="shared" si="25"/>
        <v/>
      </c>
    </row>
    <row r="1659" spans="27:27" ht="15" customHeight="1" x14ac:dyDescent="0.25">
      <c r="AA1659" s="28" t="str">
        <f t="shared" si="25"/>
        <v/>
      </c>
    </row>
    <row r="1660" spans="27:27" ht="15" customHeight="1" x14ac:dyDescent="0.25">
      <c r="AA1660" s="28" t="str">
        <f t="shared" si="25"/>
        <v/>
      </c>
    </row>
    <row r="1661" spans="27:27" ht="15" customHeight="1" x14ac:dyDescent="0.25">
      <c r="AA1661" s="28" t="str">
        <f t="shared" si="25"/>
        <v/>
      </c>
    </row>
    <row r="1662" spans="27:27" ht="15" customHeight="1" x14ac:dyDescent="0.25">
      <c r="AA1662" s="28" t="str">
        <f t="shared" si="25"/>
        <v/>
      </c>
    </row>
    <row r="1663" spans="27:27" ht="15" customHeight="1" x14ac:dyDescent="0.25">
      <c r="AA1663" s="28" t="str">
        <f t="shared" si="25"/>
        <v/>
      </c>
    </row>
    <row r="1664" spans="27:27" ht="15" customHeight="1" x14ac:dyDescent="0.25">
      <c r="AA1664" s="28" t="str">
        <f t="shared" si="25"/>
        <v/>
      </c>
    </row>
    <row r="1665" spans="27:27" ht="15" customHeight="1" x14ac:dyDescent="0.25">
      <c r="AA1665" s="28" t="str">
        <f t="shared" si="25"/>
        <v/>
      </c>
    </row>
    <row r="1666" spans="27:27" ht="15" customHeight="1" x14ac:dyDescent="0.25">
      <c r="AA1666" s="28" t="str">
        <f t="shared" si="25"/>
        <v/>
      </c>
    </row>
    <row r="1667" spans="27:27" ht="15" customHeight="1" x14ac:dyDescent="0.25">
      <c r="AA1667" s="28" t="str">
        <f t="shared" si="25"/>
        <v/>
      </c>
    </row>
    <row r="1668" spans="27:27" ht="15" customHeight="1" x14ac:dyDescent="0.25">
      <c r="AA1668" s="28" t="str">
        <f t="shared" si="25"/>
        <v/>
      </c>
    </row>
    <row r="1669" spans="27:27" ht="15" customHeight="1" x14ac:dyDescent="0.25">
      <c r="AA1669" s="28" t="str">
        <f t="shared" si="25"/>
        <v/>
      </c>
    </row>
    <row r="1670" spans="27:27" ht="15" customHeight="1" x14ac:dyDescent="0.25">
      <c r="AA1670" s="28" t="str">
        <f t="shared" si="25"/>
        <v/>
      </c>
    </row>
    <row r="1671" spans="27:27" ht="15" customHeight="1" x14ac:dyDescent="0.25">
      <c r="AA1671" s="28" t="str">
        <f t="shared" si="25"/>
        <v/>
      </c>
    </row>
    <row r="1672" spans="27:27" ht="15" customHeight="1" x14ac:dyDescent="0.25">
      <c r="AA1672" s="28" t="str">
        <f t="shared" ref="AA1672:AA1735" si="26">IFERROR(
IF(AND(X1672="Não",Y1672="Sim"),"REP",
IF(AND(X1672="Sim",Y1672="Não"),"Técnico",
IF(AND(X1672="Sim",Y1672="Sim"),"Ambos",""))),
"")</f>
        <v/>
      </c>
    </row>
    <row r="1673" spans="27:27" ht="15" customHeight="1" x14ac:dyDescent="0.25">
      <c r="AA1673" s="28" t="str">
        <f t="shared" si="26"/>
        <v/>
      </c>
    </row>
    <row r="1674" spans="27:27" ht="15" customHeight="1" x14ac:dyDescent="0.25">
      <c r="AA1674" s="28" t="str">
        <f t="shared" si="26"/>
        <v/>
      </c>
    </row>
    <row r="1675" spans="27:27" ht="15" customHeight="1" x14ac:dyDescent="0.25">
      <c r="AA1675" s="28" t="str">
        <f t="shared" si="26"/>
        <v/>
      </c>
    </row>
    <row r="1676" spans="27:27" ht="15" customHeight="1" x14ac:dyDescent="0.25">
      <c r="AA1676" s="28" t="str">
        <f t="shared" si="26"/>
        <v/>
      </c>
    </row>
    <row r="1677" spans="27:27" ht="15" customHeight="1" x14ac:dyDescent="0.25">
      <c r="AA1677" s="28" t="str">
        <f t="shared" si="26"/>
        <v/>
      </c>
    </row>
    <row r="1678" spans="27:27" ht="15" customHeight="1" x14ac:dyDescent="0.25">
      <c r="AA1678" s="28" t="str">
        <f t="shared" si="26"/>
        <v/>
      </c>
    </row>
    <row r="1679" spans="27:27" ht="15" customHeight="1" x14ac:dyDescent="0.25">
      <c r="AA1679" s="28" t="str">
        <f t="shared" si="26"/>
        <v/>
      </c>
    </row>
    <row r="1680" spans="27:27" ht="15" customHeight="1" x14ac:dyDescent="0.25">
      <c r="AA1680" s="28" t="str">
        <f t="shared" si="26"/>
        <v/>
      </c>
    </row>
    <row r="1681" spans="27:27" ht="15" customHeight="1" x14ac:dyDescent="0.25">
      <c r="AA1681" s="28" t="str">
        <f t="shared" si="26"/>
        <v/>
      </c>
    </row>
    <row r="1682" spans="27:27" ht="15" customHeight="1" x14ac:dyDescent="0.25">
      <c r="AA1682" s="28" t="str">
        <f t="shared" si="26"/>
        <v/>
      </c>
    </row>
    <row r="1683" spans="27:27" ht="15" customHeight="1" x14ac:dyDescent="0.25">
      <c r="AA1683" s="28" t="str">
        <f t="shared" si="26"/>
        <v/>
      </c>
    </row>
    <row r="1684" spans="27:27" ht="15" customHeight="1" x14ac:dyDescent="0.25">
      <c r="AA1684" s="28" t="str">
        <f t="shared" si="26"/>
        <v/>
      </c>
    </row>
    <row r="1685" spans="27:27" ht="15" customHeight="1" x14ac:dyDescent="0.25">
      <c r="AA1685" s="28" t="str">
        <f t="shared" si="26"/>
        <v/>
      </c>
    </row>
    <row r="1686" spans="27:27" ht="15" customHeight="1" x14ac:dyDescent="0.25">
      <c r="AA1686" s="28" t="str">
        <f t="shared" si="26"/>
        <v/>
      </c>
    </row>
    <row r="1687" spans="27:27" ht="15" customHeight="1" x14ac:dyDescent="0.25">
      <c r="AA1687" s="28" t="str">
        <f t="shared" si="26"/>
        <v/>
      </c>
    </row>
    <row r="1688" spans="27:27" ht="15" customHeight="1" x14ac:dyDescent="0.25">
      <c r="AA1688" s="28" t="str">
        <f t="shared" si="26"/>
        <v/>
      </c>
    </row>
    <row r="1689" spans="27:27" ht="15" customHeight="1" x14ac:dyDescent="0.25">
      <c r="AA1689" s="28" t="str">
        <f t="shared" si="26"/>
        <v/>
      </c>
    </row>
    <row r="1690" spans="27:27" ht="15" customHeight="1" x14ac:dyDescent="0.25">
      <c r="AA1690" s="28" t="str">
        <f t="shared" si="26"/>
        <v/>
      </c>
    </row>
    <row r="1691" spans="27:27" ht="15" customHeight="1" x14ac:dyDescent="0.25">
      <c r="AA1691" s="28" t="str">
        <f t="shared" si="26"/>
        <v/>
      </c>
    </row>
    <row r="1692" spans="27:27" ht="15" customHeight="1" x14ac:dyDescent="0.25">
      <c r="AA1692" s="28" t="str">
        <f t="shared" si="26"/>
        <v/>
      </c>
    </row>
    <row r="1693" spans="27:27" ht="15" customHeight="1" x14ac:dyDescent="0.25">
      <c r="AA1693" s="28" t="str">
        <f t="shared" si="26"/>
        <v/>
      </c>
    </row>
    <row r="1694" spans="27:27" ht="15" customHeight="1" x14ac:dyDescent="0.25">
      <c r="AA1694" s="28" t="str">
        <f t="shared" si="26"/>
        <v/>
      </c>
    </row>
    <row r="1695" spans="27:27" ht="15" customHeight="1" x14ac:dyDescent="0.25">
      <c r="AA1695" s="28" t="str">
        <f t="shared" si="26"/>
        <v/>
      </c>
    </row>
    <row r="1696" spans="27:27" ht="15" customHeight="1" x14ac:dyDescent="0.25">
      <c r="AA1696" s="28" t="str">
        <f t="shared" si="26"/>
        <v/>
      </c>
    </row>
    <row r="1697" spans="27:27" ht="15" customHeight="1" x14ac:dyDescent="0.25">
      <c r="AA1697" s="28" t="str">
        <f t="shared" si="26"/>
        <v/>
      </c>
    </row>
    <row r="1698" spans="27:27" ht="15" customHeight="1" x14ac:dyDescent="0.25">
      <c r="AA1698" s="28" t="str">
        <f t="shared" si="26"/>
        <v/>
      </c>
    </row>
    <row r="1699" spans="27:27" ht="15" customHeight="1" x14ac:dyDescent="0.25">
      <c r="AA1699" s="28" t="str">
        <f t="shared" si="26"/>
        <v/>
      </c>
    </row>
    <row r="1700" spans="27:27" ht="15" customHeight="1" x14ac:dyDescent="0.25">
      <c r="AA1700" s="28" t="str">
        <f t="shared" si="26"/>
        <v/>
      </c>
    </row>
    <row r="1701" spans="27:27" ht="15" customHeight="1" x14ac:dyDescent="0.25">
      <c r="AA1701" s="28" t="str">
        <f t="shared" si="26"/>
        <v/>
      </c>
    </row>
    <row r="1702" spans="27:27" ht="15" customHeight="1" x14ac:dyDescent="0.25">
      <c r="AA1702" s="28" t="str">
        <f t="shared" si="26"/>
        <v/>
      </c>
    </row>
    <row r="1703" spans="27:27" ht="15" customHeight="1" x14ac:dyDescent="0.25">
      <c r="AA1703" s="28" t="str">
        <f t="shared" si="26"/>
        <v/>
      </c>
    </row>
    <row r="1704" spans="27:27" ht="15" customHeight="1" x14ac:dyDescent="0.25">
      <c r="AA1704" s="28" t="str">
        <f t="shared" si="26"/>
        <v/>
      </c>
    </row>
    <row r="1705" spans="27:27" ht="15" customHeight="1" x14ac:dyDescent="0.25">
      <c r="AA1705" s="28" t="str">
        <f t="shared" si="26"/>
        <v/>
      </c>
    </row>
    <row r="1706" spans="27:27" ht="15" customHeight="1" x14ac:dyDescent="0.25">
      <c r="AA1706" s="28" t="str">
        <f t="shared" si="26"/>
        <v/>
      </c>
    </row>
    <row r="1707" spans="27:27" ht="15" customHeight="1" x14ac:dyDescent="0.25">
      <c r="AA1707" s="28" t="str">
        <f t="shared" si="26"/>
        <v/>
      </c>
    </row>
    <row r="1708" spans="27:27" ht="15" customHeight="1" x14ac:dyDescent="0.25">
      <c r="AA1708" s="28" t="str">
        <f t="shared" si="26"/>
        <v/>
      </c>
    </row>
    <row r="1709" spans="27:27" ht="15" customHeight="1" x14ac:dyDescent="0.25">
      <c r="AA1709" s="28" t="str">
        <f t="shared" si="26"/>
        <v/>
      </c>
    </row>
    <row r="1710" spans="27:27" ht="15" customHeight="1" x14ac:dyDescent="0.25">
      <c r="AA1710" s="28" t="str">
        <f t="shared" si="26"/>
        <v/>
      </c>
    </row>
    <row r="1711" spans="27:27" ht="15" customHeight="1" x14ac:dyDescent="0.25">
      <c r="AA1711" s="28" t="str">
        <f t="shared" si="26"/>
        <v/>
      </c>
    </row>
    <row r="1712" spans="27:27" ht="15" customHeight="1" x14ac:dyDescent="0.25">
      <c r="AA1712" s="28" t="str">
        <f t="shared" si="26"/>
        <v/>
      </c>
    </row>
    <row r="1713" spans="27:27" ht="15" customHeight="1" x14ac:dyDescent="0.25">
      <c r="AA1713" s="28" t="str">
        <f t="shared" si="26"/>
        <v/>
      </c>
    </row>
    <row r="1714" spans="27:27" ht="15" customHeight="1" x14ac:dyDescent="0.25">
      <c r="AA1714" s="28" t="str">
        <f t="shared" si="26"/>
        <v/>
      </c>
    </row>
    <row r="1715" spans="27:27" ht="15" customHeight="1" x14ac:dyDescent="0.25">
      <c r="AA1715" s="28" t="str">
        <f t="shared" si="26"/>
        <v/>
      </c>
    </row>
    <row r="1716" spans="27:27" ht="15" customHeight="1" x14ac:dyDescent="0.25">
      <c r="AA1716" s="28" t="str">
        <f t="shared" si="26"/>
        <v/>
      </c>
    </row>
    <row r="1717" spans="27:27" ht="15" customHeight="1" x14ac:dyDescent="0.25">
      <c r="AA1717" s="28" t="str">
        <f t="shared" si="26"/>
        <v/>
      </c>
    </row>
    <row r="1718" spans="27:27" ht="15" customHeight="1" x14ac:dyDescent="0.25">
      <c r="AA1718" s="28" t="str">
        <f t="shared" si="26"/>
        <v/>
      </c>
    </row>
    <row r="1719" spans="27:27" ht="15" customHeight="1" x14ac:dyDescent="0.25">
      <c r="AA1719" s="28" t="str">
        <f t="shared" si="26"/>
        <v/>
      </c>
    </row>
    <row r="1720" spans="27:27" ht="15" customHeight="1" x14ac:dyDescent="0.25">
      <c r="AA1720" s="28" t="str">
        <f t="shared" si="26"/>
        <v/>
      </c>
    </row>
    <row r="1721" spans="27:27" ht="15" customHeight="1" x14ac:dyDescent="0.25">
      <c r="AA1721" s="28" t="str">
        <f t="shared" si="26"/>
        <v/>
      </c>
    </row>
    <row r="1722" spans="27:27" ht="15" customHeight="1" x14ac:dyDescent="0.25">
      <c r="AA1722" s="28" t="str">
        <f t="shared" si="26"/>
        <v/>
      </c>
    </row>
    <row r="1723" spans="27:27" ht="15" customHeight="1" x14ac:dyDescent="0.25">
      <c r="AA1723" s="28" t="str">
        <f t="shared" si="26"/>
        <v/>
      </c>
    </row>
    <row r="1724" spans="27:27" ht="15" customHeight="1" x14ac:dyDescent="0.25">
      <c r="AA1724" s="28" t="str">
        <f t="shared" si="26"/>
        <v/>
      </c>
    </row>
    <row r="1725" spans="27:27" ht="15" customHeight="1" x14ac:dyDescent="0.25">
      <c r="AA1725" s="28" t="str">
        <f t="shared" si="26"/>
        <v/>
      </c>
    </row>
    <row r="1726" spans="27:27" ht="15" customHeight="1" x14ac:dyDescent="0.25">
      <c r="AA1726" s="28" t="str">
        <f t="shared" si="26"/>
        <v/>
      </c>
    </row>
    <row r="1727" spans="27:27" ht="15" customHeight="1" x14ac:dyDescent="0.25">
      <c r="AA1727" s="28" t="str">
        <f t="shared" si="26"/>
        <v/>
      </c>
    </row>
    <row r="1728" spans="27:27" ht="15" customHeight="1" x14ac:dyDescent="0.25">
      <c r="AA1728" s="28" t="str">
        <f t="shared" si="26"/>
        <v/>
      </c>
    </row>
    <row r="1729" spans="27:27" ht="15" customHeight="1" x14ac:dyDescent="0.25">
      <c r="AA1729" s="28" t="str">
        <f t="shared" si="26"/>
        <v/>
      </c>
    </row>
    <row r="1730" spans="27:27" ht="15" customHeight="1" x14ac:dyDescent="0.25">
      <c r="AA1730" s="28" t="str">
        <f t="shared" si="26"/>
        <v/>
      </c>
    </row>
    <row r="1731" spans="27:27" ht="15" customHeight="1" x14ac:dyDescent="0.25">
      <c r="AA1731" s="28" t="str">
        <f t="shared" si="26"/>
        <v/>
      </c>
    </row>
    <row r="1732" spans="27:27" ht="15" customHeight="1" x14ac:dyDescent="0.25">
      <c r="AA1732" s="28" t="str">
        <f t="shared" si="26"/>
        <v/>
      </c>
    </row>
    <row r="1733" spans="27:27" ht="15" customHeight="1" x14ac:dyDescent="0.25">
      <c r="AA1733" s="28" t="str">
        <f t="shared" si="26"/>
        <v/>
      </c>
    </row>
    <row r="1734" spans="27:27" ht="15" customHeight="1" x14ac:dyDescent="0.25">
      <c r="AA1734" s="28" t="str">
        <f t="shared" si="26"/>
        <v/>
      </c>
    </row>
    <row r="1735" spans="27:27" ht="15" customHeight="1" x14ac:dyDescent="0.25">
      <c r="AA1735" s="28" t="str">
        <f t="shared" si="26"/>
        <v/>
      </c>
    </row>
    <row r="1736" spans="27:27" ht="15" customHeight="1" x14ac:dyDescent="0.25">
      <c r="AA1736" s="28" t="str">
        <f t="shared" ref="AA1736:AA1799" si="27">IFERROR(
IF(AND(X1736="Não",Y1736="Sim"),"REP",
IF(AND(X1736="Sim",Y1736="Não"),"Técnico",
IF(AND(X1736="Sim",Y1736="Sim"),"Ambos",""))),
"")</f>
        <v/>
      </c>
    </row>
    <row r="1737" spans="27:27" ht="15" customHeight="1" x14ac:dyDescent="0.25">
      <c r="AA1737" s="28" t="str">
        <f t="shared" si="27"/>
        <v/>
      </c>
    </row>
    <row r="1738" spans="27:27" ht="15" customHeight="1" x14ac:dyDescent="0.25">
      <c r="AA1738" s="28" t="str">
        <f t="shared" si="27"/>
        <v/>
      </c>
    </row>
    <row r="1739" spans="27:27" ht="15" customHeight="1" x14ac:dyDescent="0.25">
      <c r="AA1739" s="28" t="str">
        <f t="shared" si="27"/>
        <v/>
      </c>
    </row>
    <row r="1740" spans="27:27" ht="15" customHeight="1" x14ac:dyDescent="0.25">
      <c r="AA1740" s="28" t="str">
        <f t="shared" si="27"/>
        <v/>
      </c>
    </row>
    <row r="1741" spans="27:27" ht="15" customHeight="1" x14ac:dyDescent="0.25">
      <c r="AA1741" s="28" t="str">
        <f t="shared" si="27"/>
        <v/>
      </c>
    </row>
    <row r="1742" spans="27:27" ht="15" customHeight="1" x14ac:dyDescent="0.25">
      <c r="AA1742" s="28" t="str">
        <f t="shared" si="27"/>
        <v/>
      </c>
    </row>
    <row r="1743" spans="27:27" ht="15" customHeight="1" x14ac:dyDescent="0.25">
      <c r="AA1743" s="28" t="str">
        <f t="shared" si="27"/>
        <v/>
      </c>
    </row>
    <row r="1744" spans="27:27" ht="15" customHeight="1" x14ac:dyDescent="0.25">
      <c r="AA1744" s="28" t="str">
        <f t="shared" si="27"/>
        <v/>
      </c>
    </row>
    <row r="1745" spans="27:27" ht="15" customHeight="1" x14ac:dyDescent="0.25">
      <c r="AA1745" s="28" t="str">
        <f t="shared" si="27"/>
        <v/>
      </c>
    </row>
    <row r="1746" spans="27:27" ht="15" customHeight="1" x14ac:dyDescent="0.25">
      <c r="AA1746" s="28" t="str">
        <f t="shared" si="27"/>
        <v/>
      </c>
    </row>
    <row r="1747" spans="27:27" ht="15" customHeight="1" x14ac:dyDescent="0.25">
      <c r="AA1747" s="28" t="str">
        <f t="shared" si="27"/>
        <v/>
      </c>
    </row>
    <row r="1748" spans="27:27" ht="15" customHeight="1" x14ac:dyDescent="0.25">
      <c r="AA1748" s="28" t="str">
        <f t="shared" si="27"/>
        <v/>
      </c>
    </row>
    <row r="1749" spans="27:27" ht="15" customHeight="1" x14ac:dyDescent="0.25">
      <c r="AA1749" s="28" t="str">
        <f t="shared" si="27"/>
        <v/>
      </c>
    </row>
    <row r="1750" spans="27:27" ht="15" customHeight="1" x14ac:dyDescent="0.25">
      <c r="AA1750" s="28" t="str">
        <f t="shared" si="27"/>
        <v/>
      </c>
    </row>
    <row r="1751" spans="27:27" ht="15" customHeight="1" x14ac:dyDescent="0.25">
      <c r="AA1751" s="28" t="str">
        <f t="shared" si="27"/>
        <v/>
      </c>
    </row>
    <row r="1752" spans="27:27" ht="15" customHeight="1" x14ac:dyDescent="0.25">
      <c r="AA1752" s="28" t="str">
        <f t="shared" si="27"/>
        <v/>
      </c>
    </row>
    <row r="1753" spans="27:27" ht="15" customHeight="1" x14ac:dyDescent="0.25">
      <c r="AA1753" s="28" t="str">
        <f t="shared" si="27"/>
        <v/>
      </c>
    </row>
    <row r="1754" spans="27:27" ht="15" customHeight="1" x14ac:dyDescent="0.25">
      <c r="AA1754" s="28" t="str">
        <f t="shared" si="27"/>
        <v/>
      </c>
    </row>
    <row r="1755" spans="27:27" ht="15" customHeight="1" x14ac:dyDescent="0.25">
      <c r="AA1755" s="28" t="str">
        <f t="shared" si="27"/>
        <v/>
      </c>
    </row>
    <row r="1756" spans="27:27" ht="15" customHeight="1" x14ac:dyDescent="0.25">
      <c r="AA1756" s="28" t="str">
        <f t="shared" si="27"/>
        <v/>
      </c>
    </row>
    <row r="1757" spans="27:27" ht="15" customHeight="1" x14ac:dyDescent="0.25">
      <c r="AA1757" s="28" t="str">
        <f t="shared" si="27"/>
        <v/>
      </c>
    </row>
    <row r="1758" spans="27:27" ht="15" customHeight="1" x14ac:dyDescent="0.25">
      <c r="AA1758" s="28" t="str">
        <f t="shared" si="27"/>
        <v/>
      </c>
    </row>
    <row r="1759" spans="27:27" ht="15" customHeight="1" x14ac:dyDescent="0.25">
      <c r="AA1759" s="28" t="str">
        <f t="shared" si="27"/>
        <v/>
      </c>
    </row>
    <row r="1760" spans="27:27" ht="15" customHeight="1" x14ac:dyDescent="0.25">
      <c r="AA1760" s="28" t="str">
        <f t="shared" si="27"/>
        <v/>
      </c>
    </row>
    <row r="1761" spans="27:27" ht="15" customHeight="1" x14ac:dyDescent="0.25">
      <c r="AA1761" s="28" t="str">
        <f t="shared" si="27"/>
        <v/>
      </c>
    </row>
    <row r="1762" spans="27:27" ht="15" customHeight="1" x14ac:dyDescent="0.25">
      <c r="AA1762" s="28" t="str">
        <f t="shared" si="27"/>
        <v/>
      </c>
    </row>
    <row r="1763" spans="27:27" ht="15" customHeight="1" x14ac:dyDescent="0.25">
      <c r="AA1763" s="28" t="str">
        <f t="shared" si="27"/>
        <v/>
      </c>
    </row>
    <row r="1764" spans="27:27" ht="15" customHeight="1" x14ac:dyDescent="0.25">
      <c r="AA1764" s="28" t="str">
        <f t="shared" si="27"/>
        <v/>
      </c>
    </row>
    <row r="1765" spans="27:27" ht="15" customHeight="1" x14ac:dyDescent="0.25">
      <c r="AA1765" s="28" t="str">
        <f t="shared" si="27"/>
        <v/>
      </c>
    </row>
    <row r="1766" spans="27:27" ht="15" customHeight="1" x14ac:dyDescent="0.25">
      <c r="AA1766" s="28" t="str">
        <f t="shared" si="27"/>
        <v/>
      </c>
    </row>
    <row r="1767" spans="27:27" ht="15" customHeight="1" x14ac:dyDescent="0.25">
      <c r="AA1767" s="28" t="str">
        <f t="shared" si="27"/>
        <v/>
      </c>
    </row>
    <row r="1768" spans="27:27" ht="15" customHeight="1" x14ac:dyDescent="0.25">
      <c r="AA1768" s="28" t="str">
        <f t="shared" si="27"/>
        <v/>
      </c>
    </row>
    <row r="1769" spans="27:27" ht="15" customHeight="1" x14ac:dyDescent="0.25">
      <c r="AA1769" s="28" t="str">
        <f t="shared" si="27"/>
        <v/>
      </c>
    </row>
    <row r="1770" spans="27:27" ht="15" customHeight="1" x14ac:dyDescent="0.25">
      <c r="AA1770" s="28" t="str">
        <f t="shared" si="27"/>
        <v/>
      </c>
    </row>
    <row r="1771" spans="27:27" ht="15" customHeight="1" x14ac:dyDescent="0.25">
      <c r="AA1771" s="28" t="str">
        <f t="shared" si="27"/>
        <v/>
      </c>
    </row>
    <row r="1772" spans="27:27" ht="15" customHeight="1" x14ac:dyDescent="0.25">
      <c r="AA1772" s="28" t="str">
        <f t="shared" si="27"/>
        <v/>
      </c>
    </row>
    <row r="1773" spans="27:27" ht="15" customHeight="1" x14ac:dyDescent="0.25">
      <c r="AA1773" s="28" t="str">
        <f t="shared" si="27"/>
        <v/>
      </c>
    </row>
    <row r="1774" spans="27:27" ht="15" customHeight="1" x14ac:dyDescent="0.25">
      <c r="AA1774" s="28" t="str">
        <f t="shared" si="27"/>
        <v/>
      </c>
    </row>
    <row r="1775" spans="27:27" ht="15" customHeight="1" x14ac:dyDescent="0.25">
      <c r="AA1775" s="28" t="str">
        <f t="shared" si="27"/>
        <v/>
      </c>
    </row>
    <row r="1776" spans="27:27" ht="15" customHeight="1" x14ac:dyDescent="0.25">
      <c r="AA1776" s="28" t="str">
        <f t="shared" si="27"/>
        <v/>
      </c>
    </row>
    <row r="1777" spans="27:27" ht="15" customHeight="1" x14ac:dyDescent="0.25">
      <c r="AA1777" s="28" t="str">
        <f t="shared" si="27"/>
        <v/>
      </c>
    </row>
    <row r="1778" spans="27:27" ht="15" customHeight="1" x14ac:dyDescent="0.25">
      <c r="AA1778" s="28" t="str">
        <f t="shared" si="27"/>
        <v/>
      </c>
    </row>
    <row r="1779" spans="27:27" ht="15" customHeight="1" x14ac:dyDescent="0.25">
      <c r="AA1779" s="28" t="str">
        <f t="shared" si="27"/>
        <v/>
      </c>
    </row>
    <row r="1780" spans="27:27" ht="15" customHeight="1" x14ac:dyDescent="0.25">
      <c r="AA1780" s="28" t="str">
        <f t="shared" si="27"/>
        <v/>
      </c>
    </row>
    <row r="1781" spans="27:27" ht="15" customHeight="1" x14ac:dyDescent="0.25">
      <c r="AA1781" s="28" t="str">
        <f t="shared" si="27"/>
        <v/>
      </c>
    </row>
    <row r="1782" spans="27:27" ht="15" customHeight="1" x14ac:dyDescent="0.25">
      <c r="AA1782" s="28" t="str">
        <f t="shared" si="27"/>
        <v/>
      </c>
    </row>
    <row r="1783" spans="27:27" ht="15" customHeight="1" x14ac:dyDescent="0.25">
      <c r="AA1783" s="28" t="str">
        <f t="shared" si="27"/>
        <v/>
      </c>
    </row>
    <row r="1784" spans="27:27" ht="15" customHeight="1" x14ac:dyDescent="0.25">
      <c r="AA1784" s="28" t="str">
        <f t="shared" si="27"/>
        <v/>
      </c>
    </row>
    <row r="1785" spans="27:27" ht="15" customHeight="1" x14ac:dyDescent="0.25">
      <c r="AA1785" s="28" t="str">
        <f t="shared" si="27"/>
        <v/>
      </c>
    </row>
    <row r="1786" spans="27:27" ht="15" customHeight="1" x14ac:dyDescent="0.25">
      <c r="AA1786" s="28" t="str">
        <f t="shared" si="27"/>
        <v/>
      </c>
    </row>
    <row r="1787" spans="27:27" ht="15" customHeight="1" x14ac:dyDescent="0.25">
      <c r="AA1787" s="28" t="str">
        <f t="shared" si="27"/>
        <v/>
      </c>
    </row>
    <row r="1788" spans="27:27" ht="15" customHeight="1" x14ac:dyDescent="0.25">
      <c r="AA1788" s="28" t="str">
        <f t="shared" si="27"/>
        <v/>
      </c>
    </row>
    <row r="1789" spans="27:27" ht="15" customHeight="1" x14ac:dyDescent="0.25">
      <c r="AA1789" s="28" t="str">
        <f t="shared" si="27"/>
        <v/>
      </c>
    </row>
    <row r="1790" spans="27:27" ht="15" customHeight="1" x14ac:dyDescent="0.25">
      <c r="AA1790" s="28" t="str">
        <f t="shared" si="27"/>
        <v/>
      </c>
    </row>
    <row r="1791" spans="27:27" ht="15" customHeight="1" x14ac:dyDescent="0.25">
      <c r="AA1791" s="28" t="str">
        <f t="shared" si="27"/>
        <v/>
      </c>
    </row>
    <row r="1792" spans="27:27" ht="15" customHeight="1" x14ac:dyDescent="0.25">
      <c r="AA1792" s="28" t="str">
        <f t="shared" si="27"/>
        <v/>
      </c>
    </row>
    <row r="1793" spans="27:27" ht="15" customHeight="1" x14ac:dyDescent="0.25">
      <c r="AA1793" s="28" t="str">
        <f t="shared" si="27"/>
        <v/>
      </c>
    </row>
    <row r="1794" spans="27:27" ht="15" customHeight="1" x14ac:dyDescent="0.25">
      <c r="AA1794" s="28" t="str">
        <f t="shared" si="27"/>
        <v/>
      </c>
    </row>
    <row r="1795" spans="27:27" ht="15" customHeight="1" x14ac:dyDescent="0.25">
      <c r="AA1795" s="28" t="str">
        <f t="shared" si="27"/>
        <v/>
      </c>
    </row>
    <row r="1796" spans="27:27" ht="15" customHeight="1" x14ac:dyDescent="0.25">
      <c r="AA1796" s="28" t="str">
        <f t="shared" si="27"/>
        <v/>
      </c>
    </row>
    <row r="1797" spans="27:27" ht="15" customHeight="1" x14ac:dyDescent="0.25">
      <c r="AA1797" s="28" t="str">
        <f t="shared" si="27"/>
        <v/>
      </c>
    </row>
    <row r="1798" spans="27:27" ht="15" customHeight="1" x14ac:dyDescent="0.25">
      <c r="AA1798" s="28" t="str">
        <f t="shared" si="27"/>
        <v/>
      </c>
    </row>
    <row r="1799" spans="27:27" ht="15" customHeight="1" x14ac:dyDescent="0.25">
      <c r="AA1799" s="28" t="str">
        <f t="shared" si="27"/>
        <v/>
      </c>
    </row>
    <row r="1800" spans="27:27" ht="15" customHeight="1" x14ac:dyDescent="0.25">
      <c r="AA1800" s="28" t="str">
        <f t="shared" ref="AA1800:AA1863" si="28">IFERROR(
IF(AND(X1800="Não",Y1800="Sim"),"REP",
IF(AND(X1800="Sim",Y1800="Não"),"Técnico",
IF(AND(X1800="Sim",Y1800="Sim"),"Ambos",""))),
"")</f>
        <v/>
      </c>
    </row>
    <row r="1801" spans="27:27" ht="15" customHeight="1" x14ac:dyDescent="0.25">
      <c r="AA1801" s="28" t="str">
        <f t="shared" si="28"/>
        <v/>
      </c>
    </row>
    <row r="1802" spans="27:27" ht="15" customHeight="1" x14ac:dyDescent="0.25">
      <c r="AA1802" s="28" t="str">
        <f t="shared" si="28"/>
        <v/>
      </c>
    </row>
    <row r="1803" spans="27:27" ht="15" customHeight="1" x14ac:dyDescent="0.25">
      <c r="AA1803" s="28" t="str">
        <f t="shared" si="28"/>
        <v/>
      </c>
    </row>
    <row r="1804" spans="27:27" ht="15" customHeight="1" x14ac:dyDescent="0.25">
      <c r="AA1804" s="28" t="str">
        <f t="shared" si="28"/>
        <v/>
      </c>
    </row>
    <row r="1805" spans="27:27" ht="15" customHeight="1" x14ac:dyDescent="0.25">
      <c r="AA1805" s="28" t="str">
        <f t="shared" si="28"/>
        <v/>
      </c>
    </row>
    <row r="1806" spans="27:27" ht="15" customHeight="1" x14ac:dyDescent="0.25">
      <c r="AA1806" s="28" t="str">
        <f t="shared" si="28"/>
        <v/>
      </c>
    </row>
    <row r="1807" spans="27:27" ht="15" customHeight="1" x14ac:dyDescent="0.25">
      <c r="AA1807" s="28" t="str">
        <f t="shared" si="28"/>
        <v/>
      </c>
    </row>
    <row r="1808" spans="27:27" ht="15" customHeight="1" x14ac:dyDescent="0.25">
      <c r="AA1808" s="28" t="str">
        <f t="shared" si="28"/>
        <v/>
      </c>
    </row>
    <row r="1809" spans="27:27" ht="15" customHeight="1" x14ac:dyDescent="0.25">
      <c r="AA1809" s="28" t="str">
        <f t="shared" si="28"/>
        <v/>
      </c>
    </row>
    <row r="1810" spans="27:27" ht="15" customHeight="1" x14ac:dyDescent="0.25">
      <c r="AA1810" s="28" t="str">
        <f t="shared" si="28"/>
        <v/>
      </c>
    </row>
    <row r="1811" spans="27:27" ht="15" customHeight="1" x14ac:dyDescent="0.25">
      <c r="AA1811" s="28" t="str">
        <f t="shared" si="28"/>
        <v/>
      </c>
    </row>
    <row r="1812" spans="27:27" ht="15" customHeight="1" x14ac:dyDescent="0.25">
      <c r="AA1812" s="28" t="str">
        <f t="shared" si="28"/>
        <v/>
      </c>
    </row>
    <row r="1813" spans="27:27" ht="15" customHeight="1" x14ac:dyDescent="0.25">
      <c r="AA1813" s="28" t="str">
        <f t="shared" si="28"/>
        <v/>
      </c>
    </row>
    <row r="1814" spans="27:27" ht="15" customHeight="1" x14ac:dyDescent="0.25">
      <c r="AA1814" s="28" t="str">
        <f t="shared" si="28"/>
        <v/>
      </c>
    </row>
    <row r="1815" spans="27:27" ht="15" customHeight="1" x14ac:dyDescent="0.25">
      <c r="AA1815" s="28" t="str">
        <f t="shared" si="28"/>
        <v/>
      </c>
    </row>
    <row r="1816" spans="27:27" ht="15" customHeight="1" x14ac:dyDescent="0.25">
      <c r="AA1816" s="28" t="str">
        <f t="shared" si="28"/>
        <v/>
      </c>
    </row>
    <row r="1817" spans="27:27" ht="15" customHeight="1" x14ac:dyDescent="0.25">
      <c r="AA1817" s="28" t="str">
        <f t="shared" si="28"/>
        <v/>
      </c>
    </row>
    <row r="1818" spans="27:27" ht="15" customHeight="1" x14ac:dyDescent="0.25">
      <c r="AA1818" s="28" t="str">
        <f t="shared" si="28"/>
        <v/>
      </c>
    </row>
    <row r="1819" spans="27:27" ht="15" customHeight="1" x14ac:dyDescent="0.25">
      <c r="AA1819" s="28" t="str">
        <f t="shared" si="28"/>
        <v/>
      </c>
    </row>
    <row r="1820" spans="27:27" ht="15" customHeight="1" x14ac:dyDescent="0.25">
      <c r="AA1820" s="28" t="str">
        <f t="shared" si="28"/>
        <v/>
      </c>
    </row>
    <row r="1821" spans="27:27" ht="15" customHeight="1" x14ac:dyDescent="0.25">
      <c r="AA1821" s="28" t="str">
        <f t="shared" si="28"/>
        <v/>
      </c>
    </row>
    <row r="1822" spans="27:27" ht="15" customHeight="1" x14ac:dyDescent="0.25">
      <c r="AA1822" s="28" t="str">
        <f t="shared" si="28"/>
        <v/>
      </c>
    </row>
    <row r="1823" spans="27:27" ht="15" customHeight="1" x14ac:dyDescent="0.25">
      <c r="AA1823" s="28" t="str">
        <f t="shared" si="28"/>
        <v/>
      </c>
    </row>
    <row r="1824" spans="27:27" ht="15" customHeight="1" x14ac:dyDescent="0.25">
      <c r="AA1824" s="28" t="str">
        <f t="shared" si="28"/>
        <v/>
      </c>
    </row>
    <row r="1825" spans="27:27" ht="15" customHeight="1" x14ac:dyDescent="0.25">
      <c r="AA1825" s="28" t="str">
        <f t="shared" si="28"/>
        <v/>
      </c>
    </row>
    <row r="1826" spans="27:27" ht="15" customHeight="1" x14ac:dyDescent="0.25">
      <c r="AA1826" s="28" t="str">
        <f t="shared" si="28"/>
        <v/>
      </c>
    </row>
    <row r="1827" spans="27:27" ht="15" customHeight="1" x14ac:dyDescent="0.25">
      <c r="AA1827" s="28" t="str">
        <f t="shared" si="28"/>
        <v/>
      </c>
    </row>
    <row r="1828" spans="27:27" ht="15" customHeight="1" x14ac:dyDescent="0.25">
      <c r="AA1828" s="28" t="str">
        <f t="shared" si="28"/>
        <v/>
      </c>
    </row>
    <row r="1829" spans="27:27" ht="15" customHeight="1" x14ac:dyDescent="0.25">
      <c r="AA1829" s="28" t="str">
        <f t="shared" si="28"/>
        <v/>
      </c>
    </row>
    <row r="1830" spans="27:27" ht="15" customHeight="1" x14ac:dyDescent="0.25">
      <c r="AA1830" s="28" t="str">
        <f t="shared" si="28"/>
        <v/>
      </c>
    </row>
    <row r="1831" spans="27:27" ht="15" customHeight="1" x14ac:dyDescent="0.25">
      <c r="AA1831" s="28" t="str">
        <f t="shared" si="28"/>
        <v/>
      </c>
    </row>
    <row r="1832" spans="27:27" ht="15" customHeight="1" x14ac:dyDescent="0.25">
      <c r="AA1832" s="28" t="str">
        <f t="shared" si="28"/>
        <v/>
      </c>
    </row>
    <row r="1833" spans="27:27" ht="15" customHeight="1" x14ac:dyDescent="0.25">
      <c r="AA1833" s="28" t="str">
        <f t="shared" si="28"/>
        <v/>
      </c>
    </row>
    <row r="1834" spans="27:27" ht="15" customHeight="1" x14ac:dyDescent="0.25">
      <c r="AA1834" s="28" t="str">
        <f t="shared" si="28"/>
        <v/>
      </c>
    </row>
    <row r="1835" spans="27:27" ht="15" customHeight="1" x14ac:dyDescent="0.25">
      <c r="AA1835" s="28" t="str">
        <f t="shared" si="28"/>
        <v/>
      </c>
    </row>
    <row r="1836" spans="27:27" ht="15" customHeight="1" x14ac:dyDescent="0.25">
      <c r="AA1836" s="28" t="str">
        <f t="shared" si="28"/>
        <v/>
      </c>
    </row>
    <row r="1837" spans="27:27" ht="15" customHeight="1" x14ac:dyDescent="0.25">
      <c r="AA1837" s="28" t="str">
        <f t="shared" si="28"/>
        <v/>
      </c>
    </row>
    <row r="1838" spans="27:27" ht="15" customHeight="1" x14ac:dyDescent="0.25">
      <c r="AA1838" s="28" t="str">
        <f t="shared" si="28"/>
        <v/>
      </c>
    </row>
    <row r="1839" spans="27:27" ht="15" customHeight="1" x14ac:dyDescent="0.25">
      <c r="AA1839" s="28" t="str">
        <f t="shared" si="28"/>
        <v/>
      </c>
    </row>
    <row r="1840" spans="27:27" ht="15" customHeight="1" x14ac:dyDescent="0.25">
      <c r="AA1840" s="28" t="str">
        <f t="shared" si="28"/>
        <v/>
      </c>
    </row>
    <row r="1841" spans="27:27" ht="15" customHeight="1" x14ac:dyDescent="0.25">
      <c r="AA1841" s="28" t="str">
        <f t="shared" si="28"/>
        <v/>
      </c>
    </row>
    <row r="1842" spans="27:27" ht="15" customHeight="1" x14ac:dyDescent="0.25">
      <c r="AA1842" s="28" t="str">
        <f t="shared" si="28"/>
        <v/>
      </c>
    </row>
    <row r="1843" spans="27:27" ht="15" customHeight="1" x14ac:dyDescent="0.25">
      <c r="AA1843" s="28" t="str">
        <f t="shared" si="28"/>
        <v/>
      </c>
    </row>
    <row r="1844" spans="27:27" ht="15" customHeight="1" x14ac:dyDescent="0.25">
      <c r="AA1844" s="28" t="str">
        <f t="shared" si="28"/>
        <v/>
      </c>
    </row>
    <row r="1845" spans="27:27" ht="15" customHeight="1" x14ac:dyDescent="0.25">
      <c r="AA1845" s="28" t="str">
        <f t="shared" si="28"/>
        <v/>
      </c>
    </row>
    <row r="1846" spans="27:27" ht="15" customHeight="1" x14ac:dyDescent="0.25">
      <c r="AA1846" s="28" t="str">
        <f t="shared" si="28"/>
        <v/>
      </c>
    </row>
    <row r="1847" spans="27:27" ht="15" customHeight="1" x14ac:dyDescent="0.25">
      <c r="AA1847" s="28" t="str">
        <f t="shared" si="28"/>
        <v/>
      </c>
    </row>
    <row r="1848" spans="27:27" ht="15" customHeight="1" x14ac:dyDescent="0.25">
      <c r="AA1848" s="28" t="str">
        <f t="shared" si="28"/>
        <v/>
      </c>
    </row>
    <row r="1849" spans="27:27" ht="15" customHeight="1" x14ac:dyDescent="0.25">
      <c r="AA1849" s="28" t="str">
        <f t="shared" si="28"/>
        <v/>
      </c>
    </row>
    <row r="1850" spans="27:27" ht="15" customHeight="1" x14ac:dyDescent="0.25">
      <c r="AA1850" s="28" t="str">
        <f t="shared" si="28"/>
        <v/>
      </c>
    </row>
    <row r="1851" spans="27:27" ht="15" customHeight="1" x14ac:dyDescent="0.25">
      <c r="AA1851" s="28" t="str">
        <f t="shared" si="28"/>
        <v/>
      </c>
    </row>
    <row r="1852" spans="27:27" ht="15" customHeight="1" x14ac:dyDescent="0.25">
      <c r="AA1852" s="28" t="str">
        <f t="shared" si="28"/>
        <v/>
      </c>
    </row>
    <row r="1853" spans="27:27" ht="15" customHeight="1" x14ac:dyDescent="0.25">
      <c r="AA1853" s="28" t="str">
        <f t="shared" si="28"/>
        <v/>
      </c>
    </row>
    <row r="1854" spans="27:27" ht="15" customHeight="1" x14ac:dyDescent="0.25">
      <c r="AA1854" s="28" t="str">
        <f t="shared" si="28"/>
        <v/>
      </c>
    </row>
    <row r="1855" spans="27:27" ht="15" customHeight="1" x14ac:dyDescent="0.25">
      <c r="AA1855" s="28" t="str">
        <f t="shared" si="28"/>
        <v/>
      </c>
    </row>
    <row r="1856" spans="27:27" ht="15" customHeight="1" x14ac:dyDescent="0.25">
      <c r="AA1856" s="28" t="str">
        <f t="shared" si="28"/>
        <v/>
      </c>
    </row>
    <row r="1857" spans="27:27" ht="15" customHeight="1" x14ac:dyDescent="0.25">
      <c r="AA1857" s="28" t="str">
        <f t="shared" si="28"/>
        <v/>
      </c>
    </row>
    <row r="1858" spans="27:27" ht="15" customHeight="1" x14ac:dyDescent="0.25">
      <c r="AA1858" s="28" t="str">
        <f t="shared" si="28"/>
        <v/>
      </c>
    </row>
    <row r="1859" spans="27:27" ht="15" customHeight="1" x14ac:dyDescent="0.25">
      <c r="AA1859" s="28" t="str">
        <f t="shared" si="28"/>
        <v/>
      </c>
    </row>
    <row r="1860" spans="27:27" ht="15" customHeight="1" x14ac:dyDescent="0.25">
      <c r="AA1860" s="28" t="str">
        <f t="shared" si="28"/>
        <v/>
      </c>
    </row>
    <row r="1861" spans="27:27" ht="15" customHeight="1" x14ac:dyDescent="0.25">
      <c r="AA1861" s="28" t="str">
        <f t="shared" si="28"/>
        <v/>
      </c>
    </row>
    <row r="1862" spans="27:27" ht="15" customHeight="1" x14ac:dyDescent="0.25">
      <c r="AA1862" s="28" t="str">
        <f t="shared" si="28"/>
        <v/>
      </c>
    </row>
    <row r="1863" spans="27:27" ht="15" customHeight="1" x14ac:dyDescent="0.25">
      <c r="AA1863" s="28" t="str">
        <f t="shared" si="28"/>
        <v/>
      </c>
    </row>
    <row r="1864" spans="27:27" ht="15" customHeight="1" x14ac:dyDescent="0.25">
      <c r="AA1864" s="28" t="str">
        <f t="shared" ref="AA1864:AA1927" si="29">IFERROR(
IF(AND(X1864="Não",Y1864="Sim"),"REP",
IF(AND(X1864="Sim",Y1864="Não"),"Técnico",
IF(AND(X1864="Sim",Y1864="Sim"),"Ambos",""))),
"")</f>
        <v/>
      </c>
    </row>
    <row r="1865" spans="27:27" ht="15" customHeight="1" x14ac:dyDescent="0.25">
      <c r="AA1865" s="28" t="str">
        <f t="shared" si="29"/>
        <v/>
      </c>
    </row>
    <row r="1866" spans="27:27" ht="15" customHeight="1" x14ac:dyDescent="0.25">
      <c r="AA1866" s="28" t="str">
        <f t="shared" si="29"/>
        <v/>
      </c>
    </row>
    <row r="1867" spans="27:27" ht="15" customHeight="1" x14ac:dyDescent="0.25">
      <c r="AA1867" s="28" t="str">
        <f t="shared" si="29"/>
        <v/>
      </c>
    </row>
    <row r="1868" spans="27:27" ht="15" customHeight="1" x14ac:dyDescent="0.25">
      <c r="AA1868" s="28" t="str">
        <f t="shared" si="29"/>
        <v/>
      </c>
    </row>
    <row r="1869" spans="27:27" ht="15" customHeight="1" x14ac:dyDescent="0.25">
      <c r="AA1869" s="28" t="str">
        <f t="shared" si="29"/>
        <v/>
      </c>
    </row>
    <row r="1870" spans="27:27" ht="15" customHeight="1" x14ac:dyDescent="0.25">
      <c r="AA1870" s="28" t="str">
        <f t="shared" si="29"/>
        <v/>
      </c>
    </row>
    <row r="1871" spans="27:27" ht="15" customHeight="1" x14ac:dyDescent="0.25">
      <c r="AA1871" s="28" t="str">
        <f t="shared" si="29"/>
        <v/>
      </c>
    </row>
    <row r="1872" spans="27:27" ht="15" customHeight="1" x14ac:dyDescent="0.25">
      <c r="AA1872" s="28" t="str">
        <f t="shared" si="29"/>
        <v/>
      </c>
    </row>
    <row r="1873" spans="27:27" ht="15" customHeight="1" x14ac:dyDescent="0.25">
      <c r="AA1873" s="28" t="str">
        <f t="shared" si="29"/>
        <v/>
      </c>
    </row>
    <row r="1874" spans="27:27" ht="15" customHeight="1" x14ac:dyDescent="0.25">
      <c r="AA1874" s="28" t="str">
        <f t="shared" si="29"/>
        <v/>
      </c>
    </row>
    <row r="1875" spans="27:27" ht="15" customHeight="1" x14ac:dyDescent="0.25">
      <c r="AA1875" s="28" t="str">
        <f t="shared" si="29"/>
        <v/>
      </c>
    </row>
    <row r="1876" spans="27:27" ht="15" customHeight="1" x14ac:dyDescent="0.25">
      <c r="AA1876" s="28" t="str">
        <f t="shared" si="29"/>
        <v/>
      </c>
    </row>
    <row r="1877" spans="27:27" ht="15" customHeight="1" x14ac:dyDescent="0.25">
      <c r="AA1877" s="28" t="str">
        <f t="shared" si="29"/>
        <v/>
      </c>
    </row>
    <row r="1878" spans="27:27" ht="15" customHeight="1" x14ac:dyDescent="0.25">
      <c r="AA1878" s="28" t="str">
        <f t="shared" si="29"/>
        <v/>
      </c>
    </row>
    <row r="1879" spans="27:27" ht="15" customHeight="1" x14ac:dyDescent="0.25">
      <c r="AA1879" s="28" t="str">
        <f t="shared" si="29"/>
        <v/>
      </c>
    </row>
    <row r="1880" spans="27:27" ht="15" customHeight="1" x14ac:dyDescent="0.25">
      <c r="AA1880" s="28" t="str">
        <f t="shared" si="29"/>
        <v/>
      </c>
    </row>
    <row r="1881" spans="27:27" ht="15" customHeight="1" x14ac:dyDescent="0.25">
      <c r="AA1881" s="28" t="str">
        <f t="shared" si="29"/>
        <v/>
      </c>
    </row>
    <row r="1882" spans="27:27" ht="15" customHeight="1" x14ac:dyDescent="0.25">
      <c r="AA1882" s="28" t="str">
        <f t="shared" si="29"/>
        <v/>
      </c>
    </row>
    <row r="1883" spans="27:27" ht="15" customHeight="1" x14ac:dyDescent="0.25">
      <c r="AA1883" s="28" t="str">
        <f t="shared" si="29"/>
        <v/>
      </c>
    </row>
    <row r="1884" spans="27:27" ht="15" customHeight="1" x14ac:dyDescent="0.25">
      <c r="AA1884" s="28" t="str">
        <f t="shared" si="29"/>
        <v/>
      </c>
    </row>
    <row r="1885" spans="27:27" ht="15" customHeight="1" x14ac:dyDescent="0.25">
      <c r="AA1885" s="28" t="str">
        <f t="shared" si="29"/>
        <v/>
      </c>
    </row>
    <row r="1886" spans="27:27" ht="15" customHeight="1" x14ac:dyDescent="0.25">
      <c r="AA1886" s="28" t="str">
        <f t="shared" si="29"/>
        <v/>
      </c>
    </row>
    <row r="1887" spans="27:27" ht="15" customHeight="1" x14ac:dyDescent="0.25">
      <c r="AA1887" s="28" t="str">
        <f t="shared" si="29"/>
        <v/>
      </c>
    </row>
    <row r="1888" spans="27:27" ht="15" customHeight="1" x14ac:dyDescent="0.25">
      <c r="AA1888" s="28" t="str">
        <f t="shared" si="29"/>
        <v/>
      </c>
    </row>
    <row r="1889" spans="27:27" ht="15" customHeight="1" x14ac:dyDescent="0.25">
      <c r="AA1889" s="28" t="str">
        <f t="shared" si="29"/>
        <v/>
      </c>
    </row>
    <row r="1890" spans="27:27" ht="15" customHeight="1" x14ac:dyDescent="0.25">
      <c r="AA1890" s="28" t="str">
        <f t="shared" si="29"/>
        <v/>
      </c>
    </row>
    <row r="1891" spans="27:27" ht="15" customHeight="1" x14ac:dyDescent="0.25">
      <c r="AA1891" s="28" t="str">
        <f t="shared" si="29"/>
        <v/>
      </c>
    </row>
    <row r="1892" spans="27:27" ht="15" customHeight="1" x14ac:dyDescent="0.25">
      <c r="AA1892" s="28" t="str">
        <f t="shared" si="29"/>
        <v/>
      </c>
    </row>
    <row r="1893" spans="27:27" ht="15" customHeight="1" x14ac:dyDescent="0.25">
      <c r="AA1893" s="28" t="str">
        <f t="shared" si="29"/>
        <v/>
      </c>
    </row>
    <row r="1894" spans="27:27" ht="15" customHeight="1" x14ac:dyDescent="0.25">
      <c r="AA1894" s="28" t="str">
        <f t="shared" si="29"/>
        <v/>
      </c>
    </row>
    <row r="1895" spans="27:27" ht="15" customHeight="1" x14ac:dyDescent="0.25">
      <c r="AA1895" s="28" t="str">
        <f t="shared" si="29"/>
        <v/>
      </c>
    </row>
    <row r="1896" spans="27:27" ht="15" customHeight="1" x14ac:dyDescent="0.25">
      <c r="AA1896" s="28" t="str">
        <f t="shared" si="29"/>
        <v/>
      </c>
    </row>
    <row r="1897" spans="27:27" ht="15" customHeight="1" x14ac:dyDescent="0.25">
      <c r="AA1897" s="28" t="str">
        <f t="shared" si="29"/>
        <v/>
      </c>
    </row>
    <row r="1898" spans="27:27" ht="15" customHeight="1" x14ac:dyDescent="0.25">
      <c r="AA1898" s="28" t="str">
        <f t="shared" si="29"/>
        <v/>
      </c>
    </row>
    <row r="1899" spans="27:27" ht="15" customHeight="1" x14ac:dyDescent="0.25">
      <c r="AA1899" s="28" t="str">
        <f t="shared" si="29"/>
        <v/>
      </c>
    </row>
    <row r="1900" spans="27:27" ht="15" customHeight="1" x14ac:dyDescent="0.25">
      <c r="AA1900" s="28" t="str">
        <f t="shared" si="29"/>
        <v/>
      </c>
    </row>
    <row r="1901" spans="27:27" ht="15" customHeight="1" x14ac:dyDescent="0.25">
      <c r="AA1901" s="28" t="str">
        <f t="shared" si="29"/>
        <v/>
      </c>
    </row>
    <row r="1902" spans="27:27" ht="15" customHeight="1" x14ac:dyDescent="0.25">
      <c r="AA1902" s="28" t="str">
        <f t="shared" si="29"/>
        <v/>
      </c>
    </row>
    <row r="1903" spans="27:27" ht="15" customHeight="1" x14ac:dyDescent="0.25">
      <c r="AA1903" s="28" t="str">
        <f t="shared" si="29"/>
        <v/>
      </c>
    </row>
    <row r="1904" spans="27:27" ht="15" customHeight="1" x14ac:dyDescent="0.25">
      <c r="AA1904" s="28" t="str">
        <f t="shared" si="29"/>
        <v/>
      </c>
    </row>
    <row r="1905" spans="27:27" ht="15" customHeight="1" x14ac:dyDescent="0.25">
      <c r="AA1905" s="28" t="str">
        <f t="shared" si="29"/>
        <v/>
      </c>
    </row>
    <row r="1906" spans="27:27" ht="15" customHeight="1" x14ac:dyDescent="0.25">
      <c r="AA1906" s="28" t="str">
        <f t="shared" si="29"/>
        <v/>
      </c>
    </row>
    <row r="1907" spans="27:27" ht="15" customHeight="1" x14ac:dyDescent="0.25">
      <c r="AA1907" s="28" t="str">
        <f t="shared" si="29"/>
        <v/>
      </c>
    </row>
    <row r="1908" spans="27:27" ht="15" customHeight="1" x14ac:dyDescent="0.25">
      <c r="AA1908" s="28" t="str">
        <f t="shared" si="29"/>
        <v/>
      </c>
    </row>
    <row r="1909" spans="27:27" ht="15" customHeight="1" x14ac:dyDescent="0.25">
      <c r="AA1909" s="28" t="str">
        <f t="shared" si="29"/>
        <v/>
      </c>
    </row>
    <row r="1910" spans="27:27" ht="15" customHeight="1" x14ac:dyDescent="0.25">
      <c r="AA1910" s="28" t="str">
        <f t="shared" si="29"/>
        <v/>
      </c>
    </row>
    <row r="1911" spans="27:27" ht="15" customHeight="1" x14ac:dyDescent="0.25">
      <c r="AA1911" s="28" t="str">
        <f t="shared" si="29"/>
        <v/>
      </c>
    </row>
    <row r="1912" spans="27:27" ht="15" customHeight="1" x14ac:dyDescent="0.25">
      <c r="AA1912" s="28" t="str">
        <f t="shared" si="29"/>
        <v/>
      </c>
    </row>
    <row r="1913" spans="27:27" ht="15" customHeight="1" x14ac:dyDescent="0.25">
      <c r="AA1913" s="28" t="str">
        <f t="shared" si="29"/>
        <v/>
      </c>
    </row>
    <row r="1914" spans="27:27" ht="15" customHeight="1" x14ac:dyDescent="0.25">
      <c r="AA1914" s="28" t="str">
        <f t="shared" si="29"/>
        <v/>
      </c>
    </row>
    <row r="1915" spans="27:27" ht="15" customHeight="1" x14ac:dyDescent="0.25">
      <c r="AA1915" s="28" t="str">
        <f t="shared" si="29"/>
        <v/>
      </c>
    </row>
    <row r="1916" spans="27:27" ht="15" customHeight="1" x14ac:dyDescent="0.25">
      <c r="AA1916" s="28" t="str">
        <f t="shared" si="29"/>
        <v/>
      </c>
    </row>
    <row r="1917" spans="27:27" ht="15" customHeight="1" x14ac:dyDescent="0.25">
      <c r="AA1917" s="28" t="str">
        <f t="shared" si="29"/>
        <v/>
      </c>
    </row>
    <row r="1918" spans="27:27" ht="15" customHeight="1" x14ac:dyDescent="0.25">
      <c r="AA1918" s="28" t="str">
        <f t="shared" si="29"/>
        <v/>
      </c>
    </row>
    <row r="1919" spans="27:27" ht="15" customHeight="1" x14ac:dyDescent="0.25">
      <c r="AA1919" s="28" t="str">
        <f t="shared" si="29"/>
        <v/>
      </c>
    </row>
    <row r="1920" spans="27:27" ht="15" customHeight="1" x14ac:dyDescent="0.25">
      <c r="AA1920" s="28" t="str">
        <f t="shared" si="29"/>
        <v/>
      </c>
    </row>
    <row r="1921" spans="27:27" ht="15" customHeight="1" x14ac:dyDescent="0.25">
      <c r="AA1921" s="28" t="str">
        <f t="shared" si="29"/>
        <v/>
      </c>
    </row>
    <row r="1922" spans="27:27" ht="15" customHeight="1" x14ac:dyDescent="0.25">
      <c r="AA1922" s="28" t="str">
        <f t="shared" si="29"/>
        <v/>
      </c>
    </row>
    <row r="1923" spans="27:27" ht="15" customHeight="1" x14ac:dyDescent="0.25">
      <c r="AA1923" s="28" t="str">
        <f t="shared" si="29"/>
        <v/>
      </c>
    </row>
    <row r="1924" spans="27:27" ht="15" customHeight="1" x14ac:dyDescent="0.25">
      <c r="AA1924" s="28" t="str">
        <f t="shared" si="29"/>
        <v/>
      </c>
    </row>
    <row r="1925" spans="27:27" ht="15" customHeight="1" x14ac:dyDescent="0.25">
      <c r="AA1925" s="28" t="str">
        <f t="shared" si="29"/>
        <v/>
      </c>
    </row>
    <row r="1926" spans="27:27" ht="15" customHeight="1" x14ac:dyDescent="0.25">
      <c r="AA1926" s="28" t="str">
        <f t="shared" si="29"/>
        <v/>
      </c>
    </row>
    <row r="1927" spans="27:27" ht="15" customHeight="1" x14ac:dyDescent="0.25">
      <c r="AA1927" s="28" t="str">
        <f t="shared" si="29"/>
        <v/>
      </c>
    </row>
    <row r="1928" spans="27:27" ht="15" customHeight="1" x14ac:dyDescent="0.25">
      <c r="AA1928" s="28" t="str">
        <f t="shared" ref="AA1928:AA1991" si="30">IFERROR(
IF(AND(X1928="Não",Y1928="Sim"),"REP",
IF(AND(X1928="Sim",Y1928="Não"),"Técnico",
IF(AND(X1928="Sim",Y1928="Sim"),"Ambos",""))),
"")</f>
        <v/>
      </c>
    </row>
    <row r="1929" spans="27:27" ht="15" customHeight="1" x14ac:dyDescent="0.25">
      <c r="AA1929" s="28" t="str">
        <f t="shared" si="30"/>
        <v/>
      </c>
    </row>
    <row r="1930" spans="27:27" ht="15" customHeight="1" x14ac:dyDescent="0.25">
      <c r="AA1930" s="28" t="str">
        <f t="shared" si="30"/>
        <v/>
      </c>
    </row>
    <row r="1931" spans="27:27" ht="15" customHeight="1" x14ac:dyDescent="0.25">
      <c r="AA1931" s="28" t="str">
        <f t="shared" si="30"/>
        <v/>
      </c>
    </row>
    <row r="1932" spans="27:27" ht="15" customHeight="1" x14ac:dyDescent="0.25">
      <c r="AA1932" s="28" t="str">
        <f t="shared" si="30"/>
        <v/>
      </c>
    </row>
    <row r="1933" spans="27:27" ht="15" customHeight="1" x14ac:dyDescent="0.25">
      <c r="AA1933" s="28" t="str">
        <f t="shared" si="30"/>
        <v/>
      </c>
    </row>
    <row r="1934" spans="27:27" ht="15" customHeight="1" x14ac:dyDescent="0.25">
      <c r="AA1934" s="28" t="str">
        <f t="shared" si="30"/>
        <v/>
      </c>
    </row>
    <row r="1935" spans="27:27" ht="15" customHeight="1" x14ac:dyDescent="0.25">
      <c r="AA1935" s="28" t="str">
        <f t="shared" si="30"/>
        <v/>
      </c>
    </row>
    <row r="1936" spans="27:27" ht="15" customHeight="1" x14ac:dyDescent="0.25">
      <c r="AA1936" s="28" t="str">
        <f t="shared" si="30"/>
        <v/>
      </c>
    </row>
    <row r="1937" spans="27:27" ht="15" customHeight="1" x14ac:dyDescent="0.25">
      <c r="AA1937" s="28" t="str">
        <f t="shared" si="30"/>
        <v/>
      </c>
    </row>
    <row r="1938" spans="27:27" ht="15" customHeight="1" x14ac:dyDescent="0.25">
      <c r="AA1938" s="28" t="str">
        <f t="shared" si="30"/>
        <v/>
      </c>
    </row>
    <row r="1939" spans="27:27" ht="15" customHeight="1" x14ac:dyDescent="0.25">
      <c r="AA1939" s="28" t="str">
        <f t="shared" si="30"/>
        <v/>
      </c>
    </row>
    <row r="1940" spans="27:27" ht="15" customHeight="1" x14ac:dyDescent="0.25">
      <c r="AA1940" s="28" t="str">
        <f t="shared" si="30"/>
        <v/>
      </c>
    </row>
    <row r="1941" spans="27:27" ht="15" customHeight="1" x14ac:dyDescent="0.25">
      <c r="AA1941" s="28" t="str">
        <f t="shared" si="30"/>
        <v/>
      </c>
    </row>
    <row r="1942" spans="27:27" ht="15" customHeight="1" x14ac:dyDescent="0.25">
      <c r="AA1942" s="28" t="str">
        <f t="shared" si="30"/>
        <v/>
      </c>
    </row>
    <row r="1943" spans="27:27" ht="15" customHeight="1" x14ac:dyDescent="0.25">
      <c r="AA1943" s="28" t="str">
        <f t="shared" si="30"/>
        <v/>
      </c>
    </row>
    <row r="1944" spans="27:27" ht="15" customHeight="1" x14ac:dyDescent="0.25">
      <c r="AA1944" s="28" t="str">
        <f t="shared" si="30"/>
        <v/>
      </c>
    </row>
    <row r="1945" spans="27:27" ht="15" customHeight="1" x14ac:dyDescent="0.25">
      <c r="AA1945" s="28" t="str">
        <f t="shared" si="30"/>
        <v/>
      </c>
    </row>
    <row r="1946" spans="27:27" ht="15" customHeight="1" x14ac:dyDescent="0.25">
      <c r="AA1946" s="28" t="str">
        <f t="shared" si="30"/>
        <v/>
      </c>
    </row>
    <row r="1947" spans="27:27" ht="15" customHeight="1" x14ac:dyDescent="0.25">
      <c r="AA1947" s="28" t="str">
        <f t="shared" si="30"/>
        <v/>
      </c>
    </row>
    <row r="1948" spans="27:27" ht="15" customHeight="1" x14ac:dyDescent="0.25">
      <c r="AA1948" s="28" t="str">
        <f t="shared" si="30"/>
        <v/>
      </c>
    </row>
    <row r="1949" spans="27:27" ht="15" customHeight="1" x14ac:dyDescent="0.25">
      <c r="AA1949" s="28" t="str">
        <f t="shared" si="30"/>
        <v/>
      </c>
    </row>
    <row r="1950" spans="27:27" ht="15" customHeight="1" x14ac:dyDescent="0.25">
      <c r="AA1950" s="28" t="str">
        <f t="shared" si="30"/>
        <v/>
      </c>
    </row>
    <row r="1951" spans="27:27" ht="15" customHeight="1" x14ac:dyDescent="0.25">
      <c r="AA1951" s="28" t="str">
        <f t="shared" si="30"/>
        <v/>
      </c>
    </row>
    <row r="1952" spans="27:27" ht="15" customHeight="1" x14ac:dyDescent="0.25">
      <c r="AA1952" s="28" t="str">
        <f t="shared" si="30"/>
        <v/>
      </c>
    </row>
    <row r="1953" spans="27:27" ht="15" customHeight="1" x14ac:dyDescent="0.25">
      <c r="AA1953" s="28" t="str">
        <f t="shared" si="30"/>
        <v/>
      </c>
    </row>
    <row r="1954" spans="27:27" ht="15" customHeight="1" x14ac:dyDescent="0.25">
      <c r="AA1954" s="28" t="str">
        <f t="shared" si="30"/>
        <v/>
      </c>
    </row>
    <row r="1955" spans="27:27" ht="15" customHeight="1" x14ac:dyDescent="0.25">
      <c r="AA1955" s="28" t="str">
        <f t="shared" si="30"/>
        <v/>
      </c>
    </row>
    <row r="1956" spans="27:27" ht="15" customHeight="1" x14ac:dyDescent="0.25">
      <c r="AA1956" s="28" t="str">
        <f t="shared" si="30"/>
        <v/>
      </c>
    </row>
    <row r="1957" spans="27:27" ht="15" customHeight="1" x14ac:dyDescent="0.25">
      <c r="AA1957" s="28" t="str">
        <f t="shared" si="30"/>
        <v/>
      </c>
    </row>
    <row r="1958" spans="27:27" ht="15" customHeight="1" x14ac:dyDescent="0.25">
      <c r="AA1958" s="28" t="str">
        <f t="shared" si="30"/>
        <v/>
      </c>
    </row>
    <row r="1959" spans="27:27" ht="15" customHeight="1" x14ac:dyDescent="0.25">
      <c r="AA1959" s="28" t="str">
        <f t="shared" si="30"/>
        <v/>
      </c>
    </row>
    <row r="1960" spans="27:27" ht="15" customHeight="1" x14ac:dyDescent="0.25">
      <c r="AA1960" s="28" t="str">
        <f t="shared" si="30"/>
        <v/>
      </c>
    </row>
    <row r="1961" spans="27:27" ht="15" customHeight="1" x14ac:dyDescent="0.25">
      <c r="AA1961" s="28" t="str">
        <f t="shared" si="30"/>
        <v/>
      </c>
    </row>
    <row r="1962" spans="27:27" ht="15" customHeight="1" x14ac:dyDescent="0.25">
      <c r="AA1962" s="28" t="str">
        <f t="shared" si="30"/>
        <v/>
      </c>
    </row>
    <row r="1963" spans="27:27" ht="15" customHeight="1" x14ac:dyDescent="0.25">
      <c r="AA1963" s="28" t="str">
        <f t="shared" si="30"/>
        <v/>
      </c>
    </row>
    <row r="1964" spans="27:27" ht="15" customHeight="1" x14ac:dyDescent="0.25">
      <c r="AA1964" s="28" t="str">
        <f t="shared" si="30"/>
        <v/>
      </c>
    </row>
    <row r="1965" spans="27:27" ht="15" customHeight="1" x14ac:dyDescent="0.25">
      <c r="AA1965" s="28" t="str">
        <f t="shared" si="30"/>
        <v/>
      </c>
    </row>
    <row r="1966" spans="27:27" ht="15" customHeight="1" x14ac:dyDescent="0.25">
      <c r="AA1966" s="28" t="str">
        <f t="shared" si="30"/>
        <v/>
      </c>
    </row>
    <row r="1967" spans="27:27" ht="15" customHeight="1" x14ac:dyDescent="0.25">
      <c r="AA1967" s="28" t="str">
        <f t="shared" si="30"/>
        <v/>
      </c>
    </row>
    <row r="1968" spans="27:27" ht="15" customHeight="1" x14ac:dyDescent="0.25">
      <c r="AA1968" s="28" t="str">
        <f t="shared" si="30"/>
        <v/>
      </c>
    </row>
    <row r="1969" spans="27:27" ht="15" customHeight="1" x14ac:dyDescent="0.25">
      <c r="AA1969" s="28" t="str">
        <f t="shared" si="30"/>
        <v/>
      </c>
    </row>
    <row r="1970" spans="27:27" ht="15" customHeight="1" x14ac:dyDescent="0.25">
      <c r="AA1970" s="28" t="str">
        <f t="shared" si="30"/>
        <v/>
      </c>
    </row>
    <row r="1971" spans="27:27" ht="15" customHeight="1" x14ac:dyDescent="0.25">
      <c r="AA1971" s="28" t="str">
        <f t="shared" si="30"/>
        <v/>
      </c>
    </row>
    <row r="1972" spans="27:27" ht="15" customHeight="1" x14ac:dyDescent="0.25">
      <c r="AA1972" s="28" t="str">
        <f t="shared" si="30"/>
        <v/>
      </c>
    </row>
    <row r="1973" spans="27:27" ht="15" customHeight="1" x14ac:dyDescent="0.25">
      <c r="AA1973" s="28" t="str">
        <f t="shared" si="30"/>
        <v/>
      </c>
    </row>
    <row r="1974" spans="27:27" ht="15" customHeight="1" x14ac:dyDescent="0.25">
      <c r="AA1974" s="28" t="str">
        <f t="shared" si="30"/>
        <v/>
      </c>
    </row>
    <row r="1975" spans="27:27" ht="15" customHeight="1" x14ac:dyDescent="0.25">
      <c r="AA1975" s="28" t="str">
        <f t="shared" si="30"/>
        <v/>
      </c>
    </row>
    <row r="1976" spans="27:27" ht="15" customHeight="1" x14ac:dyDescent="0.25">
      <c r="AA1976" s="28" t="str">
        <f t="shared" si="30"/>
        <v/>
      </c>
    </row>
    <row r="1977" spans="27:27" ht="15" customHeight="1" x14ac:dyDescent="0.25">
      <c r="AA1977" s="28" t="str">
        <f t="shared" si="30"/>
        <v/>
      </c>
    </row>
    <row r="1978" spans="27:27" ht="15" customHeight="1" x14ac:dyDescent="0.25">
      <c r="AA1978" s="28" t="str">
        <f t="shared" si="30"/>
        <v/>
      </c>
    </row>
    <row r="1979" spans="27:27" ht="15" customHeight="1" x14ac:dyDescent="0.25">
      <c r="AA1979" s="28" t="str">
        <f t="shared" si="30"/>
        <v/>
      </c>
    </row>
    <row r="1980" spans="27:27" ht="15" customHeight="1" x14ac:dyDescent="0.25">
      <c r="AA1980" s="28" t="str">
        <f t="shared" si="30"/>
        <v/>
      </c>
    </row>
    <row r="1981" spans="27:27" ht="15" customHeight="1" x14ac:dyDescent="0.25">
      <c r="AA1981" s="28" t="str">
        <f t="shared" si="30"/>
        <v/>
      </c>
    </row>
    <row r="1982" spans="27:27" ht="15" customHeight="1" x14ac:dyDescent="0.25">
      <c r="AA1982" s="28" t="str">
        <f t="shared" si="30"/>
        <v/>
      </c>
    </row>
    <row r="1983" spans="27:27" ht="15" customHeight="1" x14ac:dyDescent="0.25">
      <c r="AA1983" s="28" t="str">
        <f t="shared" si="30"/>
        <v/>
      </c>
    </row>
    <row r="1984" spans="27:27" ht="15" customHeight="1" x14ac:dyDescent="0.25">
      <c r="AA1984" s="28" t="str">
        <f t="shared" si="30"/>
        <v/>
      </c>
    </row>
    <row r="1985" spans="27:27" ht="15" customHeight="1" x14ac:dyDescent="0.25">
      <c r="AA1985" s="28" t="str">
        <f t="shared" si="30"/>
        <v/>
      </c>
    </row>
    <row r="1986" spans="27:27" ht="15" customHeight="1" x14ac:dyDescent="0.25">
      <c r="AA1986" s="28" t="str">
        <f t="shared" si="30"/>
        <v/>
      </c>
    </row>
    <row r="1987" spans="27:27" ht="15" customHeight="1" x14ac:dyDescent="0.25">
      <c r="AA1987" s="28" t="str">
        <f t="shared" si="30"/>
        <v/>
      </c>
    </row>
    <row r="1988" spans="27:27" ht="15" customHeight="1" x14ac:dyDescent="0.25">
      <c r="AA1988" s="28" t="str">
        <f t="shared" si="30"/>
        <v/>
      </c>
    </row>
    <row r="1989" spans="27:27" ht="15" customHeight="1" x14ac:dyDescent="0.25">
      <c r="AA1989" s="28" t="str">
        <f t="shared" si="30"/>
        <v/>
      </c>
    </row>
    <row r="1990" spans="27:27" ht="15" customHeight="1" x14ac:dyDescent="0.25">
      <c r="AA1990" s="28" t="str">
        <f t="shared" si="30"/>
        <v/>
      </c>
    </row>
    <row r="1991" spans="27:27" ht="15" customHeight="1" x14ac:dyDescent="0.25">
      <c r="AA1991" s="28" t="str">
        <f t="shared" si="30"/>
        <v/>
      </c>
    </row>
    <row r="1992" spans="27:27" ht="15" customHeight="1" x14ac:dyDescent="0.25">
      <c r="AA1992" s="28" t="str">
        <f t="shared" ref="AA1992:AA2055" si="31">IFERROR(
IF(AND(X1992="Não",Y1992="Sim"),"REP",
IF(AND(X1992="Sim",Y1992="Não"),"Técnico",
IF(AND(X1992="Sim",Y1992="Sim"),"Ambos",""))),
"")</f>
        <v/>
      </c>
    </row>
    <row r="1993" spans="27:27" ht="15" customHeight="1" x14ac:dyDescent="0.25">
      <c r="AA1993" s="28" t="str">
        <f t="shared" si="31"/>
        <v/>
      </c>
    </row>
    <row r="1994" spans="27:27" ht="15" customHeight="1" x14ac:dyDescent="0.25">
      <c r="AA1994" s="28" t="str">
        <f t="shared" si="31"/>
        <v/>
      </c>
    </row>
    <row r="1995" spans="27:27" ht="15" customHeight="1" x14ac:dyDescent="0.25">
      <c r="AA1995" s="28" t="str">
        <f t="shared" si="31"/>
        <v/>
      </c>
    </row>
    <row r="1996" spans="27:27" ht="15" customHeight="1" x14ac:dyDescent="0.25">
      <c r="AA1996" s="28" t="str">
        <f t="shared" si="31"/>
        <v/>
      </c>
    </row>
    <row r="1997" spans="27:27" ht="15" customHeight="1" x14ac:dyDescent="0.25">
      <c r="AA1997" s="28" t="str">
        <f t="shared" si="31"/>
        <v/>
      </c>
    </row>
    <row r="1998" spans="27:27" ht="15" customHeight="1" x14ac:dyDescent="0.25">
      <c r="AA1998" s="28" t="str">
        <f t="shared" si="31"/>
        <v/>
      </c>
    </row>
    <row r="1999" spans="27:27" ht="15" customHeight="1" x14ac:dyDescent="0.25">
      <c r="AA1999" s="28" t="str">
        <f t="shared" si="31"/>
        <v/>
      </c>
    </row>
    <row r="2000" spans="27:27" ht="15" customHeight="1" x14ac:dyDescent="0.25">
      <c r="AA2000" s="28" t="str">
        <f t="shared" si="31"/>
        <v/>
      </c>
    </row>
    <row r="2001" spans="27:27" ht="15" customHeight="1" x14ac:dyDescent="0.25">
      <c r="AA2001" s="28" t="str">
        <f t="shared" si="31"/>
        <v/>
      </c>
    </row>
    <row r="2002" spans="27:27" ht="15" customHeight="1" x14ac:dyDescent="0.25">
      <c r="AA2002" s="28" t="str">
        <f t="shared" si="31"/>
        <v/>
      </c>
    </row>
    <row r="2003" spans="27:27" ht="15" customHeight="1" x14ac:dyDescent="0.25">
      <c r="AA2003" s="28" t="str">
        <f t="shared" si="31"/>
        <v/>
      </c>
    </row>
    <row r="2004" spans="27:27" ht="15" customHeight="1" x14ac:dyDescent="0.25">
      <c r="AA2004" s="28" t="str">
        <f t="shared" si="31"/>
        <v/>
      </c>
    </row>
    <row r="2005" spans="27:27" ht="15" customHeight="1" x14ac:dyDescent="0.25">
      <c r="AA2005" s="28" t="str">
        <f t="shared" si="31"/>
        <v/>
      </c>
    </row>
    <row r="2006" spans="27:27" ht="15" customHeight="1" x14ac:dyDescent="0.25">
      <c r="AA2006" s="28" t="str">
        <f t="shared" si="31"/>
        <v/>
      </c>
    </row>
    <row r="2007" spans="27:27" ht="15" customHeight="1" x14ac:dyDescent="0.25">
      <c r="AA2007" s="28" t="str">
        <f t="shared" si="31"/>
        <v/>
      </c>
    </row>
    <row r="2008" spans="27:27" ht="15" customHeight="1" x14ac:dyDescent="0.25">
      <c r="AA2008" s="28" t="str">
        <f t="shared" si="31"/>
        <v/>
      </c>
    </row>
    <row r="2009" spans="27:27" ht="15" customHeight="1" x14ac:dyDescent="0.25">
      <c r="AA2009" s="28" t="str">
        <f t="shared" si="31"/>
        <v/>
      </c>
    </row>
    <row r="2010" spans="27:27" ht="15" customHeight="1" x14ac:dyDescent="0.25">
      <c r="AA2010" s="28" t="str">
        <f t="shared" si="31"/>
        <v/>
      </c>
    </row>
    <row r="2011" spans="27:27" ht="15" customHeight="1" x14ac:dyDescent="0.25">
      <c r="AA2011" s="28" t="str">
        <f t="shared" si="31"/>
        <v/>
      </c>
    </row>
    <row r="2012" spans="27:27" ht="15" customHeight="1" x14ac:dyDescent="0.25">
      <c r="AA2012" s="28" t="str">
        <f t="shared" si="31"/>
        <v/>
      </c>
    </row>
    <row r="2013" spans="27:27" ht="15" customHeight="1" x14ac:dyDescent="0.25">
      <c r="AA2013" s="28" t="str">
        <f t="shared" si="31"/>
        <v/>
      </c>
    </row>
    <row r="2014" spans="27:27" ht="15" customHeight="1" x14ac:dyDescent="0.25">
      <c r="AA2014" s="28" t="str">
        <f t="shared" si="31"/>
        <v/>
      </c>
    </row>
    <row r="2015" spans="27:27" ht="15" customHeight="1" x14ac:dyDescent="0.25">
      <c r="AA2015" s="28" t="str">
        <f t="shared" si="31"/>
        <v/>
      </c>
    </row>
    <row r="2016" spans="27:27" ht="15" customHeight="1" x14ac:dyDescent="0.25">
      <c r="AA2016" s="28" t="str">
        <f t="shared" si="31"/>
        <v/>
      </c>
    </row>
    <row r="2017" spans="27:27" ht="15" customHeight="1" x14ac:dyDescent="0.25">
      <c r="AA2017" s="28" t="str">
        <f t="shared" si="31"/>
        <v/>
      </c>
    </row>
    <row r="2018" spans="27:27" ht="15" customHeight="1" x14ac:dyDescent="0.25">
      <c r="AA2018" s="28" t="str">
        <f t="shared" si="31"/>
        <v/>
      </c>
    </row>
    <row r="2019" spans="27:27" ht="15" customHeight="1" x14ac:dyDescent="0.25">
      <c r="AA2019" s="28" t="str">
        <f t="shared" si="31"/>
        <v/>
      </c>
    </row>
    <row r="2020" spans="27:27" ht="15" customHeight="1" x14ac:dyDescent="0.25">
      <c r="AA2020" s="28" t="str">
        <f t="shared" si="31"/>
        <v/>
      </c>
    </row>
    <row r="2021" spans="27:27" ht="15" customHeight="1" x14ac:dyDescent="0.25">
      <c r="AA2021" s="28" t="str">
        <f t="shared" si="31"/>
        <v/>
      </c>
    </row>
    <row r="2022" spans="27:27" ht="15" customHeight="1" x14ac:dyDescent="0.25">
      <c r="AA2022" s="28" t="str">
        <f t="shared" si="31"/>
        <v/>
      </c>
    </row>
    <row r="2023" spans="27:27" ht="15" customHeight="1" x14ac:dyDescent="0.25">
      <c r="AA2023" s="28" t="str">
        <f t="shared" si="31"/>
        <v/>
      </c>
    </row>
    <row r="2024" spans="27:27" ht="15" customHeight="1" x14ac:dyDescent="0.25">
      <c r="AA2024" s="28" t="str">
        <f t="shared" si="31"/>
        <v/>
      </c>
    </row>
    <row r="2025" spans="27:27" ht="15" customHeight="1" x14ac:dyDescent="0.25">
      <c r="AA2025" s="28" t="str">
        <f t="shared" si="31"/>
        <v/>
      </c>
    </row>
    <row r="2026" spans="27:27" ht="15" customHeight="1" x14ac:dyDescent="0.25">
      <c r="AA2026" s="28" t="str">
        <f t="shared" si="31"/>
        <v/>
      </c>
    </row>
    <row r="2027" spans="27:27" ht="15" customHeight="1" x14ac:dyDescent="0.25">
      <c r="AA2027" s="28" t="str">
        <f t="shared" si="31"/>
        <v/>
      </c>
    </row>
    <row r="2028" spans="27:27" ht="15" customHeight="1" x14ac:dyDescent="0.25">
      <c r="AA2028" s="28" t="str">
        <f t="shared" si="31"/>
        <v/>
      </c>
    </row>
    <row r="2029" spans="27:27" ht="15" customHeight="1" x14ac:dyDescent="0.25">
      <c r="AA2029" s="28" t="str">
        <f t="shared" si="31"/>
        <v/>
      </c>
    </row>
    <row r="2030" spans="27:27" ht="15" customHeight="1" x14ac:dyDescent="0.25">
      <c r="AA2030" s="28" t="str">
        <f t="shared" si="31"/>
        <v/>
      </c>
    </row>
    <row r="2031" spans="27:27" ht="15" customHeight="1" x14ac:dyDescent="0.25">
      <c r="AA2031" s="28" t="str">
        <f t="shared" si="31"/>
        <v/>
      </c>
    </row>
    <row r="2032" spans="27:27" ht="15" customHeight="1" x14ac:dyDescent="0.25">
      <c r="AA2032" s="28" t="str">
        <f t="shared" si="31"/>
        <v/>
      </c>
    </row>
    <row r="2033" spans="27:27" ht="15" customHeight="1" x14ac:dyDescent="0.25">
      <c r="AA2033" s="28" t="str">
        <f t="shared" si="31"/>
        <v/>
      </c>
    </row>
    <row r="2034" spans="27:27" ht="15" customHeight="1" x14ac:dyDescent="0.25">
      <c r="AA2034" s="28" t="str">
        <f t="shared" si="31"/>
        <v/>
      </c>
    </row>
    <row r="2035" spans="27:27" ht="15" customHeight="1" x14ac:dyDescent="0.25">
      <c r="AA2035" s="28" t="str">
        <f t="shared" si="31"/>
        <v/>
      </c>
    </row>
    <row r="2036" spans="27:27" ht="15" customHeight="1" x14ac:dyDescent="0.25">
      <c r="AA2036" s="28" t="str">
        <f t="shared" si="31"/>
        <v/>
      </c>
    </row>
    <row r="2037" spans="27:27" ht="15" customHeight="1" x14ac:dyDescent="0.25">
      <c r="AA2037" s="28" t="str">
        <f t="shared" si="31"/>
        <v/>
      </c>
    </row>
    <row r="2038" spans="27:27" ht="15" customHeight="1" x14ac:dyDescent="0.25">
      <c r="AA2038" s="28" t="str">
        <f t="shared" si="31"/>
        <v/>
      </c>
    </row>
    <row r="2039" spans="27:27" ht="15" customHeight="1" x14ac:dyDescent="0.25">
      <c r="AA2039" s="28" t="str">
        <f t="shared" si="31"/>
        <v/>
      </c>
    </row>
    <row r="2040" spans="27:27" ht="15" customHeight="1" x14ac:dyDescent="0.25">
      <c r="AA2040" s="28" t="str">
        <f t="shared" si="31"/>
        <v/>
      </c>
    </row>
    <row r="2041" spans="27:27" ht="15" customHeight="1" x14ac:dyDescent="0.25">
      <c r="AA2041" s="28" t="str">
        <f t="shared" si="31"/>
        <v/>
      </c>
    </row>
    <row r="2042" spans="27:27" ht="15" customHeight="1" x14ac:dyDescent="0.25">
      <c r="AA2042" s="28" t="str">
        <f t="shared" si="31"/>
        <v/>
      </c>
    </row>
    <row r="2043" spans="27:27" ht="15" customHeight="1" x14ac:dyDescent="0.25">
      <c r="AA2043" s="28" t="str">
        <f t="shared" si="31"/>
        <v/>
      </c>
    </row>
    <row r="2044" spans="27:27" ht="15" customHeight="1" x14ac:dyDescent="0.25">
      <c r="AA2044" s="28" t="str">
        <f t="shared" si="31"/>
        <v/>
      </c>
    </row>
    <row r="2045" spans="27:27" ht="15" customHeight="1" x14ac:dyDescent="0.25">
      <c r="AA2045" s="28" t="str">
        <f t="shared" si="31"/>
        <v/>
      </c>
    </row>
    <row r="2046" spans="27:27" ht="15" customHeight="1" x14ac:dyDescent="0.25">
      <c r="AA2046" s="28" t="str">
        <f t="shared" si="31"/>
        <v/>
      </c>
    </row>
    <row r="2047" spans="27:27" ht="15" customHeight="1" x14ac:dyDescent="0.25">
      <c r="AA2047" s="28" t="str">
        <f t="shared" si="31"/>
        <v/>
      </c>
    </row>
    <row r="2048" spans="27:27" ht="15" customHeight="1" x14ac:dyDescent="0.25">
      <c r="AA2048" s="28" t="str">
        <f t="shared" si="31"/>
        <v/>
      </c>
    </row>
    <row r="2049" spans="27:27" ht="15" customHeight="1" x14ac:dyDescent="0.25">
      <c r="AA2049" s="28" t="str">
        <f t="shared" si="31"/>
        <v/>
      </c>
    </row>
    <row r="2050" spans="27:27" ht="15" customHeight="1" x14ac:dyDescent="0.25">
      <c r="AA2050" s="28" t="str">
        <f t="shared" si="31"/>
        <v/>
      </c>
    </row>
    <row r="2051" spans="27:27" ht="15" customHeight="1" x14ac:dyDescent="0.25">
      <c r="AA2051" s="28" t="str">
        <f t="shared" si="31"/>
        <v/>
      </c>
    </row>
    <row r="2052" spans="27:27" ht="15" customHeight="1" x14ac:dyDescent="0.25">
      <c r="AA2052" s="28" t="str">
        <f t="shared" si="31"/>
        <v/>
      </c>
    </row>
    <row r="2053" spans="27:27" ht="15" customHeight="1" x14ac:dyDescent="0.25">
      <c r="AA2053" s="28" t="str">
        <f t="shared" si="31"/>
        <v/>
      </c>
    </row>
    <row r="2054" spans="27:27" ht="15" customHeight="1" x14ac:dyDescent="0.25">
      <c r="AA2054" s="28" t="str">
        <f t="shared" si="31"/>
        <v/>
      </c>
    </row>
    <row r="2055" spans="27:27" ht="15" customHeight="1" x14ac:dyDescent="0.25">
      <c r="AA2055" s="28" t="str">
        <f t="shared" si="31"/>
        <v/>
      </c>
    </row>
    <row r="2056" spans="27:27" ht="15" customHeight="1" x14ac:dyDescent="0.25">
      <c r="AA2056" s="28" t="str">
        <f t="shared" ref="AA2056:AA2119" si="32">IFERROR(
IF(AND(X2056="Não",Y2056="Sim"),"REP",
IF(AND(X2056="Sim",Y2056="Não"),"Técnico",
IF(AND(X2056="Sim",Y2056="Sim"),"Ambos",""))),
"")</f>
        <v/>
      </c>
    </row>
    <row r="2057" spans="27:27" ht="15" customHeight="1" x14ac:dyDescent="0.25">
      <c r="AA2057" s="28" t="str">
        <f t="shared" si="32"/>
        <v/>
      </c>
    </row>
    <row r="2058" spans="27:27" ht="15" customHeight="1" x14ac:dyDescent="0.25">
      <c r="AA2058" s="28" t="str">
        <f t="shared" si="32"/>
        <v/>
      </c>
    </row>
    <row r="2059" spans="27:27" ht="15" customHeight="1" x14ac:dyDescent="0.25">
      <c r="AA2059" s="28" t="str">
        <f t="shared" si="32"/>
        <v/>
      </c>
    </row>
    <row r="2060" spans="27:27" ht="15" customHeight="1" x14ac:dyDescent="0.25">
      <c r="AA2060" s="28" t="str">
        <f t="shared" si="32"/>
        <v/>
      </c>
    </row>
    <row r="2061" spans="27:27" ht="15" customHeight="1" x14ac:dyDescent="0.25">
      <c r="AA2061" s="28" t="str">
        <f t="shared" si="32"/>
        <v/>
      </c>
    </row>
    <row r="2062" spans="27:27" ht="15" customHeight="1" x14ac:dyDescent="0.25">
      <c r="AA2062" s="28" t="str">
        <f t="shared" si="32"/>
        <v/>
      </c>
    </row>
    <row r="2063" spans="27:27" ht="15" customHeight="1" x14ac:dyDescent="0.25">
      <c r="AA2063" s="28" t="str">
        <f t="shared" si="32"/>
        <v/>
      </c>
    </row>
    <row r="2064" spans="27:27" ht="15" customHeight="1" x14ac:dyDescent="0.25">
      <c r="AA2064" s="28" t="str">
        <f t="shared" si="32"/>
        <v/>
      </c>
    </row>
    <row r="2065" spans="27:27" ht="15" customHeight="1" x14ac:dyDescent="0.25">
      <c r="AA2065" s="28" t="str">
        <f t="shared" si="32"/>
        <v/>
      </c>
    </row>
    <row r="2066" spans="27:27" ht="15" customHeight="1" x14ac:dyDescent="0.25">
      <c r="AA2066" s="28" t="str">
        <f t="shared" si="32"/>
        <v/>
      </c>
    </row>
    <row r="2067" spans="27:27" ht="15" customHeight="1" x14ac:dyDescent="0.25">
      <c r="AA2067" s="28" t="str">
        <f t="shared" si="32"/>
        <v/>
      </c>
    </row>
    <row r="2068" spans="27:27" ht="15" customHeight="1" x14ac:dyDescent="0.25">
      <c r="AA2068" s="28" t="str">
        <f t="shared" si="32"/>
        <v/>
      </c>
    </row>
    <row r="2069" spans="27:27" ht="15" customHeight="1" x14ac:dyDescent="0.25">
      <c r="AA2069" s="28" t="str">
        <f t="shared" si="32"/>
        <v/>
      </c>
    </row>
    <row r="2070" spans="27:27" ht="15" customHeight="1" x14ac:dyDescent="0.25">
      <c r="AA2070" s="28" t="str">
        <f t="shared" si="32"/>
        <v/>
      </c>
    </row>
    <row r="2071" spans="27:27" ht="15" customHeight="1" x14ac:dyDescent="0.25">
      <c r="AA2071" s="28" t="str">
        <f t="shared" si="32"/>
        <v/>
      </c>
    </row>
    <row r="2072" spans="27:27" ht="15" customHeight="1" x14ac:dyDescent="0.25">
      <c r="AA2072" s="28" t="str">
        <f t="shared" si="32"/>
        <v/>
      </c>
    </row>
    <row r="2073" spans="27:27" ht="15" customHeight="1" x14ac:dyDescent="0.25">
      <c r="AA2073" s="28" t="str">
        <f t="shared" si="32"/>
        <v/>
      </c>
    </row>
    <row r="2074" spans="27:27" ht="15" customHeight="1" x14ac:dyDescent="0.25">
      <c r="AA2074" s="28" t="str">
        <f t="shared" si="32"/>
        <v/>
      </c>
    </row>
    <row r="2075" spans="27:27" ht="15" customHeight="1" x14ac:dyDescent="0.25">
      <c r="AA2075" s="28" t="str">
        <f t="shared" si="32"/>
        <v/>
      </c>
    </row>
    <row r="2076" spans="27:27" ht="15" customHeight="1" x14ac:dyDescent="0.25">
      <c r="AA2076" s="28" t="str">
        <f t="shared" si="32"/>
        <v/>
      </c>
    </row>
    <row r="2077" spans="27:27" ht="15" customHeight="1" x14ac:dyDescent="0.25">
      <c r="AA2077" s="28" t="str">
        <f t="shared" si="32"/>
        <v/>
      </c>
    </row>
    <row r="2078" spans="27:27" ht="15" customHeight="1" x14ac:dyDescent="0.25">
      <c r="AA2078" s="28" t="str">
        <f t="shared" si="32"/>
        <v/>
      </c>
    </row>
    <row r="2079" spans="27:27" ht="15" customHeight="1" x14ac:dyDescent="0.25">
      <c r="AA2079" s="28" t="str">
        <f t="shared" si="32"/>
        <v/>
      </c>
    </row>
    <row r="2080" spans="27:27" ht="15" customHeight="1" x14ac:dyDescent="0.25">
      <c r="AA2080" s="28" t="str">
        <f t="shared" si="32"/>
        <v/>
      </c>
    </row>
    <row r="2081" spans="27:27" ht="15" customHeight="1" x14ac:dyDescent="0.25">
      <c r="AA2081" s="28" t="str">
        <f t="shared" si="32"/>
        <v/>
      </c>
    </row>
    <row r="2082" spans="27:27" ht="15" customHeight="1" x14ac:dyDescent="0.25">
      <c r="AA2082" s="28" t="str">
        <f t="shared" si="32"/>
        <v/>
      </c>
    </row>
    <row r="2083" spans="27:27" ht="15" customHeight="1" x14ac:dyDescent="0.25">
      <c r="AA2083" s="28" t="str">
        <f t="shared" si="32"/>
        <v/>
      </c>
    </row>
    <row r="2084" spans="27:27" ht="15" customHeight="1" x14ac:dyDescent="0.25">
      <c r="AA2084" s="28" t="str">
        <f t="shared" si="32"/>
        <v/>
      </c>
    </row>
    <row r="2085" spans="27:27" ht="15" customHeight="1" x14ac:dyDescent="0.25">
      <c r="AA2085" s="28" t="str">
        <f t="shared" si="32"/>
        <v/>
      </c>
    </row>
    <row r="2086" spans="27:27" ht="15" customHeight="1" x14ac:dyDescent="0.25">
      <c r="AA2086" s="28" t="str">
        <f t="shared" si="32"/>
        <v/>
      </c>
    </row>
    <row r="2087" spans="27:27" ht="15" customHeight="1" x14ac:dyDescent="0.25">
      <c r="AA2087" s="28" t="str">
        <f t="shared" si="32"/>
        <v/>
      </c>
    </row>
    <row r="2088" spans="27:27" ht="15" customHeight="1" x14ac:dyDescent="0.25">
      <c r="AA2088" s="28" t="str">
        <f t="shared" si="32"/>
        <v/>
      </c>
    </row>
    <row r="2089" spans="27:27" ht="15" customHeight="1" x14ac:dyDescent="0.25">
      <c r="AA2089" s="28" t="str">
        <f t="shared" si="32"/>
        <v/>
      </c>
    </row>
    <row r="2090" spans="27:27" ht="15" customHeight="1" x14ac:dyDescent="0.25">
      <c r="AA2090" s="28" t="str">
        <f t="shared" si="32"/>
        <v/>
      </c>
    </row>
    <row r="2091" spans="27:27" ht="15" customHeight="1" x14ac:dyDescent="0.25">
      <c r="AA2091" s="28" t="str">
        <f t="shared" si="32"/>
        <v/>
      </c>
    </row>
    <row r="2092" spans="27:27" ht="15" customHeight="1" x14ac:dyDescent="0.25">
      <c r="AA2092" s="28" t="str">
        <f t="shared" si="32"/>
        <v/>
      </c>
    </row>
    <row r="2093" spans="27:27" ht="15" customHeight="1" x14ac:dyDescent="0.25">
      <c r="AA2093" s="28" t="str">
        <f t="shared" si="32"/>
        <v/>
      </c>
    </row>
    <row r="2094" spans="27:27" ht="15" customHeight="1" x14ac:dyDescent="0.25">
      <c r="AA2094" s="28" t="str">
        <f t="shared" si="32"/>
        <v/>
      </c>
    </row>
    <row r="2095" spans="27:27" ht="15" customHeight="1" x14ac:dyDescent="0.25">
      <c r="AA2095" s="28" t="str">
        <f t="shared" si="32"/>
        <v/>
      </c>
    </row>
    <row r="2096" spans="27:27" ht="15" customHeight="1" x14ac:dyDescent="0.25">
      <c r="AA2096" s="28" t="str">
        <f t="shared" si="32"/>
        <v/>
      </c>
    </row>
    <row r="2097" spans="27:27" ht="15" customHeight="1" x14ac:dyDescent="0.25">
      <c r="AA2097" s="28" t="str">
        <f t="shared" si="32"/>
        <v/>
      </c>
    </row>
    <row r="2098" spans="27:27" ht="15" customHeight="1" x14ac:dyDescent="0.25">
      <c r="AA2098" s="28" t="str">
        <f t="shared" si="32"/>
        <v/>
      </c>
    </row>
    <row r="2099" spans="27:27" ht="15" customHeight="1" x14ac:dyDescent="0.25">
      <c r="AA2099" s="28" t="str">
        <f t="shared" si="32"/>
        <v/>
      </c>
    </row>
    <row r="2100" spans="27:27" ht="15" customHeight="1" x14ac:dyDescent="0.25">
      <c r="AA2100" s="28" t="str">
        <f t="shared" si="32"/>
        <v/>
      </c>
    </row>
    <row r="2101" spans="27:27" ht="15" customHeight="1" x14ac:dyDescent="0.25">
      <c r="AA2101" s="28" t="str">
        <f t="shared" si="32"/>
        <v/>
      </c>
    </row>
    <row r="2102" spans="27:27" ht="15" customHeight="1" x14ac:dyDescent="0.25">
      <c r="AA2102" s="28" t="str">
        <f t="shared" si="32"/>
        <v/>
      </c>
    </row>
    <row r="2103" spans="27:27" ht="15" customHeight="1" x14ac:dyDescent="0.25">
      <c r="AA2103" s="28" t="str">
        <f t="shared" si="32"/>
        <v/>
      </c>
    </row>
    <row r="2104" spans="27:27" ht="15" customHeight="1" x14ac:dyDescent="0.25">
      <c r="AA2104" s="28" t="str">
        <f t="shared" si="32"/>
        <v/>
      </c>
    </row>
    <row r="2105" spans="27:27" ht="15" customHeight="1" x14ac:dyDescent="0.25">
      <c r="AA2105" s="28" t="str">
        <f t="shared" si="32"/>
        <v/>
      </c>
    </row>
    <row r="2106" spans="27:27" ht="15" customHeight="1" x14ac:dyDescent="0.25">
      <c r="AA2106" s="28" t="str">
        <f t="shared" si="32"/>
        <v/>
      </c>
    </row>
    <row r="2107" spans="27:27" ht="15" customHeight="1" x14ac:dyDescent="0.25">
      <c r="AA2107" s="28" t="str">
        <f t="shared" si="32"/>
        <v/>
      </c>
    </row>
    <row r="2108" spans="27:27" ht="15" customHeight="1" x14ac:dyDescent="0.25">
      <c r="AA2108" s="28" t="str">
        <f t="shared" si="32"/>
        <v/>
      </c>
    </row>
    <row r="2109" spans="27:27" ht="15" customHeight="1" x14ac:dyDescent="0.25">
      <c r="AA2109" s="28" t="str">
        <f t="shared" si="32"/>
        <v/>
      </c>
    </row>
    <row r="2110" spans="27:27" ht="15" customHeight="1" x14ac:dyDescent="0.25">
      <c r="AA2110" s="28" t="str">
        <f t="shared" si="32"/>
        <v/>
      </c>
    </row>
    <row r="2111" spans="27:27" ht="15" customHeight="1" x14ac:dyDescent="0.25">
      <c r="AA2111" s="28" t="str">
        <f t="shared" si="32"/>
        <v/>
      </c>
    </row>
    <row r="2112" spans="27:27" ht="15" customHeight="1" x14ac:dyDescent="0.25">
      <c r="AA2112" s="28" t="str">
        <f t="shared" si="32"/>
        <v/>
      </c>
    </row>
    <row r="2113" spans="27:27" ht="15" customHeight="1" x14ac:dyDescent="0.25">
      <c r="AA2113" s="28" t="str">
        <f t="shared" si="32"/>
        <v/>
      </c>
    </row>
    <row r="2114" spans="27:27" ht="15" customHeight="1" x14ac:dyDescent="0.25">
      <c r="AA2114" s="28" t="str">
        <f t="shared" si="32"/>
        <v/>
      </c>
    </row>
    <row r="2115" spans="27:27" ht="15" customHeight="1" x14ac:dyDescent="0.25">
      <c r="AA2115" s="28" t="str">
        <f t="shared" si="32"/>
        <v/>
      </c>
    </row>
    <row r="2116" spans="27:27" ht="15" customHeight="1" x14ac:dyDescent="0.25">
      <c r="AA2116" s="28" t="str">
        <f t="shared" si="32"/>
        <v/>
      </c>
    </row>
    <row r="2117" spans="27:27" ht="15" customHeight="1" x14ac:dyDescent="0.25">
      <c r="AA2117" s="28" t="str">
        <f t="shared" si="32"/>
        <v/>
      </c>
    </row>
    <row r="2118" spans="27:27" ht="15" customHeight="1" x14ac:dyDescent="0.25">
      <c r="AA2118" s="28" t="str">
        <f t="shared" si="32"/>
        <v/>
      </c>
    </row>
    <row r="2119" spans="27:27" ht="15" customHeight="1" x14ac:dyDescent="0.25">
      <c r="AA2119" s="28" t="str">
        <f t="shared" si="32"/>
        <v/>
      </c>
    </row>
    <row r="2120" spans="27:27" ht="15" customHeight="1" x14ac:dyDescent="0.25">
      <c r="AA2120" s="28" t="str">
        <f t="shared" ref="AA2120:AA2183" si="33">IFERROR(
IF(AND(X2120="Não",Y2120="Sim"),"REP",
IF(AND(X2120="Sim",Y2120="Não"),"Técnico",
IF(AND(X2120="Sim",Y2120="Sim"),"Ambos",""))),
"")</f>
        <v/>
      </c>
    </row>
    <row r="2121" spans="27:27" ht="15" customHeight="1" x14ac:dyDescent="0.25">
      <c r="AA2121" s="28" t="str">
        <f t="shared" si="33"/>
        <v/>
      </c>
    </row>
    <row r="2122" spans="27:27" ht="15" customHeight="1" x14ac:dyDescent="0.25">
      <c r="AA2122" s="28" t="str">
        <f t="shared" si="33"/>
        <v/>
      </c>
    </row>
    <row r="2123" spans="27:27" ht="15" customHeight="1" x14ac:dyDescent="0.25">
      <c r="AA2123" s="28" t="str">
        <f t="shared" si="33"/>
        <v/>
      </c>
    </row>
    <row r="2124" spans="27:27" ht="15" customHeight="1" x14ac:dyDescent="0.25">
      <c r="AA2124" s="28" t="str">
        <f t="shared" si="33"/>
        <v/>
      </c>
    </row>
    <row r="2125" spans="27:27" ht="15" customHeight="1" x14ac:dyDescent="0.25">
      <c r="AA2125" s="28" t="str">
        <f t="shared" si="33"/>
        <v/>
      </c>
    </row>
    <row r="2126" spans="27:27" ht="15" customHeight="1" x14ac:dyDescent="0.25">
      <c r="AA2126" s="28" t="str">
        <f t="shared" si="33"/>
        <v/>
      </c>
    </row>
    <row r="2127" spans="27:27" ht="15" customHeight="1" x14ac:dyDescent="0.25">
      <c r="AA2127" s="28" t="str">
        <f t="shared" si="33"/>
        <v/>
      </c>
    </row>
    <row r="2128" spans="27:27" ht="15" customHeight="1" x14ac:dyDescent="0.25">
      <c r="AA2128" s="28" t="str">
        <f t="shared" si="33"/>
        <v/>
      </c>
    </row>
    <row r="2129" spans="27:27" ht="15" customHeight="1" x14ac:dyDescent="0.25">
      <c r="AA2129" s="28" t="str">
        <f t="shared" si="33"/>
        <v/>
      </c>
    </row>
    <row r="2130" spans="27:27" ht="15" customHeight="1" x14ac:dyDescent="0.25">
      <c r="AA2130" s="28" t="str">
        <f t="shared" si="33"/>
        <v/>
      </c>
    </row>
    <row r="2131" spans="27:27" ht="15" customHeight="1" x14ac:dyDescent="0.25">
      <c r="AA2131" s="28" t="str">
        <f t="shared" si="33"/>
        <v/>
      </c>
    </row>
    <row r="2132" spans="27:27" ht="15" customHeight="1" x14ac:dyDescent="0.25">
      <c r="AA2132" s="28" t="str">
        <f t="shared" si="33"/>
        <v/>
      </c>
    </row>
    <row r="2133" spans="27:27" ht="15" customHeight="1" x14ac:dyDescent="0.25">
      <c r="AA2133" s="28" t="str">
        <f t="shared" si="33"/>
        <v/>
      </c>
    </row>
    <row r="2134" spans="27:27" ht="15" customHeight="1" x14ac:dyDescent="0.25">
      <c r="AA2134" s="28" t="str">
        <f t="shared" si="33"/>
        <v/>
      </c>
    </row>
    <row r="2135" spans="27:27" ht="15" customHeight="1" x14ac:dyDescent="0.25">
      <c r="AA2135" s="28" t="str">
        <f t="shared" si="33"/>
        <v/>
      </c>
    </row>
    <row r="2136" spans="27:27" ht="15" customHeight="1" x14ac:dyDescent="0.25">
      <c r="AA2136" s="28" t="str">
        <f t="shared" si="33"/>
        <v/>
      </c>
    </row>
    <row r="2137" spans="27:27" ht="15" customHeight="1" x14ac:dyDescent="0.25">
      <c r="AA2137" s="28" t="str">
        <f t="shared" si="33"/>
        <v/>
      </c>
    </row>
    <row r="2138" spans="27:27" ht="15" customHeight="1" x14ac:dyDescent="0.25">
      <c r="AA2138" s="28" t="str">
        <f t="shared" si="33"/>
        <v/>
      </c>
    </row>
    <row r="2139" spans="27:27" ht="15" customHeight="1" x14ac:dyDescent="0.25">
      <c r="AA2139" s="28" t="str">
        <f t="shared" si="33"/>
        <v/>
      </c>
    </row>
    <row r="2140" spans="27:27" ht="15" customHeight="1" x14ac:dyDescent="0.25">
      <c r="AA2140" s="28" t="str">
        <f t="shared" si="33"/>
        <v/>
      </c>
    </row>
    <row r="2141" spans="27:27" ht="15" customHeight="1" x14ac:dyDescent="0.25">
      <c r="AA2141" s="28" t="str">
        <f t="shared" si="33"/>
        <v/>
      </c>
    </row>
    <row r="2142" spans="27:27" ht="15" customHeight="1" x14ac:dyDescent="0.25">
      <c r="AA2142" s="28" t="str">
        <f t="shared" si="33"/>
        <v/>
      </c>
    </row>
    <row r="2143" spans="27:27" ht="15" customHeight="1" x14ac:dyDescent="0.25">
      <c r="AA2143" s="28" t="str">
        <f t="shared" si="33"/>
        <v/>
      </c>
    </row>
    <row r="2144" spans="27:27" ht="15" customHeight="1" x14ac:dyDescent="0.25">
      <c r="AA2144" s="28" t="str">
        <f t="shared" si="33"/>
        <v/>
      </c>
    </row>
    <row r="2145" spans="27:27" ht="15" customHeight="1" x14ac:dyDescent="0.25">
      <c r="AA2145" s="28" t="str">
        <f t="shared" si="33"/>
        <v/>
      </c>
    </row>
    <row r="2146" spans="27:27" ht="15" customHeight="1" x14ac:dyDescent="0.25">
      <c r="AA2146" s="28" t="str">
        <f t="shared" si="33"/>
        <v/>
      </c>
    </row>
    <row r="2147" spans="27:27" ht="15" customHeight="1" x14ac:dyDescent="0.25">
      <c r="AA2147" s="28" t="str">
        <f t="shared" si="33"/>
        <v/>
      </c>
    </row>
    <row r="2148" spans="27:27" ht="15" customHeight="1" x14ac:dyDescent="0.25">
      <c r="AA2148" s="28" t="str">
        <f t="shared" si="33"/>
        <v/>
      </c>
    </row>
    <row r="2149" spans="27:27" ht="15" customHeight="1" x14ac:dyDescent="0.25">
      <c r="AA2149" s="28" t="str">
        <f t="shared" si="33"/>
        <v/>
      </c>
    </row>
    <row r="2150" spans="27:27" ht="15" customHeight="1" x14ac:dyDescent="0.25">
      <c r="AA2150" s="28" t="str">
        <f t="shared" si="33"/>
        <v/>
      </c>
    </row>
    <row r="2151" spans="27:27" ht="15" customHeight="1" x14ac:dyDescent="0.25">
      <c r="AA2151" s="28" t="str">
        <f t="shared" si="33"/>
        <v/>
      </c>
    </row>
    <row r="2152" spans="27:27" ht="15" customHeight="1" x14ac:dyDescent="0.25">
      <c r="AA2152" s="28" t="str">
        <f t="shared" si="33"/>
        <v/>
      </c>
    </row>
    <row r="2153" spans="27:27" ht="15" customHeight="1" x14ac:dyDescent="0.25">
      <c r="AA2153" s="28" t="str">
        <f t="shared" si="33"/>
        <v/>
      </c>
    </row>
    <row r="2154" spans="27:27" ht="15" customHeight="1" x14ac:dyDescent="0.25">
      <c r="AA2154" s="28" t="str">
        <f t="shared" si="33"/>
        <v/>
      </c>
    </row>
    <row r="2155" spans="27:27" ht="15" customHeight="1" x14ac:dyDescent="0.25">
      <c r="AA2155" s="28" t="str">
        <f t="shared" si="33"/>
        <v/>
      </c>
    </row>
    <row r="2156" spans="27:27" ht="15" customHeight="1" x14ac:dyDescent="0.25">
      <c r="AA2156" s="28" t="str">
        <f t="shared" si="33"/>
        <v/>
      </c>
    </row>
    <row r="2157" spans="27:27" ht="15" customHeight="1" x14ac:dyDescent="0.25">
      <c r="AA2157" s="28" t="str">
        <f t="shared" si="33"/>
        <v/>
      </c>
    </row>
    <row r="2158" spans="27:27" ht="15" customHeight="1" x14ac:dyDescent="0.25">
      <c r="AA2158" s="28" t="str">
        <f t="shared" si="33"/>
        <v/>
      </c>
    </row>
    <row r="2159" spans="27:27" ht="15" customHeight="1" x14ac:dyDescent="0.25">
      <c r="AA2159" s="28" t="str">
        <f t="shared" si="33"/>
        <v/>
      </c>
    </row>
    <row r="2160" spans="27:27" ht="15" customHeight="1" x14ac:dyDescent="0.25">
      <c r="AA2160" s="28" t="str">
        <f t="shared" si="33"/>
        <v/>
      </c>
    </row>
    <row r="2161" spans="27:27" ht="15" customHeight="1" x14ac:dyDescent="0.25">
      <c r="AA2161" s="28" t="str">
        <f t="shared" si="33"/>
        <v/>
      </c>
    </row>
    <row r="2162" spans="27:27" ht="15" customHeight="1" x14ac:dyDescent="0.25">
      <c r="AA2162" s="28" t="str">
        <f t="shared" si="33"/>
        <v/>
      </c>
    </row>
    <row r="2163" spans="27:27" ht="15" customHeight="1" x14ac:dyDescent="0.25">
      <c r="AA2163" s="28" t="str">
        <f t="shared" si="33"/>
        <v/>
      </c>
    </row>
    <row r="2164" spans="27:27" ht="15" customHeight="1" x14ac:dyDescent="0.25">
      <c r="AA2164" s="28" t="str">
        <f t="shared" si="33"/>
        <v/>
      </c>
    </row>
    <row r="2165" spans="27:27" ht="15" customHeight="1" x14ac:dyDescent="0.25">
      <c r="AA2165" s="28" t="str">
        <f t="shared" si="33"/>
        <v/>
      </c>
    </row>
    <row r="2166" spans="27:27" ht="15" customHeight="1" x14ac:dyDescent="0.25">
      <c r="AA2166" s="28" t="str">
        <f t="shared" si="33"/>
        <v/>
      </c>
    </row>
    <row r="2167" spans="27:27" ht="15" customHeight="1" x14ac:dyDescent="0.25">
      <c r="AA2167" s="28" t="str">
        <f t="shared" si="33"/>
        <v/>
      </c>
    </row>
    <row r="2168" spans="27:27" ht="15" customHeight="1" x14ac:dyDescent="0.25">
      <c r="AA2168" s="28" t="str">
        <f t="shared" si="33"/>
        <v/>
      </c>
    </row>
    <row r="2169" spans="27:27" ht="15" customHeight="1" x14ac:dyDescent="0.25">
      <c r="AA2169" s="28" t="str">
        <f t="shared" si="33"/>
        <v/>
      </c>
    </row>
    <row r="2170" spans="27:27" ht="15" customHeight="1" x14ac:dyDescent="0.25">
      <c r="AA2170" s="28" t="str">
        <f t="shared" si="33"/>
        <v/>
      </c>
    </row>
    <row r="2171" spans="27:27" ht="15" customHeight="1" x14ac:dyDescent="0.25">
      <c r="AA2171" s="28" t="str">
        <f t="shared" si="33"/>
        <v/>
      </c>
    </row>
    <row r="2172" spans="27:27" ht="15" customHeight="1" x14ac:dyDescent="0.25">
      <c r="AA2172" s="28" t="str">
        <f t="shared" si="33"/>
        <v/>
      </c>
    </row>
    <row r="2173" spans="27:27" ht="15" customHeight="1" x14ac:dyDescent="0.25">
      <c r="AA2173" s="28" t="str">
        <f t="shared" si="33"/>
        <v/>
      </c>
    </row>
    <row r="2174" spans="27:27" ht="15" customHeight="1" x14ac:dyDescent="0.25">
      <c r="AA2174" s="28" t="str">
        <f t="shared" si="33"/>
        <v/>
      </c>
    </row>
    <row r="2175" spans="27:27" ht="15" customHeight="1" x14ac:dyDescent="0.25">
      <c r="AA2175" s="28" t="str">
        <f t="shared" si="33"/>
        <v/>
      </c>
    </row>
    <row r="2176" spans="27:27" ht="15" customHeight="1" x14ac:dyDescent="0.25">
      <c r="AA2176" s="28" t="str">
        <f t="shared" si="33"/>
        <v/>
      </c>
    </row>
    <row r="2177" spans="27:27" ht="15" customHeight="1" x14ac:dyDescent="0.25">
      <c r="AA2177" s="28" t="str">
        <f t="shared" si="33"/>
        <v/>
      </c>
    </row>
    <row r="2178" spans="27:27" ht="15" customHeight="1" x14ac:dyDescent="0.25">
      <c r="AA2178" s="28" t="str">
        <f t="shared" si="33"/>
        <v/>
      </c>
    </row>
    <row r="2179" spans="27:27" ht="15" customHeight="1" x14ac:dyDescent="0.25">
      <c r="AA2179" s="28" t="str">
        <f t="shared" si="33"/>
        <v/>
      </c>
    </row>
    <row r="2180" spans="27:27" ht="15" customHeight="1" x14ac:dyDescent="0.25">
      <c r="AA2180" s="28" t="str">
        <f t="shared" si="33"/>
        <v/>
      </c>
    </row>
    <row r="2181" spans="27:27" ht="15" customHeight="1" x14ac:dyDescent="0.25">
      <c r="AA2181" s="28" t="str">
        <f t="shared" si="33"/>
        <v/>
      </c>
    </row>
    <row r="2182" spans="27:27" ht="15" customHeight="1" x14ac:dyDescent="0.25">
      <c r="AA2182" s="28" t="str">
        <f t="shared" si="33"/>
        <v/>
      </c>
    </row>
    <row r="2183" spans="27:27" ht="15" customHeight="1" x14ac:dyDescent="0.25">
      <c r="AA2183" s="28" t="str">
        <f t="shared" si="33"/>
        <v/>
      </c>
    </row>
    <row r="2184" spans="27:27" ht="15" customHeight="1" x14ac:dyDescent="0.25">
      <c r="AA2184" s="28" t="str">
        <f t="shared" ref="AA2184:AA2240" si="34">IFERROR(
IF(AND(X2184="Não",Y2184="Sim"),"REP",
IF(AND(X2184="Sim",Y2184="Não"),"Técnico",
IF(AND(X2184="Sim",Y2184="Sim"),"Ambos",""))),
"")</f>
        <v/>
      </c>
    </row>
    <row r="2185" spans="27:27" ht="15" customHeight="1" x14ac:dyDescent="0.25">
      <c r="AA2185" s="28" t="str">
        <f t="shared" si="34"/>
        <v/>
      </c>
    </row>
    <row r="2186" spans="27:27" ht="15" customHeight="1" x14ac:dyDescent="0.25">
      <c r="AA2186" s="28" t="str">
        <f t="shared" si="34"/>
        <v/>
      </c>
    </row>
    <row r="2187" spans="27:27" ht="15" customHeight="1" x14ac:dyDescent="0.25">
      <c r="AA2187" s="28" t="str">
        <f t="shared" si="34"/>
        <v/>
      </c>
    </row>
    <row r="2188" spans="27:27" ht="15" customHeight="1" x14ac:dyDescent="0.25">
      <c r="AA2188" s="28" t="str">
        <f t="shared" si="34"/>
        <v/>
      </c>
    </row>
    <row r="2189" spans="27:27" ht="15" customHeight="1" x14ac:dyDescent="0.25">
      <c r="AA2189" s="28" t="str">
        <f t="shared" si="34"/>
        <v/>
      </c>
    </row>
    <row r="2190" spans="27:27" ht="15" customHeight="1" x14ac:dyDescent="0.25">
      <c r="AA2190" s="28" t="str">
        <f t="shared" si="34"/>
        <v/>
      </c>
    </row>
    <row r="2191" spans="27:27" ht="15" customHeight="1" x14ac:dyDescent="0.25">
      <c r="AA2191" s="28" t="str">
        <f t="shared" si="34"/>
        <v/>
      </c>
    </row>
    <row r="2192" spans="27:27" ht="15" customHeight="1" x14ac:dyDescent="0.25">
      <c r="AA2192" s="28" t="str">
        <f t="shared" si="34"/>
        <v/>
      </c>
    </row>
    <row r="2193" spans="27:27" ht="15" customHeight="1" x14ac:dyDescent="0.25">
      <c r="AA2193" s="28" t="str">
        <f t="shared" si="34"/>
        <v/>
      </c>
    </row>
    <row r="2194" spans="27:27" ht="15" customHeight="1" x14ac:dyDescent="0.25">
      <c r="AA2194" s="28" t="str">
        <f t="shared" si="34"/>
        <v/>
      </c>
    </row>
    <row r="2195" spans="27:27" ht="15" customHeight="1" x14ac:dyDescent="0.25">
      <c r="AA2195" s="28" t="str">
        <f t="shared" si="34"/>
        <v/>
      </c>
    </row>
    <row r="2196" spans="27:27" ht="15" customHeight="1" x14ac:dyDescent="0.25">
      <c r="AA2196" s="28" t="str">
        <f t="shared" si="34"/>
        <v/>
      </c>
    </row>
    <row r="2197" spans="27:27" ht="15" customHeight="1" x14ac:dyDescent="0.25">
      <c r="AA2197" s="28" t="str">
        <f t="shared" si="34"/>
        <v/>
      </c>
    </row>
    <row r="2198" spans="27:27" ht="15" customHeight="1" x14ac:dyDescent="0.25">
      <c r="AA2198" s="28" t="str">
        <f t="shared" si="34"/>
        <v/>
      </c>
    </row>
    <row r="2199" spans="27:27" ht="15" customHeight="1" x14ac:dyDescent="0.25">
      <c r="AA2199" s="28" t="str">
        <f t="shared" si="34"/>
        <v/>
      </c>
    </row>
    <row r="2200" spans="27:27" ht="15" customHeight="1" x14ac:dyDescent="0.25">
      <c r="AA2200" s="28" t="str">
        <f t="shared" si="34"/>
        <v/>
      </c>
    </row>
    <row r="2201" spans="27:27" ht="15" customHeight="1" x14ac:dyDescent="0.25">
      <c r="AA2201" s="28" t="str">
        <f t="shared" si="34"/>
        <v/>
      </c>
    </row>
    <row r="2202" spans="27:27" ht="15" customHeight="1" x14ac:dyDescent="0.25">
      <c r="AA2202" s="28" t="str">
        <f t="shared" si="34"/>
        <v/>
      </c>
    </row>
    <row r="2203" spans="27:27" ht="15" customHeight="1" x14ac:dyDescent="0.25">
      <c r="AA2203" s="28" t="str">
        <f t="shared" si="34"/>
        <v/>
      </c>
    </row>
    <row r="2204" spans="27:27" ht="15" customHeight="1" x14ac:dyDescent="0.25">
      <c r="AA2204" s="28" t="str">
        <f t="shared" si="34"/>
        <v/>
      </c>
    </row>
    <row r="2205" spans="27:27" ht="15" customHeight="1" x14ac:dyDescent="0.25">
      <c r="AA2205" s="28" t="str">
        <f t="shared" si="34"/>
        <v/>
      </c>
    </row>
    <row r="2206" spans="27:27" ht="15" customHeight="1" x14ac:dyDescent="0.25">
      <c r="AA2206" s="28" t="str">
        <f t="shared" si="34"/>
        <v/>
      </c>
    </row>
    <row r="2207" spans="27:27" ht="15" customHeight="1" x14ac:dyDescent="0.25">
      <c r="AA2207" s="28" t="str">
        <f t="shared" si="34"/>
        <v/>
      </c>
    </row>
    <row r="2208" spans="27:27" ht="15" customHeight="1" x14ac:dyDescent="0.25">
      <c r="AA2208" s="28" t="str">
        <f t="shared" si="34"/>
        <v/>
      </c>
    </row>
    <row r="2209" spans="27:27" ht="15" customHeight="1" x14ac:dyDescent="0.25">
      <c r="AA2209" s="28" t="str">
        <f t="shared" si="34"/>
        <v/>
      </c>
    </row>
    <row r="2210" spans="27:27" ht="15" customHeight="1" x14ac:dyDescent="0.25">
      <c r="AA2210" s="28" t="str">
        <f t="shared" si="34"/>
        <v/>
      </c>
    </row>
    <row r="2211" spans="27:27" ht="15" customHeight="1" x14ac:dyDescent="0.25">
      <c r="AA2211" s="28" t="str">
        <f t="shared" si="34"/>
        <v/>
      </c>
    </row>
    <row r="2212" spans="27:27" ht="15" customHeight="1" x14ac:dyDescent="0.25">
      <c r="AA2212" s="28" t="str">
        <f t="shared" si="34"/>
        <v/>
      </c>
    </row>
    <row r="2213" spans="27:27" ht="15" customHeight="1" x14ac:dyDescent="0.25">
      <c r="AA2213" s="28" t="str">
        <f t="shared" si="34"/>
        <v/>
      </c>
    </row>
    <row r="2214" spans="27:27" ht="15" customHeight="1" x14ac:dyDescent="0.25">
      <c r="AA2214" s="28" t="str">
        <f t="shared" si="34"/>
        <v/>
      </c>
    </row>
    <row r="2215" spans="27:27" ht="15" customHeight="1" x14ac:dyDescent="0.25">
      <c r="AA2215" s="28" t="str">
        <f t="shared" si="34"/>
        <v/>
      </c>
    </row>
    <row r="2216" spans="27:27" ht="15" customHeight="1" x14ac:dyDescent="0.25">
      <c r="AA2216" s="28" t="str">
        <f t="shared" si="34"/>
        <v/>
      </c>
    </row>
    <row r="2217" spans="27:27" ht="15" customHeight="1" x14ac:dyDescent="0.25">
      <c r="AA2217" s="28" t="str">
        <f t="shared" si="34"/>
        <v/>
      </c>
    </row>
    <row r="2218" spans="27:27" ht="15" customHeight="1" x14ac:dyDescent="0.25">
      <c r="AA2218" s="28" t="str">
        <f t="shared" si="34"/>
        <v/>
      </c>
    </row>
    <row r="2219" spans="27:27" ht="15" customHeight="1" x14ac:dyDescent="0.25">
      <c r="AA2219" s="28" t="str">
        <f t="shared" si="34"/>
        <v/>
      </c>
    </row>
    <row r="2220" spans="27:27" ht="15" customHeight="1" x14ac:dyDescent="0.25">
      <c r="AA2220" s="28" t="str">
        <f t="shared" si="34"/>
        <v/>
      </c>
    </row>
    <row r="2221" spans="27:27" ht="15" customHeight="1" x14ac:dyDescent="0.25">
      <c r="AA2221" s="28" t="str">
        <f t="shared" si="34"/>
        <v/>
      </c>
    </row>
    <row r="2222" spans="27:27" ht="15" customHeight="1" x14ac:dyDescent="0.25">
      <c r="AA2222" s="28" t="str">
        <f t="shared" si="34"/>
        <v/>
      </c>
    </row>
    <row r="2223" spans="27:27" ht="15" customHeight="1" x14ac:dyDescent="0.25">
      <c r="AA2223" s="28" t="str">
        <f t="shared" si="34"/>
        <v/>
      </c>
    </row>
    <row r="2224" spans="27:27" ht="15" customHeight="1" x14ac:dyDescent="0.25">
      <c r="AA2224" s="28" t="str">
        <f t="shared" si="34"/>
        <v/>
      </c>
    </row>
    <row r="2225" spans="27:27" ht="15" customHeight="1" x14ac:dyDescent="0.25">
      <c r="AA2225" s="28" t="str">
        <f t="shared" si="34"/>
        <v/>
      </c>
    </row>
    <row r="2226" spans="27:27" ht="15" customHeight="1" x14ac:dyDescent="0.25">
      <c r="AA2226" s="28" t="str">
        <f t="shared" si="34"/>
        <v/>
      </c>
    </row>
    <row r="2227" spans="27:27" ht="15" customHeight="1" x14ac:dyDescent="0.25">
      <c r="AA2227" s="28" t="str">
        <f t="shared" si="34"/>
        <v/>
      </c>
    </row>
    <row r="2228" spans="27:27" ht="15" customHeight="1" x14ac:dyDescent="0.25">
      <c r="AA2228" s="28" t="str">
        <f t="shared" si="34"/>
        <v/>
      </c>
    </row>
    <row r="2229" spans="27:27" ht="15" customHeight="1" x14ac:dyDescent="0.25">
      <c r="AA2229" s="28" t="str">
        <f t="shared" si="34"/>
        <v/>
      </c>
    </row>
    <row r="2230" spans="27:27" ht="15" customHeight="1" x14ac:dyDescent="0.25">
      <c r="AA2230" s="28" t="str">
        <f t="shared" si="34"/>
        <v/>
      </c>
    </row>
    <row r="2231" spans="27:27" ht="15" customHeight="1" x14ac:dyDescent="0.25">
      <c r="AA2231" s="28" t="str">
        <f t="shared" si="34"/>
        <v/>
      </c>
    </row>
    <row r="2232" spans="27:27" ht="15" customHeight="1" x14ac:dyDescent="0.25">
      <c r="AA2232" s="28" t="str">
        <f t="shared" si="34"/>
        <v/>
      </c>
    </row>
    <row r="2233" spans="27:27" ht="15" customHeight="1" x14ac:dyDescent="0.25">
      <c r="AA2233" s="28" t="str">
        <f t="shared" si="34"/>
        <v/>
      </c>
    </row>
    <row r="2234" spans="27:27" ht="15" customHeight="1" x14ac:dyDescent="0.25">
      <c r="AA2234" s="28" t="str">
        <f t="shared" si="34"/>
        <v/>
      </c>
    </row>
    <row r="2235" spans="27:27" ht="15" customHeight="1" x14ac:dyDescent="0.25">
      <c r="AA2235" s="28" t="str">
        <f t="shared" si="34"/>
        <v/>
      </c>
    </row>
    <row r="2236" spans="27:27" ht="15" customHeight="1" x14ac:dyDescent="0.25">
      <c r="AA2236" s="28" t="str">
        <f t="shared" si="34"/>
        <v/>
      </c>
    </row>
    <row r="2237" spans="27:27" ht="15" customHeight="1" x14ac:dyDescent="0.25">
      <c r="AA2237" s="28" t="str">
        <f t="shared" si="34"/>
        <v/>
      </c>
    </row>
    <row r="2238" spans="27:27" ht="15" customHeight="1" x14ac:dyDescent="0.25">
      <c r="AA2238" s="28" t="str">
        <f t="shared" si="34"/>
        <v/>
      </c>
    </row>
    <row r="2239" spans="27:27" ht="15" customHeight="1" x14ac:dyDescent="0.25">
      <c r="AA2239" s="28" t="str">
        <f t="shared" si="34"/>
        <v/>
      </c>
    </row>
    <row r="2240" spans="27:27" ht="15" customHeight="1" x14ac:dyDescent="0.25">
      <c r="AA2240" s="28" t="str">
        <f t="shared" si="34"/>
        <v/>
      </c>
    </row>
    <row r="2244" spans="16:16" ht="15" customHeight="1" x14ac:dyDescent="0.25">
      <c r="P2244" s="28"/>
    </row>
  </sheetData>
  <autoFilter ref="A3:P2244" xr:uid="{A0C24CB1-15CA-44FA-8A6B-D4200D8C1BE0}"/>
  <pageMargins left="2.0833333333333333E-3" right="2.0833333333333333E-3" top="2.0833333333333333E-3" bottom="2.0833333333333333E-3" header="0" footer="0"/>
  <pageSetup paperSize="9" fitToWidth="0" fitToHeight="0" orientation="landscape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79D500-4F2C-4A2F-B02A-1C9E595F9700}">
  <sheetPr codeName="Planilha7"/>
  <dimension ref="B1:D13"/>
  <sheetViews>
    <sheetView zoomScaleNormal="100" workbookViewId="0">
      <selection activeCell="B6" sqref="B6"/>
    </sheetView>
  </sheetViews>
  <sheetFormatPr defaultRowHeight="18" customHeight="1" x14ac:dyDescent="0.25"/>
  <cols>
    <col min="1" max="1" width="3.42578125" style="39" customWidth="1"/>
    <col min="2" max="2" width="72.5703125" style="39" customWidth="1"/>
    <col min="3" max="4" width="9.140625" style="39"/>
    <col min="5" max="6" width="9.140625" style="39" customWidth="1"/>
    <col min="7" max="16384" width="9.140625" style="39"/>
  </cols>
  <sheetData>
    <row r="1" spans="2:4" ht="18" customHeight="1" x14ac:dyDescent="0.25">
      <c r="B1" s="40" t="s">
        <v>42</v>
      </c>
      <c r="C1" s="41">
        <v>2</v>
      </c>
      <c r="D1" s="42" t="s">
        <v>43</v>
      </c>
    </row>
    <row r="2" spans="2:4" s="43" customFormat="1" ht="18" customHeight="1" x14ac:dyDescent="0.25">
      <c r="B2" s="39"/>
      <c r="C2" s="39"/>
      <c r="D2" s="39"/>
    </row>
    <row r="3" spans="2:4" ht="18" customHeight="1" x14ac:dyDescent="0.25">
      <c r="B3" s="40" t="s">
        <v>44</v>
      </c>
    </row>
    <row r="4" spans="2:4" ht="18" customHeight="1" x14ac:dyDescent="0.25">
      <c r="B4" s="44" t="s">
        <v>55</v>
      </c>
    </row>
    <row r="6" spans="2:4" ht="18" customHeight="1" x14ac:dyDescent="0.25">
      <c r="B6" s="40" t="s">
        <v>45</v>
      </c>
    </row>
    <row r="7" spans="2:4" ht="18" customHeight="1" x14ac:dyDescent="0.25">
      <c r="B7" s="41" t="s">
        <v>46</v>
      </c>
    </row>
    <row r="9" spans="2:4" ht="18" customHeight="1" x14ac:dyDescent="0.25">
      <c r="B9" s="40" t="s">
        <v>57</v>
      </c>
    </row>
    <row r="10" spans="2:4" ht="18" customHeight="1" x14ac:dyDescent="0.25">
      <c r="B10" s="41">
        <v>6</v>
      </c>
    </row>
    <row r="12" spans="2:4" ht="18" customHeight="1" x14ac:dyDescent="0.25">
      <c r="B12" s="40" t="s">
        <v>58</v>
      </c>
    </row>
    <row r="13" spans="2:4" ht="18" customHeight="1" x14ac:dyDescent="0.25">
      <c r="B13" s="41">
        <v>2023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>
    <tabColor theme="5" tint="0.59999389629810485"/>
    <pageSetUpPr fitToPage="1"/>
  </sheetPr>
  <dimension ref="A1:AG2240"/>
  <sheetViews>
    <sheetView topLeftCell="J1" zoomScaleNormal="100" zoomScaleSheetLayoutView="50" workbookViewId="0">
      <selection activeCell="N3" sqref="N3"/>
    </sheetView>
  </sheetViews>
  <sheetFormatPr defaultRowHeight="14.25" x14ac:dyDescent="0.25"/>
  <cols>
    <col min="1" max="2" width="25.7109375" style="8" hidden="1" customWidth="1"/>
    <col min="3" max="3" width="30.5703125" style="8" hidden="1" customWidth="1"/>
    <col min="4" max="7" width="25.7109375" style="8" hidden="1" customWidth="1"/>
    <col min="8" max="8" width="13.28515625" style="8" hidden="1" customWidth="1"/>
    <col min="9" max="9" width="8.28515625" style="8" hidden="1" customWidth="1"/>
    <col min="10" max="10" width="8.28515625" style="51" customWidth="1"/>
    <col min="11" max="12" width="25.7109375" style="51" customWidth="1"/>
    <col min="13" max="13" width="5.7109375" style="51" customWidth="1"/>
    <col min="14" max="14" width="20.7109375" style="51" customWidth="1"/>
    <col min="15" max="15" width="9.85546875" style="8" hidden="1" customWidth="1"/>
    <col min="16" max="27" width="9.140625" style="51"/>
    <col min="28" max="28" width="9.140625" style="51" customWidth="1"/>
    <col min="29" max="29" width="10.7109375" style="70" hidden="1" customWidth="1"/>
    <col min="30" max="30" width="23.85546875" style="70" hidden="1" customWidth="1"/>
    <col min="31" max="31" width="9.140625" style="51" customWidth="1"/>
    <col min="32" max="16384" width="9.140625" style="51"/>
  </cols>
  <sheetData>
    <row r="1" spans="1:30" ht="45" customHeight="1" x14ac:dyDescent="0.25">
      <c r="A1" s="88" t="s">
        <v>4</v>
      </c>
      <c r="B1" s="88"/>
      <c r="C1" s="88"/>
      <c r="D1" s="88"/>
      <c r="E1" s="88"/>
      <c r="F1" s="88"/>
      <c r="G1" s="88"/>
      <c r="J1" s="46"/>
      <c r="K1" s="96" t="s">
        <v>928</v>
      </c>
      <c r="L1" s="97"/>
      <c r="M1" s="92" t="s">
        <v>929</v>
      </c>
      <c r="N1" s="93"/>
      <c r="AC1" s="67"/>
      <c r="AD1" s="67"/>
    </row>
    <row r="2" spans="1:30" ht="24.95" customHeight="1" x14ac:dyDescent="0.25">
      <c r="A2" s="6" t="s">
        <v>0</v>
      </c>
      <c r="B2" s="6" t="s">
        <v>1</v>
      </c>
      <c r="C2" s="6" t="s">
        <v>3</v>
      </c>
      <c r="D2" s="6" t="s">
        <v>40</v>
      </c>
      <c r="E2" s="6" t="s">
        <v>41</v>
      </c>
      <c r="F2" s="6" t="s">
        <v>2</v>
      </c>
      <c r="G2" s="6" t="s">
        <v>11</v>
      </c>
      <c r="J2" s="7"/>
      <c r="K2" s="45" t="s">
        <v>52</v>
      </c>
      <c r="L2" s="71">
        <f>SUM(L3:L4)</f>
        <v>125</v>
      </c>
      <c r="M2" s="94"/>
      <c r="N2" s="95"/>
      <c r="AC2" s="68"/>
      <c r="AD2" s="68"/>
    </row>
    <row r="3" spans="1:30" s="52" customFormat="1" ht="24.95" customHeight="1" x14ac:dyDescent="0.25">
      <c r="A3" s="14"/>
      <c r="B3" s="14"/>
      <c r="C3" s="14" t="s">
        <v>78</v>
      </c>
      <c r="D3" s="14" t="s">
        <v>156</v>
      </c>
      <c r="E3" s="14" t="s">
        <v>156</v>
      </c>
      <c r="F3" s="15" t="str">
        <f>IFERROR(IF(AND(D3="Não",E3="Sim"),"REP",
IF(AND(D3="Sim",E3="Não"),"Técnico",
IF(AND(D3="Sim",E3="Sim"),"Ambos",""))),"")</f>
        <v>Ambos</v>
      </c>
      <c r="G3" s="14"/>
      <c r="H3" s="16" t="s">
        <v>159</v>
      </c>
      <c r="I3" s="16">
        <f>COUNTIFS(F3:F501,"aMBOS")</f>
        <v>76</v>
      </c>
      <c r="J3" s="18"/>
      <c r="K3" s="19" t="s">
        <v>29</v>
      </c>
      <c r="L3" s="72">
        <f>IF(I15&lt;0,0,I15)</f>
        <v>41</v>
      </c>
      <c r="M3" s="20" t="s">
        <v>12</v>
      </c>
      <c r="N3" s="21">
        <f>IFERROR(SUM(L3/$L$2),"")</f>
        <v>0.32800000000000001</v>
      </c>
      <c r="O3" s="16"/>
      <c r="AC3" s="69"/>
      <c r="AD3" s="69"/>
    </row>
    <row r="4" spans="1:30" ht="24.95" customHeight="1" x14ac:dyDescent="0.25">
      <c r="A4" s="14"/>
      <c r="B4" s="14"/>
      <c r="C4" s="14" t="s">
        <v>82</v>
      </c>
      <c r="D4" s="14" t="s">
        <v>156</v>
      </c>
      <c r="E4" s="14" t="s">
        <v>157</v>
      </c>
      <c r="F4" s="15" t="str">
        <f t="shared" ref="F4:F66" si="0">IFERROR(IF(AND(D4="Não",E4="Sim"),"REP",
IF(AND(D4="Sim",E4="Não"),"Técnico",
IF(AND(D4="Sim",E4="Sim"),"Ambos",""))),"")</f>
        <v>Técnico</v>
      </c>
      <c r="G4" s="17"/>
      <c r="H4" s="8" t="s">
        <v>160</v>
      </c>
      <c r="I4" s="8">
        <f>ROUND(SUM(I3/2),0)</f>
        <v>38</v>
      </c>
      <c r="J4" s="7"/>
      <c r="K4" s="45" t="s">
        <v>30</v>
      </c>
      <c r="L4" s="73">
        <f>SUM(L5:L18)</f>
        <v>84</v>
      </c>
      <c r="M4" s="10" t="s">
        <v>12</v>
      </c>
      <c r="N4" s="21">
        <f>IFERROR(SUM(L4/$L$2),"")</f>
        <v>0.67200000000000004</v>
      </c>
    </row>
    <row r="5" spans="1:30" ht="24.95" customHeight="1" x14ac:dyDescent="0.25">
      <c r="A5" s="9"/>
      <c r="B5" s="14"/>
      <c r="C5" s="14" t="s">
        <v>78</v>
      </c>
      <c r="D5" s="14" t="s">
        <v>156</v>
      </c>
      <c r="E5" s="14" t="s">
        <v>156</v>
      </c>
      <c r="F5" s="15" t="str">
        <f t="shared" si="0"/>
        <v>Ambos</v>
      </c>
      <c r="G5" s="9"/>
      <c r="H5" s="8" t="s">
        <v>161</v>
      </c>
      <c r="I5" s="8">
        <f>K42</f>
        <v>16</v>
      </c>
      <c r="J5" s="89" t="s">
        <v>6</v>
      </c>
      <c r="K5" s="98" t="s">
        <v>47</v>
      </c>
      <c r="L5" s="74">
        <f>SUM(O5:O6)</f>
        <v>22</v>
      </c>
      <c r="M5" s="74" t="s">
        <v>13</v>
      </c>
      <c r="N5" s="76">
        <f>IFERROR(SUM(L5/$L$4),"")</f>
        <v>0.26190476190476192</v>
      </c>
      <c r="O5" s="66">
        <f>COUNTIFS($C$3:$C$501,"LAB. FIOS e CABOS",$F$3:$F$501,"Técnico")</f>
        <v>22</v>
      </c>
      <c r="AC5" s="70" t="str">
        <f>IF(AND(Sheet1!O5="SIM",Sheet1!P5="SIM"),"Sim","")</f>
        <v>Sim</v>
      </c>
      <c r="AD5" s="70" t="str">
        <f>IF(AC5="sim",Sheet1!I5,"")</f>
        <v>LAB. ELETRO-MECÂNICO</v>
      </c>
    </row>
    <row r="6" spans="1:30" ht="24.95" customHeight="1" x14ac:dyDescent="0.25">
      <c r="A6" s="9"/>
      <c r="B6" s="14"/>
      <c r="C6" s="14" t="s">
        <v>82</v>
      </c>
      <c r="D6" s="14" t="s">
        <v>156</v>
      </c>
      <c r="E6" s="14" t="s">
        <v>156</v>
      </c>
      <c r="F6" s="15" t="str">
        <f t="shared" si="0"/>
        <v>Ambos</v>
      </c>
      <c r="G6" s="9"/>
      <c r="H6" s="8" t="s">
        <v>162</v>
      </c>
      <c r="I6" s="8">
        <f>ROUND(SUM(I4-I5),0)</f>
        <v>22</v>
      </c>
      <c r="J6" s="90"/>
      <c r="K6" s="81"/>
      <c r="L6" s="75"/>
      <c r="M6" s="87"/>
      <c r="N6" s="77"/>
      <c r="O6" s="66">
        <f>IF(I8&lt;0,0,I8)</f>
        <v>0</v>
      </c>
      <c r="AC6" s="70" t="str">
        <f>IF(AND(Sheet1!O6="SIM",Sheet1!P6="SIM"),"Sim","")</f>
        <v/>
      </c>
      <c r="AD6" s="70" t="str">
        <f>IF(AC6="sim",Sheet1!I6,"")</f>
        <v/>
      </c>
    </row>
    <row r="7" spans="1:30" ht="24.95" customHeight="1" x14ac:dyDescent="0.25">
      <c r="A7" s="9"/>
      <c r="B7" s="14"/>
      <c r="C7" s="14" t="s">
        <v>78</v>
      </c>
      <c r="D7" s="14" t="s">
        <v>156</v>
      </c>
      <c r="E7" s="14" t="s">
        <v>156</v>
      </c>
      <c r="F7" s="15" t="str">
        <f t="shared" si="0"/>
        <v>Ambos</v>
      </c>
      <c r="G7" s="9"/>
      <c r="H7" s="8" t="s">
        <v>163</v>
      </c>
      <c r="J7" s="90"/>
      <c r="K7" s="80" t="s">
        <v>48</v>
      </c>
      <c r="L7" s="74">
        <f>SUM(O7:O8)</f>
        <v>21</v>
      </c>
      <c r="M7" s="74" t="s">
        <v>13</v>
      </c>
      <c r="N7" s="76">
        <f t="shared" ref="N7" si="1">IFERROR(SUM(L7/$L$4),"")</f>
        <v>0.25</v>
      </c>
      <c r="O7" s="66">
        <f>COUNTIFS($C$3:$C$501,"LAB. ELETRO-MECÂNICO",$F$3:$F$501,"Técnico")</f>
        <v>21</v>
      </c>
      <c r="AC7" s="70" t="str">
        <f>IF(AND(Sheet1!O7="SIM",Sheet1!P7="SIM"),"Sim","")</f>
        <v>Sim</v>
      </c>
      <c r="AD7" s="70" t="str">
        <f>IF(AC7="sim",Sheet1!I7,"")</f>
        <v>LAB. ELETRO-MECÂNICO</v>
      </c>
    </row>
    <row r="8" spans="1:30" ht="24.95" customHeight="1" x14ac:dyDescent="0.25">
      <c r="A8" s="9"/>
      <c r="B8" s="14"/>
      <c r="C8" s="14" t="s">
        <v>82</v>
      </c>
      <c r="D8" s="14" t="s">
        <v>156</v>
      </c>
      <c r="E8" s="14" t="s">
        <v>156</v>
      </c>
      <c r="F8" s="15" t="str">
        <f t="shared" si="0"/>
        <v>Ambos</v>
      </c>
      <c r="G8" s="9"/>
      <c r="H8" s="8" t="s">
        <v>164</v>
      </c>
      <c r="I8" s="8">
        <f>ROUND(COUNTIF(Atrasos!AD:AD,"LAB. FIOS e CABOS")/2-$I$5,0)</f>
        <v>-7</v>
      </c>
      <c r="J8" s="90"/>
      <c r="K8" s="81"/>
      <c r="L8" s="75"/>
      <c r="M8" s="87"/>
      <c r="N8" s="77"/>
      <c r="O8" s="66">
        <f>IF(I9&lt;0,0,I9)</f>
        <v>0</v>
      </c>
      <c r="AC8" s="70" t="str">
        <f>IF(AND(Sheet1!O8="SIM",Sheet1!P8="SIM"),"Sim","")</f>
        <v>Sim</v>
      </c>
      <c r="AD8" s="70" t="str">
        <f>IF(AC8="sim",Sheet1!I8,"")</f>
        <v>LAB. QUÍMICO</v>
      </c>
    </row>
    <row r="9" spans="1:30" ht="24.95" customHeight="1" x14ac:dyDescent="0.25">
      <c r="A9" s="14"/>
      <c r="B9" s="14"/>
      <c r="C9" s="14" t="s">
        <v>87</v>
      </c>
      <c r="D9" s="9" t="s">
        <v>157</v>
      </c>
      <c r="E9" s="14" t="s">
        <v>157</v>
      </c>
      <c r="F9" s="15" t="str">
        <f t="shared" si="0"/>
        <v/>
      </c>
      <c r="G9" s="9"/>
      <c r="H9" s="8" t="s">
        <v>165</v>
      </c>
      <c r="I9" s="8">
        <f>ROUND(COUNTIF(Atrasos!AD:AD,"LAB. ELETRO-MECÂNICO")/2-$I$5,0)</f>
        <v>-7</v>
      </c>
      <c r="J9" s="90"/>
      <c r="K9" s="80" t="s">
        <v>49</v>
      </c>
      <c r="L9" s="74">
        <f>SUM(O9:O10)</f>
        <v>15</v>
      </c>
      <c r="M9" s="74" t="s">
        <v>13</v>
      </c>
      <c r="N9" s="76">
        <f t="shared" ref="N9" si="2">IFERROR(SUM(L9/$L$4),"")</f>
        <v>0.17857142857142858</v>
      </c>
      <c r="O9" s="66">
        <f>COUNTIFS($C$3:$C$501,"LAB. QUÍMICO",$F$3:$F$501,"Técnico")</f>
        <v>15</v>
      </c>
      <c r="AC9" s="70" t="str">
        <f>IF(AND(Sheet1!O9="SIM",Sheet1!P9="SIM"),"Sim","")</f>
        <v>Sim</v>
      </c>
      <c r="AD9" s="70" t="str">
        <f>IF(AC9="sim",Sheet1!I9,"")</f>
        <v>LAB. ELETRO-MECÂNICO</v>
      </c>
    </row>
    <row r="10" spans="1:30" ht="24.95" customHeight="1" x14ac:dyDescent="0.25">
      <c r="A10" s="14"/>
      <c r="B10" s="14"/>
      <c r="C10" s="14" t="s">
        <v>78</v>
      </c>
      <c r="D10" s="9" t="s">
        <v>157</v>
      </c>
      <c r="E10" s="14" t="s">
        <v>156</v>
      </c>
      <c r="F10" s="15" t="str">
        <f t="shared" si="0"/>
        <v>REP</v>
      </c>
      <c r="G10" s="9"/>
      <c r="H10" s="8" t="s">
        <v>166</v>
      </c>
      <c r="I10" s="8">
        <f>ROUND(COUNTIF(Atrasos!AD:AD,"LAB. QUÍMICO")/2-$I$5,0)</f>
        <v>-7</v>
      </c>
      <c r="J10" s="90"/>
      <c r="K10" s="81"/>
      <c r="L10" s="75"/>
      <c r="M10" s="87"/>
      <c r="N10" s="77"/>
      <c r="O10" s="66">
        <f>IF(I10&lt;0,0,I10)</f>
        <v>0</v>
      </c>
      <c r="AC10" s="70" t="str">
        <f>IF(AND(Sheet1!O10="SIM",Sheet1!P10="SIM"),"Sim","")</f>
        <v>Sim</v>
      </c>
      <c r="AD10" s="70" t="str">
        <f>IF(AC10="sim",Sheet1!I10,"")</f>
        <v>LAB. QUÍMICO</v>
      </c>
    </row>
    <row r="11" spans="1:30" ht="24.95" customHeight="1" x14ac:dyDescent="0.25">
      <c r="A11" s="14"/>
      <c r="B11" s="14"/>
      <c r="C11" s="14" t="s">
        <v>78</v>
      </c>
      <c r="D11" s="9" t="s">
        <v>157</v>
      </c>
      <c r="E11" s="14" t="s">
        <v>156</v>
      </c>
      <c r="F11" s="15" t="str">
        <f t="shared" si="0"/>
        <v>REP</v>
      </c>
      <c r="G11" s="9"/>
      <c r="H11" s="8" t="s">
        <v>167</v>
      </c>
      <c r="I11" s="8">
        <f>ROUND(COUNTIF(Atrasos!AD:AD,"LAB. FOGO-DIV")/2-$I$5,0)</f>
        <v>-8</v>
      </c>
      <c r="J11" s="90"/>
      <c r="K11" s="80" t="s">
        <v>50</v>
      </c>
      <c r="L11" s="74">
        <f>SUM(O11:O12)</f>
        <v>22</v>
      </c>
      <c r="M11" s="74" t="s">
        <v>13</v>
      </c>
      <c r="N11" s="76">
        <f t="shared" ref="N11" si="3">IFERROR(SUM(L11/$L$4),"")</f>
        <v>0.26190476190476192</v>
      </c>
      <c r="O11" s="66">
        <f>COUNTIFS($C$3:$C$501,"LAB. FIOS e CABOS",$F$3:$F$501,"Técnico")</f>
        <v>22</v>
      </c>
      <c r="AC11" s="70" t="str">
        <f>IF(AND(Sheet1!O11="SIM",Sheet1!P11="SIM"),"Sim","")</f>
        <v/>
      </c>
      <c r="AD11" s="70" t="str">
        <f>IF(AC11="sim",Sheet1!I11,"")</f>
        <v/>
      </c>
    </row>
    <row r="12" spans="1:30" ht="24.95" customHeight="1" x14ac:dyDescent="0.25">
      <c r="A12" s="14"/>
      <c r="B12" s="14"/>
      <c r="C12" s="14" t="s">
        <v>78</v>
      </c>
      <c r="D12" s="9" t="s">
        <v>157</v>
      </c>
      <c r="E12" s="14" t="s">
        <v>157</v>
      </c>
      <c r="F12" s="15" t="str">
        <f t="shared" si="0"/>
        <v/>
      </c>
      <c r="G12" s="9"/>
      <c r="H12" s="8" t="s">
        <v>168</v>
      </c>
      <c r="I12" s="8">
        <f>ROUND(COUNTIF(Atrasos!AD:AD,"LAB. CONSTRUÇÃO CIVIL")/2-$I$5,0)</f>
        <v>-16</v>
      </c>
      <c r="J12" s="90"/>
      <c r="K12" s="81"/>
      <c r="L12" s="75"/>
      <c r="M12" s="87"/>
      <c r="N12" s="77"/>
      <c r="O12" s="66">
        <f>IF(I11&lt;0,0,I11)</f>
        <v>0</v>
      </c>
      <c r="AC12" s="70" t="str">
        <f>IF(AND(Sheet1!O12="SIM",Sheet1!P12="SIM"),"Sim","")</f>
        <v/>
      </c>
      <c r="AD12" s="70" t="str">
        <f>IF(AC12="sim",Sheet1!I12,"")</f>
        <v/>
      </c>
    </row>
    <row r="13" spans="1:30" ht="24.95" customHeight="1" x14ac:dyDescent="0.25">
      <c r="A13" s="14"/>
      <c r="B13" s="14"/>
      <c r="C13" s="14" t="s">
        <v>78</v>
      </c>
      <c r="D13" s="9" t="s">
        <v>157</v>
      </c>
      <c r="E13" s="14" t="s">
        <v>157</v>
      </c>
      <c r="F13" s="15" t="str">
        <f t="shared" si="0"/>
        <v/>
      </c>
      <c r="G13" s="9"/>
      <c r="H13" s="8" t="s">
        <v>169</v>
      </c>
      <c r="I13" s="8">
        <f>ROUND(COUNTIF(Atrasos!AD:AD,"LAB. PLUGUES e TOMADAS")/2-$I$5,0)</f>
        <v>-15</v>
      </c>
      <c r="J13" s="90"/>
      <c r="K13" s="80" t="s">
        <v>56</v>
      </c>
      <c r="L13" s="74">
        <f>SUM(O13:O14)</f>
        <v>0</v>
      </c>
      <c r="M13" s="74" t="s">
        <v>13</v>
      </c>
      <c r="N13" s="76">
        <f t="shared" ref="N13" si="4">IFERROR(SUM(L13/$L$4),"")</f>
        <v>0</v>
      </c>
      <c r="O13" s="66">
        <f>COUNTIFS($C$3:$C$501,"LAB. CONSTRUÇÃO CIVIL",$F$3:$F$501,"Técnico")</f>
        <v>0</v>
      </c>
      <c r="AC13" s="70" t="str">
        <f>IF(AND(Sheet1!O13="SIM",Sheet1!P13="SIM"),"Sim","")</f>
        <v/>
      </c>
      <c r="AD13" s="70" t="str">
        <f>IF(AC13="sim",Sheet1!I13,"")</f>
        <v/>
      </c>
    </row>
    <row r="14" spans="1:30" ht="24.95" customHeight="1" x14ac:dyDescent="0.25">
      <c r="A14" s="14"/>
      <c r="B14" s="14"/>
      <c r="C14" s="14" t="s">
        <v>78</v>
      </c>
      <c r="D14" s="9" t="s">
        <v>157</v>
      </c>
      <c r="E14" s="14" t="s">
        <v>157</v>
      </c>
      <c r="F14" s="15" t="str">
        <f t="shared" si="0"/>
        <v/>
      </c>
      <c r="G14" s="9"/>
      <c r="H14" s="8" t="s">
        <v>170</v>
      </c>
      <c r="I14" s="8">
        <f>ROUND(COUNTIF(Atrasos!AD:AD,"LAB. ELETRODOMÉSTICO")/2-$I$5,0)</f>
        <v>-16</v>
      </c>
      <c r="J14" s="90"/>
      <c r="K14" s="81"/>
      <c r="L14" s="75"/>
      <c r="M14" s="87"/>
      <c r="N14" s="77"/>
      <c r="O14" s="66">
        <f>IF(I12&lt;0,0,I12)</f>
        <v>0</v>
      </c>
      <c r="AC14" s="70" t="str">
        <f>IF(AND(Sheet1!O14="SIM",Sheet1!P14="SIM"),"Sim","")</f>
        <v/>
      </c>
      <c r="AD14" s="70" t="str">
        <f>IF(AC14="sim",Sheet1!I14,"")</f>
        <v/>
      </c>
    </row>
    <row r="15" spans="1:30" ht="24.95" customHeight="1" x14ac:dyDescent="0.25">
      <c r="A15" s="14"/>
      <c r="B15" s="14"/>
      <c r="C15" s="14" t="s">
        <v>78</v>
      </c>
      <c r="D15" s="9" t="s">
        <v>157</v>
      </c>
      <c r="E15" s="14" t="s">
        <v>157</v>
      </c>
      <c r="F15" s="15" t="str">
        <f t="shared" si="0"/>
        <v/>
      </c>
      <c r="G15" s="9"/>
      <c r="H15" s="8" t="s">
        <v>171</v>
      </c>
      <c r="I15" s="8">
        <f>ROUND(COUNTIFS(F3:F501,"Rep")+I6,0)</f>
        <v>41</v>
      </c>
      <c r="J15" s="90"/>
      <c r="K15" s="80" t="s">
        <v>51</v>
      </c>
      <c r="L15" s="74">
        <f>SUM(O15:O16)</f>
        <v>3</v>
      </c>
      <c r="M15" s="74" t="s">
        <v>13</v>
      </c>
      <c r="N15" s="76">
        <f t="shared" ref="N15" si="5">IFERROR(SUM(L15/$L$4),"")</f>
        <v>3.5714285714285712E-2</v>
      </c>
      <c r="O15" s="66">
        <f>COUNTIFS($C$3:$C$501,"LAB. PLUGUES e TOMADAS",$F$3:$F$501,"Técnico")</f>
        <v>3</v>
      </c>
      <c r="AC15" s="70" t="str">
        <f>IF(AND(Sheet1!O15="SIM",Sheet1!P15="SIM"),"Sim","")</f>
        <v/>
      </c>
      <c r="AD15" s="70" t="str">
        <f>IF(AC15="sim",Sheet1!I15,"")</f>
        <v/>
      </c>
    </row>
    <row r="16" spans="1:30" ht="24.95" customHeight="1" x14ac:dyDescent="0.25">
      <c r="A16" s="14"/>
      <c r="B16" s="14"/>
      <c r="C16" s="14" t="s">
        <v>78</v>
      </c>
      <c r="D16" s="9" t="s">
        <v>157</v>
      </c>
      <c r="E16" s="14" t="s">
        <v>157</v>
      </c>
      <c r="F16" s="15" t="str">
        <f t="shared" si="0"/>
        <v/>
      </c>
      <c r="G16" s="9"/>
      <c r="J16" s="90"/>
      <c r="K16" s="81"/>
      <c r="L16" s="75"/>
      <c r="M16" s="87"/>
      <c r="N16" s="77"/>
      <c r="O16" s="66">
        <f>IF(I13&lt;0,0,I13)</f>
        <v>0</v>
      </c>
      <c r="AC16" s="70" t="str">
        <f>IF(AND(Sheet1!O16="SIM",Sheet1!P16="SIM"),"Sim","")</f>
        <v/>
      </c>
      <c r="AD16" s="70" t="str">
        <f>IF(AC16="sim",Sheet1!I16,"")</f>
        <v/>
      </c>
    </row>
    <row r="17" spans="1:33" ht="24.95" customHeight="1" x14ac:dyDescent="0.25">
      <c r="A17" s="14"/>
      <c r="B17" s="14"/>
      <c r="C17" s="14" t="s">
        <v>78</v>
      </c>
      <c r="D17" s="9" t="s">
        <v>157</v>
      </c>
      <c r="E17" s="14" t="s">
        <v>157</v>
      </c>
      <c r="F17" s="15" t="str">
        <f t="shared" si="0"/>
        <v/>
      </c>
      <c r="G17" s="9"/>
      <c r="J17" s="90"/>
      <c r="K17" s="80" t="s">
        <v>53</v>
      </c>
      <c r="L17" s="74">
        <f>SUM(O17:O18)</f>
        <v>1</v>
      </c>
      <c r="M17" s="74" t="s">
        <v>13</v>
      </c>
      <c r="N17" s="76">
        <f t="shared" ref="N17" si="6">IFERROR(SUM(L17/$L$4),"")</f>
        <v>1.1904761904761904E-2</v>
      </c>
      <c r="O17" s="66">
        <f>COUNTIFS($C$3:$C$501,"LAB. ELETRODOMÉSTICO",$F$3:$F$501,"Técnico")</f>
        <v>1</v>
      </c>
      <c r="AC17" s="70" t="str">
        <f>IF(AND(Sheet1!O17="SIM",Sheet1!P17="SIM"),"Sim","")</f>
        <v/>
      </c>
      <c r="AD17" s="70" t="str">
        <f>IF(AC17="sim",Sheet1!I17,"")</f>
        <v/>
      </c>
    </row>
    <row r="18" spans="1:33" ht="24.95" customHeight="1" x14ac:dyDescent="0.25">
      <c r="A18" s="14"/>
      <c r="B18" s="14"/>
      <c r="C18" s="14" t="s">
        <v>78</v>
      </c>
      <c r="D18" s="9" t="s">
        <v>157</v>
      </c>
      <c r="E18" s="14" t="s">
        <v>157</v>
      </c>
      <c r="F18" s="15" t="str">
        <f t="shared" si="0"/>
        <v/>
      </c>
      <c r="G18" s="9"/>
      <c r="J18" s="91"/>
      <c r="K18" s="81"/>
      <c r="L18" s="75"/>
      <c r="M18" s="75"/>
      <c r="N18" s="77"/>
      <c r="O18" s="66">
        <f>IF(I14&lt;0,0,I14)</f>
        <v>0</v>
      </c>
      <c r="AC18" s="70" t="str">
        <f>IF(AND(Sheet1!O18="SIM",Sheet1!P18="SIM"),"Sim","")</f>
        <v/>
      </c>
      <c r="AD18" s="70" t="str">
        <f>IF(AC18="sim",Sheet1!I18,"")</f>
        <v/>
      </c>
    </row>
    <row r="19" spans="1:33" s="52" customFormat="1" ht="24.95" customHeight="1" x14ac:dyDescent="0.25">
      <c r="A19" s="14"/>
      <c r="B19" s="14"/>
      <c r="C19" s="14" t="s">
        <v>78</v>
      </c>
      <c r="D19" s="9" t="s">
        <v>157</v>
      </c>
      <c r="E19" s="14" t="s">
        <v>157</v>
      </c>
      <c r="F19" s="15" t="str">
        <f t="shared" si="0"/>
        <v/>
      </c>
      <c r="G19" s="14"/>
      <c r="H19" s="8"/>
      <c r="I19" s="8"/>
      <c r="J19" s="85" t="s">
        <v>14</v>
      </c>
      <c r="K19" s="85"/>
      <c r="L19" s="85"/>
      <c r="M19" s="85"/>
      <c r="N19" s="85"/>
      <c r="O19" s="8"/>
      <c r="P19" s="51"/>
      <c r="Q19" s="51"/>
      <c r="R19" s="51"/>
      <c r="S19" s="51"/>
      <c r="T19" s="51"/>
      <c r="U19" s="51"/>
      <c r="V19" s="51"/>
      <c r="W19" s="51"/>
      <c r="X19" s="51"/>
      <c r="Y19" s="51"/>
      <c r="Z19" s="51"/>
      <c r="AA19" s="51"/>
      <c r="AB19" s="51"/>
      <c r="AC19" s="70" t="str">
        <f>IF(AND(Sheet1!O19="SIM",Sheet1!P19="SIM"),"Sim","")</f>
        <v/>
      </c>
      <c r="AD19" s="70" t="str">
        <f>IF(AC19="sim",Sheet1!I19,"")</f>
        <v/>
      </c>
      <c r="AE19" s="51"/>
      <c r="AF19" s="51"/>
      <c r="AG19" s="51"/>
    </row>
    <row r="20" spans="1:33" ht="24.95" customHeight="1" x14ac:dyDescent="0.25">
      <c r="A20" s="14"/>
      <c r="B20" s="14"/>
      <c r="C20" s="14" t="s">
        <v>78</v>
      </c>
      <c r="D20" s="9" t="s">
        <v>157</v>
      </c>
      <c r="E20" s="14" t="s">
        <v>157</v>
      </c>
      <c r="F20" s="15" t="str">
        <f t="shared" si="0"/>
        <v/>
      </c>
      <c r="G20" s="9"/>
      <c r="J20" s="86" t="s">
        <v>15</v>
      </c>
      <c r="K20" s="86"/>
      <c r="L20" s="86"/>
      <c r="M20" s="86"/>
      <c r="N20" s="86"/>
      <c r="AC20" s="70" t="str">
        <f>IF(AND(Sheet1!O20="SIM",Sheet1!P20="SIM"),"Sim","")</f>
        <v/>
      </c>
      <c r="AD20" s="70" t="str">
        <f>IF(AC20="sim",Sheet1!I20,"")</f>
        <v/>
      </c>
    </row>
    <row r="21" spans="1:33" ht="24.95" customHeight="1" x14ac:dyDescent="0.25">
      <c r="A21" s="14"/>
      <c r="B21" s="14"/>
      <c r="C21" s="14" t="s">
        <v>78</v>
      </c>
      <c r="D21" s="9" t="s">
        <v>157</v>
      </c>
      <c r="E21" s="14" t="s">
        <v>157</v>
      </c>
      <c r="F21" s="15" t="str">
        <f t="shared" si="0"/>
        <v/>
      </c>
      <c r="G21" s="9"/>
      <c r="H21" s="16"/>
      <c r="I21" s="16"/>
      <c r="J21" s="52"/>
      <c r="K21" s="52"/>
      <c r="L21" s="52"/>
      <c r="M21" s="52"/>
      <c r="N21" s="52"/>
      <c r="O21" s="16"/>
      <c r="P21" s="52"/>
      <c r="Q21" s="52"/>
      <c r="R21" s="52"/>
      <c r="S21" s="52"/>
      <c r="T21" s="52"/>
      <c r="U21" s="52"/>
      <c r="V21" s="52"/>
      <c r="W21" s="52"/>
      <c r="X21" s="52"/>
      <c r="Y21" s="52"/>
      <c r="Z21" s="52"/>
      <c r="AA21" s="52"/>
      <c r="AB21" s="52"/>
      <c r="AC21" s="70" t="str">
        <f>IF(AND(Sheet1!O21="SIM",Sheet1!P21="SIM"),"Sim","")</f>
        <v/>
      </c>
      <c r="AD21" s="70" t="str">
        <f>IF(AC21="sim",Sheet1!I21,"")</f>
        <v/>
      </c>
      <c r="AE21" s="52"/>
      <c r="AF21" s="52"/>
      <c r="AG21" s="52"/>
    </row>
    <row r="22" spans="1:33" ht="24.95" customHeight="1" x14ac:dyDescent="0.25">
      <c r="A22" s="14"/>
      <c r="B22" s="14"/>
      <c r="C22" s="14" t="s">
        <v>78</v>
      </c>
      <c r="D22" s="9" t="s">
        <v>157</v>
      </c>
      <c r="E22" s="14" t="s">
        <v>157</v>
      </c>
      <c r="F22" s="15" t="str">
        <f t="shared" si="0"/>
        <v/>
      </c>
      <c r="G22" s="9"/>
      <c r="AC22" s="70" t="str">
        <f>IF(AND(Sheet1!O22="SIM",Sheet1!P22="SIM"),"Sim","")</f>
        <v/>
      </c>
      <c r="AD22" s="70" t="str">
        <f>IF(AC22="sim",Sheet1!I22,"")</f>
        <v/>
      </c>
    </row>
    <row r="23" spans="1:33" ht="24.95" customHeight="1" x14ac:dyDescent="0.25">
      <c r="A23" s="14"/>
      <c r="B23" s="14"/>
      <c r="C23" s="14" t="s">
        <v>78</v>
      </c>
      <c r="D23" s="14" t="s">
        <v>157</v>
      </c>
      <c r="E23" s="14" t="s">
        <v>157</v>
      </c>
      <c r="F23" s="15" t="str">
        <f t="shared" si="0"/>
        <v/>
      </c>
      <c r="G23" s="14"/>
      <c r="AC23" s="70" t="str">
        <f>IF(AND(Sheet1!O23="SIM",Sheet1!P23="SIM"),"Sim","")</f>
        <v/>
      </c>
      <c r="AD23" s="70" t="str">
        <f>IF(AC23="sim",Sheet1!I23,"")</f>
        <v/>
      </c>
    </row>
    <row r="24" spans="1:33" ht="24" customHeight="1" x14ac:dyDescent="0.25">
      <c r="A24" s="14"/>
      <c r="B24" s="14"/>
      <c r="C24" s="14" t="s">
        <v>78</v>
      </c>
      <c r="D24" s="14" t="s">
        <v>157</v>
      </c>
      <c r="E24" s="14" t="s">
        <v>157</v>
      </c>
      <c r="F24" s="15" t="str">
        <f t="shared" si="0"/>
        <v/>
      </c>
      <c r="G24" s="14"/>
      <c r="AC24" s="70" t="str">
        <f>IF(AND(Sheet1!O24="SIM",Sheet1!P24="SIM"),"Sim","")</f>
        <v/>
      </c>
      <c r="AD24" s="70" t="str">
        <f>IF(AC24="sim",Sheet1!I24,"")</f>
        <v/>
      </c>
    </row>
    <row r="25" spans="1:33" ht="24.95" customHeight="1" x14ac:dyDescent="0.25">
      <c r="A25" s="14"/>
      <c r="B25" s="14"/>
      <c r="C25" s="14" t="s">
        <v>78</v>
      </c>
      <c r="D25" s="14" t="s">
        <v>157</v>
      </c>
      <c r="E25" s="14" t="s">
        <v>157</v>
      </c>
      <c r="F25" s="15" t="str">
        <f t="shared" si="0"/>
        <v/>
      </c>
      <c r="G25" s="22"/>
      <c r="AC25" s="70" t="str">
        <f>IF(AND(Sheet1!O25="SIM",Sheet1!P25="SIM"),"Sim","")</f>
        <v/>
      </c>
      <c r="AD25" s="70" t="str">
        <f>IF(AC25="sim",Sheet1!I25,"")</f>
        <v/>
      </c>
    </row>
    <row r="26" spans="1:33" ht="24.95" customHeight="1" x14ac:dyDescent="0.25">
      <c r="A26" s="14"/>
      <c r="B26" s="14"/>
      <c r="C26" s="14" t="s">
        <v>78</v>
      </c>
      <c r="D26" s="14" t="s">
        <v>157</v>
      </c>
      <c r="E26" s="14" t="s">
        <v>157</v>
      </c>
      <c r="F26" s="15" t="str">
        <f t="shared" si="0"/>
        <v/>
      </c>
      <c r="G26" s="14"/>
      <c r="AC26" s="70" t="str">
        <f>IF(AND(Sheet1!O26="SIM",Sheet1!P26="SIM"),"Sim","")</f>
        <v/>
      </c>
      <c r="AD26" s="70" t="str">
        <f>IF(AC26="sim",Sheet1!I26,"")</f>
        <v/>
      </c>
    </row>
    <row r="27" spans="1:33" ht="24.95" customHeight="1" x14ac:dyDescent="0.25">
      <c r="A27" s="14"/>
      <c r="B27" s="14"/>
      <c r="C27" s="14" t="s">
        <v>78</v>
      </c>
      <c r="D27" s="14" t="s">
        <v>157</v>
      </c>
      <c r="E27" s="14" t="s">
        <v>157</v>
      </c>
      <c r="F27" s="15" t="str">
        <f t="shared" si="0"/>
        <v/>
      </c>
      <c r="G27" s="22"/>
      <c r="AC27" s="70" t="str">
        <f>IF(AND(Sheet1!O27="SIM",Sheet1!P27="SIM"),"Sim","")</f>
        <v/>
      </c>
      <c r="AD27" s="70" t="str">
        <f>IF(AC27="sim",Sheet1!I27,"")</f>
        <v/>
      </c>
    </row>
    <row r="28" spans="1:33" ht="24.95" customHeight="1" x14ac:dyDescent="0.25">
      <c r="A28" s="14"/>
      <c r="B28" s="14"/>
      <c r="C28" s="14" t="s">
        <v>78</v>
      </c>
      <c r="D28" s="14" t="s">
        <v>157</v>
      </c>
      <c r="E28" s="14" t="s">
        <v>157</v>
      </c>
      <c r="F28" s="15" t="str">
        <f t="shared" si="0"/>
        <v/>
      </c>
      <c r="G28" s="22"/>
      <c r="AC28" s="70" t="str">
        <f>IF(AND(Sheet1!O28="SIM",Sheet1!P28="SIM"),"Sim","")</f>
        <v/>
      </c>
      <c r="AD28" s="70" t="str">
        <f>IF(AC28="sim",Sheet1!I28,"")</f>
        <v/>
      </c>
    </row>
    <row r="29" spans="1:33" ht="24.95" customHeight="1" x14ac:dyDescent="0.25">
      <c r="A29" s="14"/>
      <c r="B29" s="14"/>
      <c r="C29" s="14" t="s">
        <v>78</v>
      </c>
      <c r="D29" s="14" t="s">
        <v>157</v>
      </c>
      <c r="E29" s="14" t="s">
        <v>157</v>
      </c>
      <c r="F29" s="15" t="str">
        <f t="shared" si="0"/>
        <v/>
      </c>
      <c r="G29" s="9"/>
      <c r="AC29" s="70" t="str">
        <f>IF(AND(Sheet1!O29="SIM",Sheet1!P29="SIM"),"Sim","")</f>
        <v/>
      </c>
      <c r="AD29" s="70" t="str">
        <f>IF(AC29="sim",Sheet1!I29,"")</f>
        <v/>
      </c>
    </row>
    <row r="30" spans="1:33" ht="24.95" customHeight="1" x14ac:dyDescent="0.25">
      <c r="A30" s="14"/>
      <c r="B30" s="14"/>
      <c r="C30" s="14" t="s">
        <v>78</v>
      </c>
      <c r="D30" s="14" t="s">
        <v>157</v>
      </c>
      <c r="E30" s="14" t="s">
        <v>157</v>
      </c>
      <c r="F30" s="15" t="str">
        <f t="shared" si="0"/>
        <v/>
      </c>
      <c r="G30" s="9"/>
      <c r="AC30" s="70" t="str">
        <f>IF(AND(Sheet1!O30="SIM",Sheet1!P30="SIM"),"Sim","")</f>
        <v/>
      </c>
      <c r="AD30" s="70" t="str">
        <f>IF(AC30="sim",Sheet1!I30,"")</f>
        <v/>
      </c>
    </row>
    <row r="31" spans="1:33" ht="24.95" customHeight="1" x14ac:dyDescent="0.25">
      <c r="A31" s="14"/>
      <c r="B31" s="14"/>
      <c r="C31" s="14" t="s">
        <v>78</v>
      </c>
      <c r="D31" s="14" t="s">
        <v>157</v>
      </c>
      <c r="E31" s="14" t="s">
        <v>157</v>
      </c>
      <c r="F31" s="15" t="str">
        <f t="shared" si="0"/>
        <v/>
      </c>
      <c r="G31" s="9"/>
      <c r="AC31" s="70" t="str">
        <f>IF(AND(Sheet1!O31="SIM",Sheet1!P31="SIM"),"Sim","")</f>
        <v/>
      </c>
      <c r="AD31" s="70" t="str">
        <f>IF(AC31="sim",Sheet1!I31,"")</f>
        <v/>
      </c>
    </row>
    <row r="32" spans="1:33" ht="24.95" customHeight="1" x14ac:dyDescent="0.25">
      <c r="A32" s="14"/>
      <c r="B32" s="14"/>
      <c r="C32" s="14" t="s">
        <v>82</v>
      </c>
      <c r="D32" s="14" t="s">
        <v>156</v>
      </c>
      <c r="E32" s="14" t="s">
        <v>157</v>
      </c>
      <c r="F32" s="15" t="str">
        <f t="shared" si="0"/>
        <v>Técnico</v>
      </c>
      <c r="G32" s="9"/>
      <c r="AC32" s="70" t="str">
        <f>IF(AND(Sheet1!O32="SIM",Sheet1!P32="SIM"),"Sim","")</f>
        <v/>
      </c>
      <c r="AD32" s="70" t="str">
        <f>IF(AC32="sim",Sheet1!I32,"")</f>
        <v/>
      </c>
    </row>
    <row r="33" spans="1:33" s="52" customFormat="1" ht="24.95" customHeight="1" x14ac:dyDescent="0.25">
      <c r="A33" s="14"/>
      <c r="B33" s="14"/>
      <c r="C33" s="14" t="s">
        <v>82</v>
      </c>
      <c r="D33" s="14" t="s">
        <v>157</v>
      </c>
      <c r="E33" s="14" t="s">
        <v>157</v>
      </c>
      <c r="F33" s="15" t="str">
        <f t="shared" si="0"/>
        <v/>
      </c>
      <c r="G33" s="14"/>
      <c r="H33" s="8"/>
      <c r="I33" s="8"/>
      <c r="J33" s="51"/>
      <c r="K33" s="51"/>
      <c r="L33" s="51"/>
      <c r="M33" s="51"/>
      <c r="N33" s="51"/>
      <c r="O33" s="8"/>
      <c r="P33" s="51"/>
      <c r="Q33" s="51"/>
      <c r="R33" s="51"/>
      <c r="S33" s="51"/>
      <c r="T33" s="51"/>
      <c r="U33" s="51"/>
      <c r="V33" s="51"/>
      <c r="W33" s="51"/>
      <c r="X33" s="51"/>
      <c r="Y33" s="51"/>
      <c r="Z33" s="51"/>
      <c r="AA33" s="51"/>
      <c r="AB33" s="51"/>
      <c r="AC33" s="70" t="str">
        <f>IF(AND(Sheet1!O33="SIM",Sheet1!P33="SIM"),"Sim","")</f>
        <v/>
      </c>
      <c r="AD33" s="70" t="str">
        <f>IF(AC33="sim",Sheet1!I33,"")</f>
        <v/>
      </c>
      <c r="AE33" s="51"/>
      <c r="AF33" s="51"/>
      <c r="AG33" s="51"/>
    </row>
    <row r="34" spans="1:33" s="52" customFormat="1" ht="24.95" customHeight="1" x14ac:dyDescent="0.25">
      <c r="A34" s="14"/>
      <c r="B34" s="14"/>
      <c r="C34" s="14" t="s">
        <v>82</v>
      </c>
      <c r="D34" s="14" t="s">
        <v>157</v>
      </c>
      <c r="E34" s="14" t="s">
        <v>157</v>
      </c>
      <c r="F34" s="15" t="str">
        <f t="shared" si="0"/>
        <v/>
      </c>
      <c r="G34" s="14"/>
      <c r="H34" s="8"/>
      <c r="I34" s="8"/>
      <c r="J34" s="51"/>
      <c r="K34" s="51"/>
      <c r="L34" s="51"/>
      <c r="M34" s="51"/>
      <c r="N34" s="51"/>
      <c r="O34" s="8"/>
      <c r="P34" s="51"/>
      <c r="Q34" s="51"/>
      <c r="R34" s="51"/>
      <c r="S34" s="51"/>
      <c r="T34" s="51"/>
      <c r="U34" s="51"/>
      <c r="V34" s="51"/>
      <c r="W34" s="51"/>
      <c r="X34" s="51"/>
      <c r="Y34" s="51"/>
      <c r="Z34" s="51"/>
      <c r="AA34" s="51"/>
      <c r="AB34" s="51"/>
      <c r="AC34" s="70" t="str">
        <f>IF(AND(Sheet1!O34="SIM",Sheet1!P34="SIM"),"Sim","")</f>
        <v/>
      </c>
      <c r="AD34" s="70" t="str">
        <f>IF(AC34="sim",Sheet1!I34,"")</f>
        <v/>
      </c>
      <c r="AE34" s="51"/>
      <c r="AF34" s="51"/>
      <c r="AG34" s="51"/>
    </row>
    <row r="35" spans="1:33" ht="24.95" customHeight="1" x14ac:dyDescent="0.25">
      <c r="A35" s="14"/>
      <c r="B35" s="14"/>
      <c r="C35" s="14" t="s">
        <v>94</v>
      </c>
      <c r="D35" s="14" t="s">
        <v>156</v>
      </c>
      <c r="E35" s="14" t="s">
        <v>156</v>
      </c>
      <c r="F35" s="15" t="str">
        <f t="shared" si="0"/>
        <v>Ambos</v>
      </c>
      <c r="G35" s="9"/>
      <c r="H35" s="16"/>
      <c r="I35" s="16"/>
      <c r="J35" s="52"/>
      <c r="K35" s="52"/>
      <c r="L35" s="52"/>
      <c r="M35" s="52"/>
      <c r="N35" s="52"/>
      <c r="O35" s="16"/>
      <c r="P35" s="52"/>
      <c r="Q35" s="52"/>
      <c r="R35" s="52"/>
      <c r="S35" s="52"/>
      <c r="T35" s="52"/>
      <c r="U35" s="52"/>
      <c r="V35" s="52"/>
      <c r="W35" s="52"/>
      <c r="X35" s="52"/>
      <c r="Y35" s="52"/>
      <c r="Z35" s="52"/>
      <c r="AA35" s="52"/>
      <c r="AB35" s="52"/>
      <c r="AC35" s="70" t="str">
        <f>IF(AND(Sheet1!O35="SIM",Sheet1!P35="SIM"),"Sim","")</f>
        <v/>
      </c>
      <c r="AD35" s="70" t="str">
        <f>IF(AC35="sim",Sheet1!I35,"")</f>
        <v/>
      </c>
      <c r="AE35" s="52"/>
      <c r="AF35" s="52"/>
      <c r="AG35" s="52"/>
    </row>
    <row r="36" spans="1:33" s="52" customFormat="1" ht="24.95" customHeight="1" x14ac:dyDescent="0.25">
      <c r="A36" s="14"/>
      <c r="B36" s="14"/>
      <c r="C36" s="14" t="s">
        <v>87</v>
      </c>
      <c r="D36" s="14" t="s">
        <v>156</v>
      </c>
      <c r="E36" s="14" t="s">
        <v>156</v>
      </c>
      <c r="F36" s="15" t="str">
        <f t="shared" si="0"/>
        <v>Ambos</v>
      </c>
      <c r="G36" s="14"/>
      <c r="H36" s="16"/>
      <c r="I36" s="16"/>
      <c r="O36" s="16"/>
      <c r="AC36" s="70" t="str">
        <f>IF(AND(Sheet1!O36="SIM",Sheet1!P36="SIM"),"Sim","")</f>
        <v/>
      </c>
      <c r="AD36" s="70" t="str">
        <f>IF(AC36="sim",Sheet1!I36,"")</f>
        <v/>
      </c>
    </row>
    <row r="37" spans="1:33" s="52" customFormat="1" ht="24.95" customHeight="1" x14ac:dyDescent="0.25">
      <c r="A37" s="14"/>
      <c r="B37" s="14"/>
      <c r="C37" s="14" t="s">
        <v>82</v>
      </c>
      <c r="D37" s="14" t="s">
        <v>156</v>
      </c>
      <c r="E37" s="14" t="s">
        <v>156</v>
      </c>
      <c r="F37" s="15" t="str">
        <f t="shared" si="0"/>
        <v>Ambos</v>
      </c>
      <c r="G37" s="14"/>
      <c r="H37" s="8"/>
      <c r="I37" s="8"/>
      <c r="J37" s="51"/>
      <c r="K37" s="51"/>
      <c r="L37" s="51"/>
      <c r="M37" s="51"/>
      <c r="N37" s="51"/>
      <c r="O37" s="8"/>
      <c r="P37" s="51"/>
      <c r="Q37" s="51"/>
      <c r="R37" s="51"/>
      <c r="S37" s="51"/>
      <c r="T37" s="51"/>
      <c r="U37" s="51"/>
      <c r="V37" s="51"/>
      <c r="W37" s="51"/>
      <c r="X37" s="51"/>
      <c r="Y37" s="51"/>
      <c r="Z37" s="51"/>
      <c r="AA37" s="51"/>
      <c r="AB37" s="51"/>
      <c r="AC37" s="70" t="str">
        <f>IF(AND(Sheet1!O37="SIM",Sheet1!P37="SIM"),"Sim","")</f>
        <v>Sim</v>
      </c>
      <c r="AD37" s="70" t="str">
        <f>IF(AC37="sim",Sheet1!I37,"")</f>
        <v>LAB. FOGO-DIV</v>
      </c>
      <c r="AE37" s="51"/>
      <c r="AF37" s="51"/>
      <c r="AG37" s="51"/>
    </row>
    <row r="38" spans="1:33" s="52" customFormat="1" ht="24.95" customHeight="1" x14ac:dyDescent="0.25">
      <c r="A38" s="14"/>
      <c r="B38" s="14"/>
      <c r="C38" s="14" t="s">
        <v>78</v>
      </c>
      <c r="D38" s="14" t="s">
        <v>157</v>
      </c>
      <c r="E38" s="14" t="s">
        <v>157</v>
      </c>
      <c r="F38" s="15" t="str">
        <f t="shared" si="0"/>
        <v/>
      </c>
      <c r="G38" s="14"/>
      <c r="H38" s="16"/>
      <c r="I38" s="16"/>
      <c r="O38" s="16"/>
      <c r="AC38" s="70" t="str">
        <f>IF(AND(Sheet1!O38="SIM",Sheet1!P38="SIM"),"Sim","")</f>
        <v>Sim</v>
      </c>
      <c r="AD38" s="70" t="str">
        <f>IF(AC38="sim",Sheet1!I38,"")</f>
        <v>LAB. FIOS e CABOS</v>
      </c>
    </row>
    <row r="39" spans="1:33" ht="24.95" customHeight="1" x14ac:dyDescent="0.25">
      <c r="A39" s="14"/>
      <c r="B39" s="14"/>
      <c r="C39" s="14" t="s">
        <v>78</v>
      </c>
      <c r="D39" s="14" t="s">
        <v>157</v>
      </c>
      <c r="E39" s="14" t="s">
        <v>157</v>
      </c>
      <c r="F39" s="15" t="str">
        <f t="shared" si="0"/>
        <v/>
      </c>
      <c r="G39" s="9"/>
      <c r="H39" s="16"/>
      <c r="I39" s="16"/>
      <c r="J39" s="52"/>
      <c r="K39" s="52"/>
      <c r="L39" s="52"/>
      <c r="M39" s="52"/>
      <c r="N39" s="52"/>
      <c r="O39" s="16"/>
      <c r="P39" s="52"/>
      <c r="Q39" s="52"/>
      <c r="R39" s="52"/>
      <c r="S39" s="52"/>
      <c r="T39" s="52"/>
      <c r="U39" s="52"/>
      <c r="V39" s="52"/>
      <c r="W39" s="52"/>
      <c r="X39" s="52"/>
      <c r="Y39" s="52"/>
      <c r="Z39" s="52"/>
      <c r="AA39" s="52"/>
      <c r="AB39" s="52"/>
      <c r="AC39" s="70" t="str">
        <f>IF(AND(Sheet1!O39="SIM",Sheet1!P39="SIM"),"Sim","")</f>
        <v>Sim</v>
      </c>
      <c r="AD39" s="70" t="str">
        <f>IF(AC39="sim",Sheet1!I39,"")</f>
        <v>LAB. QUÍMICO</v>
      </c>
      <c r="AE39" s="52"/>
      <c r="AF39" s="52"/>
      <c r="AG39" s="52"/>
    </row>
    <row r="40" spans="1:33" ht="24.95" customHeight="1" x14ac:dyDescent="0.25">
      <c r="A40" s="14"/>
      <c r="B40" s="14"/>
      <c r="C40" s="14" t="s">
        <v>94</v>
      </c>
      <c r="D40" s="14" t="s">
        <v>156</v>
      </c>
      <c r="E40" s="14" t="s">
        <v>156</v>
      </c>
      <c r="F40" s="15" t="str">
        <f t="shared" si="0"/>
        <v>Ambos</v>
      </c>
      <c r="G40" s="9"/>
      <c r="H40" s="16"/>
      <c r="I40" s="16"/>
      <c r="J40" s="52"/>
      <c r="K40" s="78" t="s">
        <v>172</v>
      </c>
      <c r="L40" s="52"/>
      <c r="M40" s="52"/>
      <c r="N40" s="82" t="s">
        <v>5</v>
      </c>
      <c r="O40" s="83"/>
      <c r="P40" s="83"/>
      <c r="Q40" s="83"/>
      <c r="R40" s="83"/>
      <c r="S40" s="83"/>
      <c r="T40" s="83"/>
      <c r="U40" s="83"/>
      <c r="V40" s="83"/>
      <c r="W40" s="83"/>
      <c r="X40" s="83"/>
      <c r="Y40" s="83"/>
      <c r="Z40" s="83"/>
      <c r="AA40" s="84"/>
      <c r="AB40" s="52"/>
      <c r="AC40" s="70" t="str">
        <f>IF(AND(Sheet1!O40="SIM",Sheet1!P40="SIM"),"Sim","")</f>
        <v/>
      </c>
      <c r="AD40" s="70" t="str">
        <f>IF(AC40="sim",Sheet1!I40,"")</f>
        <v/>
      </c>
      <c r="AE40" s="52"/>
      <c r="AF40" s="52"/>
      <c r="AG40" s="52"/>
    </row>
    <row r="41" spans="1:33" ht="24.95" customHeight="1" x14ac:dyDescent="0.25">
      <c r="A41" s="14"/>
      <c r="B41" s="14"/>
      <c r="C41" s="14" t="s">
        <v>82</v>
      </c>
      <c r="D41" s="14" t="s">
        <v>156</v>
      </c>
      <c r="E41" s="14" t="s">
        <v>156</v>
      </c>
      <c r="F41" s="15" t="str">
        <f t="shared" si="0"/>
        <v>Ambos</v>
      </c>
      <c r="G41" s="9"/>
      <c r="K41" s="78"/>
      <c r="N41" s="23" t="s">
        <v>16</v>
      </c>
      <c r="O41" s="23"/>
      <c r="P41" s="23" t="s">
        <v>17</v>
      </c>
      <c r="Q41" s="23" t="s">
        <v>18</v>
      </c>
      <c r="R41" s="23" t="s">
        <v>19</v>
      </c>
      <c r="S41" s="23" t="s">
        <v>20</v>
      </c>
      <c r="T41" s="23" t="s">
        <v>21</v>
      </c>
      <c r="U41" s="23" t="s">
        <v>22</v>
      </c>
      <c r="V41" s="23" t="s">
        <v>23</v>
      </c>
      <c r="W41" s="23" t="s">
        <v>24</v>
      </c>
      <c r="X41" s="23" t="s">
        <v>25</v>
      </c>
      <c r="Y41" s="23" t="s">
        <v>26</v>
      </c>
      <c r="Z41" s="23" t="s">
        <v>27</v>
      </c>
      <c r="AA41" s="23" t="s">
        <v>28</v>
      </c>
      <c r="AC41" s="70" t="str">
        <f>IF(AND(Sheet1!O41="SIM",Sheet1!P41="SIM"),"Sim","")</f>
        <v/>
      </c>
      <c r="AD41" s="70" t="str">
        <f>IF(AC41="sim",Sheet1!I41,"")</f>
        <v/>
      </c>
    </row>
    <row r="42" spans="1:33" ht="24.95" customHeight="1" x14ac:dyDescent="0.25">
      <c r="A42" s="14"/>
      <c r="B42" s="14"/>
      <c r="C42" s="14" t="s">
        <v>82</v>
      </c>
      <c r="D42" s="14" t="s">
        <v>157</v>
      </c>
      <c r="E42" s="14" t="s">
        <v>157</v>
      </c>
      <c r="F42" s="15" t="str">
        <f t="shared" si="0"/>
        <v/>
      </c>
      <c r="G42" s="9"/>
      <c r="K42" s="79">
        <v>16</v>
      </c>
      <c r="N42" s="23" t="s">
        <v>29</v>
      </c>
      <c r="O42" s="24"/>
      <c r="P42" s="27">
        <v>8</v>
      </c>
      <c r="Q42" s="27">
        <v>8</v>
      </c>
      <c r="R42" s="27">
        <v>2</v>
      </c>
      <c r="S42" s="27">
        <v>7</v>
      </c>
      <c r="T42" s="27">
        <v>4</v>
      </c>
      <c r="U42" s="27">
        <v>41</v>
      </c>
      <c r="V42" s="27"/>
      <c r="W42" s="27"/>
      <c r="X42" s="27"/>
      <c r="Y42" s="27"/>
      <c r="Z42" s="27"/>
      <c r="AA42" s="27"/>
      <c r="AC42" s="70" t="str">
        <f>IF(AND(Sheet1!O42="SIM",Sheet1!P42="SIM"),"Sim","")</f>
        <v>Sim</v>
      </c>
      <c r="AD42" s="70" t="str">
        <f>IF(AC42="sim",Sheet1!I42,"")</f>
        <v>LAB. FOGO-DIV</v>
      </c>
    </row>
    <row r="43" spans="1:33" ht="24.95" customHeight="1" x14ac:dyDescent="0.25">
      <c r="A43" s="14"/>
      <c r="B43" s="14"/>
      <c r="C43" s="14" t="s">
        <v>78</v>
      </c>
      <c r="D43" s="14" t="s">
        <v>157</v>
      </c>
      <c r="E43" s="14" t="s">
        <v>157</v>
      </c>
      <c r="F43" s="15" t="str">
        <f t="shared" si="0"/>
        <v/>
      </c>
      <c r="G43" s="9"/>
      <c r="K43" s="79"/>
      <c r="N43" s="23" t="s">
        <v>30</v>
      </c>
      <c r="O43" s="24"/>
      <c r="P43" s="27">
        <v>33</v>
      </c>
      <c r="Q43" s="27">
        <v>25</v>
      </c>
      <c r="R43" s="27">
        <v>32</v>
      </c>
      <c r="S43" s="27">
        <v>54</v>
      </c>
      <c r="T43" s="27">
        <v>74</v>
      </c>
      <c r="U43" s="27">
        <v>84</v>
      </c>
      <c r="V43" s="27"/>
      <c r="W43" s="27"/>
      <c r="X43" s="27"/>
      <c r="Y43" s="27"/>
      <c r="Z43" s="27"/>
      <c r="AA43" s="27"/>
      <c r="AC43" s="70" t="str">
        <f>IF(AND(Sheet1!O43="SIM",Sheet1!P43="SIM"),"Sim","")</f>
        <v>Sim</v>
      </c>
      <c r="AD43" s="70" t="str">
        <f>IF(AC43="sim",Sheet1!I43,"")</f>
        <v>LAB. QUÍMICO</v>
      </c>
    </row>
    <row r="44" spans="1:33" ht="24.95" customHeight="1" x14ac:dyDescent="0.25">
      <c r="A44" s="14"/>
      <c r="B44" s="22"/>
      <c r="C44" s="14" t="s">
        <v>78</v>
      </c>
      <c r="D44" s="14" t="s">
        <v>156</v>
      </c>
      <c r="E44" s="14" t="s">
        <v>156</v>
      </c>
      <c r="F44" s="15" t="str">
        <f t="shared" si="0"/>
        <v>Ambos</v>
      </c>
      <c r="G44" s="9"/>
      <c r="AC44" s="70" t="str">
        <f>IF(AND(Sheet1!O44="SIM",Sheet1!P44="SIM"),"Sim","")</f>
        <v/>
      </c>
      <c r="AD44" s="70" t="str">
        <f>IF(AC44="sim",Sheet1!I44,"")</f>
        <v/>
      </c>
    </row>
    <row r="45" spans="1:33" ht="24.95" customHeight="1" x14ac:dyDescent="0.25">
      <c r="A45" s="14"/>
      <c r="B45" s="22"/>
      <c r="C45" s="14" t="s">
        <v>82</v>
      </c>
      <c r="D45" s="14" t="s">
        <v>156</v>
      </c>
      <c r="E45" s="14" t="s">
        <v>156</v>
      </c>
      <c r="F45" s="15" t="str">
        <f t="shared" si="0"/>
        <v>Ambos</v>
      </c>
      <c r="G45" s="9"/>
      <c r="AC45" s="70" t="str">
        <f>IF(AND(Sheet1!O45="SIM",Sheet1!P45="SIM"),"Sim","")</f>
        <v/>
      </c>
      <c r="AD45" s="70" t="str">
        <f>IF(AC45="sim",Sheet1!I45,"")</f>
        <v/>
      </c>
    </row>
    <row r="46" spans="1:33" ht="24.95" customHeight="1" x14ac:dyDescent="0.25">
      <c r="A46" s="14"/>
      <c r="B46" s="14"/>
      <c r="C46" s="14" t="s">
        <v>78</v>
      </c>
      <c r="D46" s="14" t="s">
        <v>156</v>
      </c>
      <c r="E46" s="14" t="s">
        <v>156</v>
      </c>
      <c r="F46" s="15" t="str">
        <f t="shared" si="0"/>
        <v>Ambos</v>
      </c>
      <c r="G46" s="9"/>
      <c r="AC46" s="70" t="str">
        <f>IF(AND(Sheet1!O46="SIM",Sheet1!P46="SIM"),"Sim","")</f>
        <v>Sim</v>
      </c>
      <c r="AD46" s="70" t="str">
        <f>IF(AC46="sim",Sheet1!I46,"")</f>
        <v>LAB. ELETRO-MECÂNICO</v>
      </c>
    </row>
    <row r="47" spans="1:33" ht="24.95" customHeight="1" x14ac:dyDescent="0.25">
      <c r="A47" s="14"/>
      <c r="B47" s="14"/>
      <c r="C47" s="14" t="s">
        <v>78</v>
      </c>
      <c r="D47" s="14" t="s">
        <v>157</v>
      </c>
      <c r="E47" s="14" t="s">
        <v>157</v>
      </c>
      <c r="F47" s="15" t="str">
        <f t="shared" si="0"/>
        <v/>
      </c>
      <c r="G47" s="9"/>
      <c r="AC47" s="70" t="str">
        <f>IF(AND(Sheet1!O47="SIM",Sheet1!P47="SIM"),"Sim","")</f>
        <v>Sim</v>
      </c>
      <c r="AD47" s="70" t="str">
        <f>IF(AC47="sim",Sheet1!I47,"")</f>
        <v>LAB. QUÍMICO</v>
      </c>
    </row>
    <row r="48" spans="1:33" ht="24.95" customHeight="1" x14ac:dyDescent="0.25">
      <c r="A48" s="14"/>
      <c r="B48" s="14"/>
      <c r="C48" s="14" t="s">
        <v>82</v>
      </c>
      <c r="D48" s="14" t="s">
        <v>156</v>
      </c>
      <c r="E48" s="14" t="s">
        <v>157</v>
      </c>
      <c r="F48" s="15" t="str">
        <f t="shared" si="0"/>
        <v>Técnico</v>
      </c>
      <c r="G48" s="9"/>
      <c r="AC48" s="70" t="str">
        <f>IF(AND(Sheet1!O48="SIM",Sheet1!P48="SIM"),"Sim","")</f>
        <v>Sim</v>
      </c>
      <c r="AD48" s="70" t="str">
        <f>IF(AC48="sim",Sheet1!I48,"")</f>
        <v>LAB. ELETRO-MECÂNICO</v>
      </c>
    </row>
    <row r="49" spans="1:30" ht="24.95" customHeight="1" x14ac:dyDescent="0.25">
      <c r="A49" s="14"/>
      <c r="B49" s="14"/>
      <c r="C49" s="14" t="s">
        <v>94</v>
      </c>
      <c r="D49" s="14" t="s">
        <v>156</v>
      </c>
      <c r="E49" s="14" t="s">
        <v>156</v>
      </c>
      <c r="F49" s="15" t="str">
        <f t="shared" si="0"/>
        <v>Ambos</v>
      </c>
      <c r="G49" s="9"/>
      <c r="AC49" s="70" t="str">
        <f>IF(AND(Sheet1!O49="SIM",Sheet1!P49="SIM"),"Sim","")</f>
        <v/>
      </c>
      <c r="AD49" s="70" t="str">
        <f>IF(AC49="sim",Sheet1!I49,"")</f>
        <v/>
      </c>
    </row>
    <row r="50" spans="1:30" ht="24.95" customHeight="1" x14ac:dyDescent="0.25">
      <c r="A50" s="14"/>
      <c r="B50" s="14"/>
      <c r="C50" s="14" t="s">
        <v>100</v>
      </c>
      <c r="D50" s="14" t="s">
        <v>156</v>
      </c>
      <c r="E50" s="14" t="s">
        <v>156</v>
      </c>
      <c r="F50" s="15" t="str">
        <f t="shared" si="0"/>
        <v>Ambos</v>
      </c>
      <c r="G50" s="9"/>
      <c r="AC50" s="70" t="str">
        <f>IF(AND(Sheet1!O50="SIM",Sheet1!P50="SIM"),"Sim","")</f>
        <v/>
      </c>
      <c r="AD50" s="70" t="str">
        <f>IF(AC50="sim",Sheet1!I50,"")</f>
        <v/>
      </c>
    </row>
    <row r="51" spans="1:30" ht="24.95" customHeight="1" x14ac:dyDescent="0.25">
      <c r="A51" s="14"/>
      <c r="B51" s="14"/>
      <c r="C51" s="14" t="s">
        <v>78</v>
      </c>
      <c r="D51" s="14" t="s">
        <v>156</v>
      </c>
      <c r="E51" s="14" t="s">
        <v>156</v>
      </c>
      <c r="F51" s="15" t="str">
        <f t="shared" si="0"/>
        <v>Ambos</v>
      </c>
      <c r="G51" s="9"/>
      <c r="AC51" s="70" t="str">
        <f>IF(AND(Sheet1!O51="SIM",Sheet1!P51="SIM"),"Sim","")</f>
        <v>Sim</v>
      </c>
      <c r="AD51" s="70" t="str">
        <f>IF(AC51="sim",Sheet1!I51,"")</f>
        <v>LAB. FOGO-DIV</v>
      </c>
    </row>
    <row r="52" spans="1:30" ht="24.95" customHeight="1" x14ac:dyDescent="0.25">
      <c r="A52" s="14"/>
      <c r="B52" s="14"/>
      <c r="C52" s="14" t="s">
        <v>94</v>
      </c>
      <c r="D52" s="14" t="s">
        <v>156</v>
      </c>
      <c r="E52" s="14" t="s">
        <v>157</v>
      </c>
      <c r="F52" s="15" t="str">
        <f t="shared" si="0"/>
        <v>Técnico</v>
      </c>
      <c r="G52" s="9"/>
      <c r="AC52" s="70" t="str">
        <f>IF(AND(Sheet1!O52="SIM",Sheet1!P52="SIM"),"Sim","")</f>
        <v>Sim</v>
      </c>
      <c r="AD52" s="70" t="str">
        <f>IF(AC52="sim",Sheet1!I52,"")</f>
        <v>LAB. TELECOM-METÁLICO</v>
      </c>
    </row>
    <row r="53" spans="1:30" ht="24.95" customHeight="1" x14ac:dyDescent="0.25">
      <c r="A53" s="14"/>
      <c r="B53" s="14"/>
      <c r="C53" s="14" t="s">
        <v>82</v>
      </c>
      <c r="D53" s="14" t="s">
        <v>156</v>
      </c>
      <c r="E53" s="14" t="s">
        <v>157</v>
      </c>
      <c r="F53" s="15" t="str">
        <f t="shared" si="0"/>
        <v>Técnico</v>
      </c>
      <c r="G53" s="9"/>
      <c r="AC53" s="70" t="str">
        <f>IF(AND(Sheet1!O53="SIM",Sheet1!P53="SIM"),"Sim","")</f>
        <v>Sim</v>
      </c>
      <c r="AD53" s="70" t="str">
        <f>IF(AC53="sim",Sheet1!I53,"")</f>
        <v>LAB. ELETRO-MECÂNICO</v>
      </c>
    </row>
    <row r="54" spans="1:30" ht="24.95" customHeight="1" x14ac:dyDescent="0.25">
      <c r="A54" s="14"/>
      <c r="B54" s="14"/>
      <c r="C54" s="14" t="s">
        <v>101</v>
      </c>
      <c r="D54" s="14" t="s">
        <v>157</v>
      </c>
      <c r="E54" s="14" t="s">
        <v>157</v>
      </c>
      <c r="F54" s="15" t="str">
        <f t="shared" si="0"/>
        <v/>
      </c>
      <c r="G54" s="9"/>
      <c r="AC54" s="70" t="str">
        <f>IF(AND(Sheet1!O54="SIM",Sheet1!P54="SIM"),"Sim","")</f>
        <v/>
      </c>
      <c r="AD54" s="70" t="str">
        <f>IF(AC54="sim",Sheet1!I54,"")</f>
        <v/>
      </c>
    </row>
    <row r="55" spans="1:30" ht="24.95" customHeight="1" x14ac:dyDescent="0.25">
      <c r="A55" s="14"/>
      <c r="B55" s="14"/>
      <c r="C55" s="14" t="s">
        <v>101</v>
      </c>
      <c r="D55" s="14" t="s">
        <v>157</v>
      </c>
      <c r="E55" s="14" t="s">
        <v>157</v>
      </c>
      <c r="F55" s="15" t="str">
        <f t="shared" si="0"/>
        <v/>
      </c>
      <c r="G55" s="9"/>
      <c r="AC55" s="70" t="str">
        <f>IF(AND(Sheet1!O55="SIM",Sheet1!P55="SIM"),"Sim","")</f>
        <v/>
      </c>
      <c r="AD55" s="70" t="str">
        <f>IF(AC55="sim",Sheet1!I55,"")</f>
        <v/>
      </c>
    </row>
    <row r="56" spans="1:30" ht="24.95" customHeight="1" x14ac:dyDescent="0.25">
      <c r="A56" s="14"/>
      <c r="B56" s="14"/>
      <c r="C56" s="14" t="s">
        <v>87</v>
      </c>
      <c r="D56" s="14" t="s">
        <v>156</v>
      </c>
      <c r="E56" s="14" t="s">
        <v>156</v>
      </c>
      <c r="F56" s="15" t="str">
        <f t="shared" si="0"/>
        <v>Ambos</v>
      </c>
      <c r="G56" s="9"/>
      <c r="AC56" s="70" t="str">
        <f>IF(AND(Sheet1!O56="SIM",Sheet1!P56="SIM"),"Sim","")</f>
        <v/>
      </c>
      <c r="AD56" s="70" t="str">
        <f>IF(AC56="sim",Sheet1!I56,"")</f>
        <v/>
      </c>
    </row>
    <row r="57" spans="1:30" ht="24.95" customHeight="1" x14ac:dyDescent="0.25">
      <c r="A57" s="14"/>
      <c r="B57" s="14"/>
      <c r="C57" s="14" t="s">
        <v>101</v>
      </c>
      <c r="D57" s="14" t="s">
        <v>157</v>
      </c>
      <c r="E57" s="14" t="s">
        <v>157</v>
      </c>
      <c r="F57" s="15" t="str">
        <f t="shared" si="0"/>
        <v/>
      </c>
      <c r="G57" s="9"/>
      <c r="AC57" s="70" t="str">
        <f>IF(AND(Sheet1!O57="SIM",Sheet1!P57="SIM"),"Sim","")</f>
        <v/>
      </c>
      <c r="AD57" s="70" t="str">
        <f>IF(AC57="sim",Sheet1!I57,"")</f>
        <v/>
      </c>
    </row>
    <row r="58" spans="1:30" ht="24.95" customHeight="1" x14ac:dyDescent="0.25">
      <c r="A58" s="14"/>
      <c r="B58" s="14"/>
      <c r="C58" s="14" t="s">
        <v>101</v>
      </c>
      <c r="D58" s="14" t="s">
        <v>157</v>
      </c>
      <c r="E58" s="14" t="s">
        <v>157</v>
      </c>
      <c r="F58" s="15" t="str">
        <f t="shared" si="0"/>
        <v/>
      </c>
      <c r="G58" s="9"/>
      <c r="AC58" s="70" t="str">
        <f>IF(AND(Sheet1!O58="SIM",Sheet1!P58="SIM"),"Sim","")</f>
        <v>Sim</v>
      </c>
      <c r="AD58" s="70" t="str">
        <f>IF(AC58="sim",Sheet1!I58,"")</f>
        <v>LAB. FIOS e CABOS</v>
      </c>
    </row>
    <row r="59" spans="1:30" ht="24.95" customHeight="1" x14ac:dyDescent="0.25">
      <c r="A59" s="14"/>
      <c r="B59" s="14"/>
      <c r="C59" s="14" t="s">
        <v>101</v>
      </c>
      <c r="D59" s="14" t="s">
        <v>157</v>
      </c>
      <c r="E59" s="14" t="s">
        <v>157</v>
      </c>
      <c r="F59" s="15" t="str">
        <f t="shared" si="0"/>
        <v/>
      </c>
      <c r="G59" s="9"/>
      <c r="AC59" s="70" t="str">
        <f>IF(AND(Sheet1!O59="SIM",Sheet1!P59="SIM"),"Sim","")</f>
        <v/>
      </c>
      <c r="AD59" s="70" t="str">
        <f>IF(AC59="sim",Sheet1!I59,"")</f>
        <v/>
      </c>
    </row>
    <row r="60" spans="1:30" ht="24.95" customHeight="1" x14ac:dyDescent="0.25">
      <c r="A60" s="14"/>
      <c r="B60" s="14"/>
      <c r="C60" s="14" t="s">
        <v>101</v>
      </c>
      <c r="D60" s="14" t="s">
        <v>157</v>
      </c>
      <c r="E60" s="14" t="s">
        <v>157</v>
      </c>
      <c r="F60" s="15" t="str">
        <f t="shared" si="0"/>
        <v/>
      </c>
      <c r="G60" s="9"/>
      <c r="AC60" s="70" t="str">
        <f>IF(AND(Sheet1!O60="SIM",Sheet1!P60="SIM"),"Sim","")</f>
        <v/>
      </c>
      <c r="AD60" s="70" t="str">
        <f>IF(AC60="sim",Sheet1!I60,"")</f>
        <v/>
      </c>
    </row>
    <row r="61" spans="1:30" ht="24.95" customHeight="1" x14ac:dyDescent="0.25">
      <c r="A61" s="14"/>
      <c r="B61" s="14"/>
      <c r="C61" s="14" t="s">
        <v>78</v>
      </c>
      <c r="D61" s="14" t="s">
        <v>156</v>
      </c>
      <c r="E61" s="14" t="s">
        <v>156</v>
      </c>
      <c r="F61" s="15" t="str">
        <f t="shared" si="0"/>
        <v>Ambos</v>
      </c>
      <c r="G61" s="9"/>
      <c r="AC61" s="70" t="str">
        <f>IF(AND(Sheet1!O61="SIM",Sheet1!P61="SIM"),"Sim","")</f>
        <v/>
      </c>
      <c r="AD61" s="70" t="str">
        <f>IF(AC61="sim",Sheet1!I61,"")</f>
        <v/>
      </c>
    </row>
    <row r="62" spans="1:30" ht="24.95" customHeight="1" x14ac:dyDescent="0.25">
      <c r="A62" s="14"/>
      <c r="B62" s="14"/>
      <c r="C62" s="14" t="s">
        <v>82</v>
      </c>
      <c r="D62" s="14" t="s">
        <v>156</v>
      </c>
      <c r="E62" s="14" t="s">
        <v>156</v>
      </c>
      <c r="F62" s="15" t="str">
        <f t="shared" si="0"/>
        <v>Ambos</v>
      </c>
      <c r="G62" s="9"/>
      <c r="AC62" s="70" t="str">
        <f>IF(AND(Sheet1!O62="SIM",Sheet1!P62="SIM"),"Sim","")</f>
        <v/>
      </c>
      <c r="AD62" s="70" t="str">
        <f>IF(AC62="sim",Sheet1!I62,"")</f>
        <v/>
      </c>
    </row>
    <row r="63" spans="1:30" ht="24.95" customHeight="1" x14ac:dyDescent="0.25">
      <c r="A63" s="14"/>
      <c r="B63" s="14"/>
      <c r="C63" s="14" t="s">
        <v>103</v>
      </c>
      <c r="D63" s="14" t="s">
        <v>157</v>
      </c>
      <c r="E63" s="14" t="s">
        <v>157</v>
      </c>
      <c r="F63" s="15" t="str">
        <f t="shared" si="0"/>
        <v/>
      </c>
      <c r="G63" s="9"/>
      <c r="AC63" s="70" t="str">
        <f>IF(AND(Sheet1!O63="SIM",Sheet1!P63="SIM"),"Sim","")</f>
        <v>Sim</v>
      </c>
      <c r="AD63" s="70" t="str">
        <f>IF(AC63="sim",Sheet1!I63,"")</f>
        <v>LAB. ELETRO-MECÂNICO</v>
      </c>
    </row>
    <row r="64" spans="1:30" ht="24.95" customHeight="1" x14ac:dyDescent="0.25">
      <c r="A64" s="9"/>
      <c r="B64" s="9"/>
      <c r="C64" s="9" t="s">
        <v>94</v>
      </c>
      <c r="D64" s="9" t="s">
        <v>156</v>
      </c>
      <c r="E64" s="9" t="s">
        <v>156</v>
      </c>
      <c r="F64" s="15" t="str">
        <f t="shared" si="0"/>
        <v>Ambos</v>
      </c>
      <c r="G64" s="9"/>
      <c r="AC64" s="70" t="str">
        <f>IF(AND(Sheet1!O64="SIM",Sheet1!P64="SIM"),"Sim","")</f>
        <v>Sim</v>
      </c>
      <c r="AD64" s="70" t="str">
        <f>IF(AC64="sim",Sheet1!I64,"")</f>
        <v>LAB. QUÍMICO</v>
      </c>
    </row>
    <row r="65" spans="1:30" ht="24.95" customHeight="1" x14ac:dyDescent="0.25">
      <c r="A65" s="9"/>
      <c r="B65" s="9"/>
      <c r="C65" s="9" t="s">
        <v>87</v>
      </c>
      <c r="D65" s="9" t="s">
        <v>157</v>
      </c>
      <c r="E65" s="9" t="s">
        <v>156</v>
      </c>
      <c r="F65" s="15" t="str">
        <f t="shared" si="0"/>
        <v>REP</v>
      </c>
      <c r="G65" s="9"/>
      <c r="AC65" s="70" t="str">
        <f>IF(AND(Sheet1!O65="SIM",Sheet1!P65="SIM"),"Sim","")</f>
        <v/>
      </c>
      <c r="AD65" s="70" t="str">
        <f>IF(AC65="sim",Sheet1!I65,"")</f>
        <v/>
      </c>
    </row>
    <row r="66" spans="1:30" ht="24.95" customHeight="1" x14ac:dyDescent="0.25">
      <c r="A66" s="9"/>
      <c r="B66" s="9"/>
      <c r="C66" s="9" t="s">
        <v>94</v>
      </c>
      <c r="D66" s="9" t="s">
        <v>156</v>
      </c>
      <c r="E66" s="9" t="s">
        <v>156</v>
      </c>
      <c r="F66" s="15" t="str">
        <f t="shared" si="0"/>
        <v>Ambos</v>
      </c>
      <c r="G66" s="9"/>
      <c r="AC66" s="70" t="str">
        <f>IF(AND(Sheet1!O66="SIM",Sheet1!P66="SIM"),"Sim","")</f>
        <v>Sim</v>
      </c>
      <c r="AD66" s="70" t="str">
        <f>IF(AC66="sim",Sheet1!I66,"")</f>
        <v>LAB. FOGO-DIV</v>
      </c>
    </row>
    <row r="67" spans="1:30" ht="24.95" customHeight="1" x14ac:dyDescent="0.25">
      <c r="A67" s="9"/>
      <c r="B67" s="9"/>
      <c r="C67" s="9" t="s">
        <v>87</v>
      </c>
      <c r="D67" s="9" t="s">
        <v>157</v>
      </c>
      <c r="E67" s="9" t="s">
        <v>156</v>
      </c>
      <c r="F67" s="15" t="str">
        <f t="shared" ref="F67:F130" si="7">IFERROR(IF(AND(D67="Não",E67="Sim"),"REP",
IF(AND(D67="Sim",E67="Não"),"Técnico",
IF(AND(D67="Sim",E67="Sim"),"Ambos",""))),"")</f>
        <v>REP</v>
      </c>
      <c r="G67" s="9"/>
      <c r="AC67" s="70" t="str">
        <f>IF(AND(Sheet1!O67="SIM",Sheet1!P67="SIM"),"Sim","")</f>
        <v/>
      </c>
      <c r="AD67" s="70" t="str">
        <f>IF(AC67="sim",Sheet1!I67,"")</f>
        <v/>
      </c>
    </row>
    <row r="68" spans="1:30" ht="24.95" customHeight="1" x14ac:dyDescent="0.25">
      <c r="A68" s="9"/>
      <c r="B68" s="9"/>
      <c r="C68" s="9" t="s">
        <v>87</v>
      </c>
      <c r="D68" s="9" t="s">
        <v>157</v>
      </c>
      <c r="E68" s="9" t="s">
        <v>157</v>
      </c>
      <c r="F68" s="15" t="str">
        <f t="shared" si="7"/>
        <v/>
      </c>
      <c r="G68" s="9"/>
      <c r="AC68" s="70" t="str">
        <f>IF(AND(Sheet1!O68="SIM",Sheet1!P68="SIM"),"Sim","")</f>
        <v>Sim</v>
      </c>
      <c r="AD68" s="70" t="str">
        <f>IF(AC68="sim",Sheet1!I68,"")</f>
        <v>LAB. FOGO-DIV</v>
      </c>
    </row>
    <row r="69" spans="1:30" ht="24.95" customHeight="1" x14ac:dyDescent="0.25">
      <c r="A69" s="9"/>
      <c r="B69" s="9"/>
      <c r="C69" s="9" t="s">
        <v>94</v>
      </c>
      <c r="D69" s="9" t="s">
        <v>157</v>
      </c>
      <c r="E69" s="9" t="s">
        <v>157</v>
      </c>
      <c r="F69" s="15" t="str">
        <f t="shared" si="7"/>
        <v/>
      </c>
      <c r="G69" s="9"/>
      <c r="AC69" s="70" t="str">
        <f>IF(AND(Sheet1!O69="SIM",Sheet1!P69="SIM"),"Sim","")</f>
        <v/>
      </c>
      <c r="AD69" s="70" t="str">
        <f>IF(AC69="sim",Sheet1!I69,"")</f>
        <v/>
      </c>
    </row>
    <row r="70" spans="1:30" ht="24.95" customHeight="1" x14ac:dyDescent="0.25">
      <c r="A70" s="9"/>
      <c r="B70" s="9"/>
      <c r="C70" s="9" t="s">
        <v>82</v>
      </c>
      <c r="D70" s="9" t="s">
        <v>156</v>
      </c>
      <c r="E70" s="9" t="s">
        <v>156</v>
      </c>
      <c r="F70" s="15" t="str">
        <f t="shared" si="7"/>
        <v>Ambos</v>
      </c>
      <c r="G70" s="9"/>
      <c r="AC70" s="70" t="str">
        <f>IF(AND(Sheet1!O70="SIM",Sheet1!P70="SIM"),"Sim","")</f>
        <v/>
      </c>
      <c r="AD70" s="70" t="str">
        <f>IF(AC70="sim",Sheet1!I70,"")</f>
        <v/>
      </c>
    </row>
    <row r="71" spans="1:30" ht="24.95" customHeight="1" x14ac:dyDescent="0.25">
      <c r="A71" s="9"/>
      <c r="B71" s="9"/>
      <c r="C71" s="9" t="s">
        <v>82</v>
      </c>
      <c r="D71" s="9" t="s">
        <v>156</v>
      </c>
      <c r="E71" s="9" t="s">
        <v>156</v>
      </c>
      <c r="F71" s="15" t="str">
        <f t="shared" si="7"/>
        <v>Ambos</v>
      </c>
      <c r="G71" s="9"/>
      <c r="AC71" s="70" t="str">
        <f>IF(AND(Sheet1!O71="SIM",Sheet1!P71="SIM"),"Sim","")</f>
        <v/>
      </c>
      <c r="AD71" s="70" t="str">
        <f>IF(AC71="sim",Sheet1!I71,"")</f>
        <v/>
      </c>
    </row>
    <row r="72" spans="1:30" ht="24.95" customHeight="1" x14ac:dyDescent="0.25">
      <c r="A72" s="9"/>
      <c r="B72" s="9"/>
      <c r="C72" s="9" t="s">
        <v>94</v>
      </c>
      <c r="D72" s="9" t="s">
        <v>156</v>
      </c>
      <c r="E72" s="9" t="s">
        <v>156</v>
      </c>
      <c r="F72" s="15" t="str">
        <f t="shared" si="7"/>
        <v>Ambos</v>
      </c>
      <c r="G72" s="9"/>
      <c r="AC72" s="70" t="str">
        <f>IF(AND(Sheet1!O72="SIM",Sheet1!P72="SIM"),"Sim","")</f>
        <v>Sim</v>
      </c>
      <c r="AD72" s="70" t="str">
        <f>IF(AC72="sim",Sheet1!I72,"")</f>
        <v>LAB. QUÍMICO</v>
      </c>
    </row>
    <row r="73" spans="1:30" ht="24.95" customHeight="1" x14ac:dyDescent="0.25">
      <c r="A73" s="9"/>
      <c r="B73" s="9"/>
      <c r="C73" s="9" t="s">
        <v>100</v>
      </c>
      <c r="D73" s="9" t="s">
        <v>156</v>
      </c>
      <c r="E73" s="9" t="s">
        <v>156</v>
      </c>
      <c r="F73" s="15" t="str">
        <f t="shared" si="7"/>
        <v>Ambos</v>
      </c>
      <c r="G73" s="9"/>
      <c r="AC73" s="70" t="str">
        <f>IF(AND(Sheet1!O73="SIM",Sheet1!P73="SIM"),"Sim","")</f>
        <v>Sim</v>
      </c>
      <c r="AD73" s="70" t="str">
        <f>IF(AC73="sim",Sheet1!I73,"")</f>
        <v>LAB. QUÍMICO</v>
      </c>
    </row>
    <row r="74" spans="1:30" ht="24.95" customHeight="1" x14ac:dyDescent="0.25">
      <c r="A74" s="9"/>
      <c r="B74" s="9"/>
      <c r="C74" s="9" t="s">
        <v>87</v>
      </c>
      <c r="D74" s="9" t="s">
        <v>156</v>
      </c>
      <c r="E74" s="9" t="s">
        <v>156</v>
      </c>
      <c r="F74" s="15" t="str">
        <f t="shared" si="7"/>
        <v>Ambos</v>
      </c>
      <c r="G74" s="9"/>
      <c r="AC74" s="70" t="str">
        <f>IF(AND(Sheet1!O74="SIM",Sheet1!P74="SIM"),"Sim","")</f>
        <v>Sim</v>
      </c>
      <c r="AD74" s="70" t="str">
        <f>IF(AC74="sim",Sheet1!I74,"")</f>
        <v>LAB. FOGO-DIV</v>
      </c>
    </row>
    <row r="75" spans="1:30" ht="24.95" customHeight="1" x14ac:dyDescent="0.25">
      <c r="A75" s="9"/>
      <c r="B75" s="9"/>
      <c r="C75" s="9" t="s">
        <v>87</v>
      </c>
      <c r="D75" s="9" t="s">
        <v>156</v>
      </c>
      <c r="E75" s="9" t="s">
        <v>156</v>
      </c>
      <c r="F75" s="15" t="str">
        <f t="shared" si="7"/>
        <v>Ambos</v>
      </c>
      <c r="G75" s="9"/>
      <c r="AC75" s="70" t="str">
        <f>IF(AND(Sheet1!O75="SIM",Sheet1!P75="SIM"),"Sim","")</f>
        <v>Sim</v>
      </c>
      <c r="AD75" s="70" t="str">
        <f>IF(AC75="sim",Sheet1!I75,"")</f>
        <v>LAB. TELECOM-METÁLICO</v>
      </c>
    </row>
    <row r="76" spans="1:30" ht="24.95" customHeight="1" x14ac:dyDescent="0.25">
      <c r="A76" s="9"/>
      <c r="B76" s="9"/>
      <c r="C76" s="9" t="s">
        <v>87</v>
      </c>
      <c r="D76" s="9" t="s">
        <v>156</v>
      </c>
      <c r="E76" s="9" t="s">
        <v>156</v>
      </c>
      <c r="F76" s="15" t="str">
        <f t="shared" si="7"/>
        <v>Ambos</v>
      </c>
      <c r="G76" s="9"/>
      <c r="AC76" s="70" t="str">
        <f>IF(AND(Sheet1!O76="SIM",Sheet1!P76="SIM"),"Sim","")</f>
        <v>Sim</v>
      </c>
      <c r="AD76" s="70" t="str">
        <f>IF(AC76="sim",Sheet1!I76,"")</f>
        <v>LAB. FIOS e CABOS</v>
      </c>
    </row>
    <row r="77" spans="1:30" ht="24.95" customHeight="1" x14ac:dyDescent="0.25">
      <c r="A77" s="9"/>
      <c r="B77" s="9"/>
      <c r="C77" s="9" t="s">
        <v>87</v>
      </c>
      <c r="D77" s="9" t="s">
        <v>156</v>
      </c>
      <c r="E77" s="9" t="s">
        <v>156</v>
      </c>
      <c r="F77" s="15" t="str">
        <f t="shared" si="7"/>
        <v>Ambos</v>
      </c>
      <c r="G77" s="9"/>
      <c r="AC77" s="70" t="str">
        <f>IF(AND(Sheet1!O77="SIM",Sheet1!P77="SIM"),"Sim","")</f>
        <v>Sim</v>
      </c>
      <c r="AD77" s="70" t="str">
        <f>IF(AC77="sim",Sheet1!I77,"")</f>
        <v>LAB. FIOS e CABOS</v>
      </c>
    </row>
    <row r="78" spans="1:30" ht="24.95" customHeight="1" x14ac:dyDescent="0.25">
      <c r="A78" s="9"/>
      <c r="B78" s="9"/>
      <c r="C78" s="9" t="s">
        <v>87</v>
      </c>
      <c r="D78" s="9" t="s">
        <v>156</v>
      </c>
      <c r="E78" s="9" t="s">
        <v>156</v>
      </c>
      <c r="F78" s="15" t="str">
        <f t="shared" si="7"/>
        <v>Ambos</v>
      </c>
      <c r="G78" s="9"/>
      <c r="AC78" s="70" t="str">
        <f>IF(AND(Sheet1!O78="SIM",Sheet1!P78="SIM"),"Sim","")</f>
        <v>Sim</v>
      </c>
      <c r="AD78" s="70" t="str">
        <f>IF(AC78="sim",Sheet1!I78,"")</f>
        <v>LAB. FIOS e CABOS</v>
      </c>
    </row>
    <row r="79" spans="1:30" ht="24.95" customHeight="1" x14ac:dyDescent="0.25">
      <c r="A79" s="9"/>
      <c r="B79" s="9"/>
      <c r="C79" s="9" t="s">
        <v>87</v>
      </c>
      <c r="D79" s="9" t="s">
        <v>156</v>
      </c>
      <c r="E79" s="9" t="s">
        <v>156</v>
      </c>
      <c r="F79" s="15" t="str">
        <f t="shared" si="7"/>
        <v>Ambos</v>
      </c>
      <c r="G79" s="9"/>
      <c r="AC79" s="70" t="str">
        <f>IF(AND(Sheet1!O79="SIM",Sheet1!P79="SIM"),"Sim","")</f>
        <v>Sim</v>
      </c>
      <c r="AD79" s="70" t="str">
        <f>IF(AC79="sim",Sheet1!I79,"")</f>
        <v>LAB. FIOS e CABOS</v>
      </c>
    </row>
    <row r="80" spans="1:30" ht="24.95" customHeight="1" x14ac:dyDescent="0.25">
      <c r="A80" s="9"/>
      <c r="B80" s="9"/>
      <c r="C80" s="9" t="s">
        <v>87</v>
      </c>
      <c r="D80" s="9" t="s">
        <v>156</v>
      </c>
      <c r="E80" s="9" t="s">
        <v>156</v>
      </c>
      <c r="F80" s="15" t="str">
        <f t="shared" si="7"/>
        <v>Ambos</v>
      </c>
      <c r="G80" s="9"/>
      <c r="AC80" s="70" t="str">
        <f>IF(AND(Sheet1!O80="SIM",Sheet1!P80="SIM"),"Sim","")</f>
        <v>Sim</v>
      </c>
      <c r="AD80" s="70" t="str">
        <f>IF(AC80="sim",Sheet1!I80,"")</f>
        <v>LAB. FIOS e CABOS</v>
      </c>
    </row>
    <row r="81" spans="1:30" ht="24.95" customHeight="1" x14ac:dyDescent="0.25">
      <c r="A81" s="9"/>
      <c r="B81" s="9"/>
      <c r="C81" s="9" t="s">
        <v>87</v>
      </c>
      <c r="D81" s="9" t="s">
        <v>156</v>
      </c>
      <c r="E81" s="9" t="s">
        <v>156</v>
      </c>
      <c r="F81" s="15" t="str">
        <f t="shared" si="7"/>
        <v>Ambos</v>
      </c>
      <c r="G81" s="9"/>
      <c r="AC81" s="70" t="str">
        <f>IF(AND(Sheet1!O81="SIM",Sheet1!P81="SIM"),"Sim","")</f>
        <v>Sim</v>
      </c>
      <c r="AD81" s="70" t="str">
        <f>IF(AC81="sim",Sheet1!I81,"")</f>
        <v>LAB. FIOS e CABOS</v>
      </c>
    </row>
    <row r="82" spans="1:30" ht="24.95" customHeight="1" x14ac:dyDescent="0.25">
      <c r="A82" s="9"/>
      <c r="B82" s="9"/>
      <c r="C82" s="9" t="s">
        <v>87</v>
      </c>
      <c r="D82" s="9" t="s">
        <v>156</v>
      </c>
      <c r="E82" s="9" t="s">
        <v>156</v>
      </c>
      <c r="F82" s="15" t="str">
        <f t="shared" si="7"/>
        <v>Ambos</v>
      </c>
      <c r="G82" s="9"/>
      <c r="AC82" s="70" t="str">
        <f>IF(AND(Sheet1!O82="SIM",Sheet1!P82="SIM"),"Sim","")</f>
        <v>Sim</v>
      </c>
      <c r="AD82" s="70" t="str">
        <f>IF(AC82="sim",Sheet1!I82,"")</f>
        <v>LAB. FIOS e CABOS</v>
      </c>
    </row>
    <row r="83" spans="1:30" ht="24.95" customHeight="1" x14ac:dyDescent="0.25">
      <c r="A83" s="9"/>
      <c r="B83" s="9"/>
      <c r="C83" s="9" t="s">
        <v>87</v>
      </c>
      <c r="D83" s="9" t="s">
        <v>156</v>
      </c>
      <c r="E83" s="9" t="s">
        <v>156</v>
      </c>
      <c r="F83" s="15" t="str">
        <f t="shared" si="7"/>
        <v>Ambos</v>
      </c>
      <c r="G83" s="9"/>
      <c r="AC83" s="70" t="str">
        <f>IF(AND(Sheet1!O83="SIM",Sheet1!P83="SIM"),"Sim","")</f>
        <v>Sim</v>
      </c>
      <c r="AD83" s="70" t="str">
        <f>IF(AC83="sim",Sheet1!I83,"")</f>
        <v>LAB. FIOS e CABOS</v>
      </c>
    </row>
    <row r="84" spans="1:30" ht="24.95" customHeight="1" x14ac:dyDescent="0.25">
      <c r="A84" s="9"/>
      <c r="B84" s="9"/>
      <c r="C84" s="9" t="s">
        <v>87</v>
      </c>
      <c r="D84" s="9" t="s">
        <v>156</v>
      </c>
      <c r="E84" s="9" t="s">
        <v>156</v>
      </c>
      <c r="F84" s="15" t="str">
        <f t="shared" si="7"/>
        <v>Ambos</v>
      </c>
      <c r="G84" s="9"/>
      <c r="AC84" s="70" t="str">
        <f>IF(AND(Sheet1!O84="SIM",Sheet1!P84="SIM"),"Sim","")</f>
        <v>Sim</v>
      </c>
      <c r="AD84" s="70" t="str">
        <f>IF(AC84="sim",Sheet1!I84,"")</f>
        <v>LAB. FIOS e CABOS</v>
      </c>
    </row>
    <row r="85" spans="1:30" ht="24.95" customHeight="1" x14ac:dyDescent="0.25">
      <c r="A85" s="9"/>
      <c r="B85" s="9"/>
      <c r="C85" s="9" t="s">
        <v>87</v>
      </c>
      <c r="D85" s="9" t="s">
        <v>156</v>
      </c>
      <c r="E85" s="9" t="s">
        <v>156</v>
      </c>
      <c r="F85" s="15" t="str">
        <f t="shared" si="7"/>
        <v>Ambos</v>
      </c>
      <c r="G85" s="9"/>
      <c r="AC85" s="70" t="str">
        <f>IF(AND(Sheet1!O85="SIM",Sheet1!P85="SIM"),"Sim","")</f>
        <v>Sim</v>
      </c>
      <c r="AD85" s="70" t="str">
        <f>IF(AC85="sim",Sheet1!I85,"")</f>
        <v>LAB. FIOS e CABOS</v>
      </c>
    </row>
    <row r="86" spans="1:30" ht="24.95" customHeight="1" x14ac:dyDescent="0.25">
      <c r="A86" s="9"/>
      <c r="B86" s="9"/>
      <c r="C86" s="9" t="s">
        <v>78</v>
      </c>
      <c r="D86" s="9" t="s">
        <v>157</v>
      </c>
      <c r="E86" s="9" t="s">
        <v>157</v>
      </c>
      <c r="F86" s="15" t="str">
        <f t="shared" si="7"/>
        <v/>
      </c>
      <c r="G86" s="9"/>
      <c r="AC86" s="70" t="str">
        <f>IF(AND(Sheet1!O86="SIM",Sheet1!P86="SIM"),"Sim","")</f>
        <v>Sim</v>
      </c>
      <c r="AD86" s="70" t="str">
        <f>IF(AC86="sim",Sheet1!I86,"")</f>
        <v>LAB. FIOS e CABOS</v>
      </c>
    </row>
    <row r="87" spans="1:30" ht="24.95" customHeight="1" x14ac:dyDescent="0.25">
      <c r="A87" s="9"/>
      <c r="B87" s="9"/>
      <c r="C87" s="9" t="s">
        <v>82</v>
      </c>
      <c r="D87" s="9" t="s">
        <v>156</v>
      </c>
      <c r="E87" s="9" t="s">
        <v>157</v>
      </c>
      <c r="F87" s="15" t="str">
        <f t="shared" si="7"/>
        <v>Técnico</v>
      </c>
      <c r="G87" s="9"/>
      <c r="AC87" s="70" t="str">
        <f>IF(AND(Sheet1!O87="SIM",Sheet1!P87="SIM"),"Sim","")</f>
        <v>Sim</v>
      </c>
      <c r="AD87" s="70" t="str">
        <f>IF(AC87="sim",Sheet1!I87,"")</f>
        <v>LAB. FIOS e CABOS</v>
      </c>
    </row>
    <row r="88" spans="1:30" ht="24.95" customHeight="1" x14ac:dyDescent="0.25">
      <c r="A88" s="9"/>
      <c r="B88" s="9"/>
      <c r="C88" s="9" t="s">
        <v>94</v>
      </c>
      <c r="D88" s="9" t="s">
        <v>157</v>
      </c>
      <c r="E88" s="9" t="s">
        <v>157</v>
      </c>
      <c r="F88" s="15" t="str">
        <f t="shared" si="7"/>
        <v/>
      </c>
      <c r="G88" s="9"/>
      <c r="AC88" s="70" t="str">
        <f>IF(AND(Sheet1!O88="SIM",Sheet1!P88="SIM"),"Sim","")</f>
        <v/>
      </c>
      <c r="AD88" s="70" t="str">
        <f>IF(AC88="sim",Sheet1!I88,"")</f>
        <v/>
      </c>
    </row>
    <row r="89" spans="1:30" ht="24.95" customHeight="1" x14ac:dyDescent="0.25">
      <c r="A89" s="9"/>
      <c r="B89" s="9"/>
      <c r="C89" s="9" t="s">
        <v>101</v>
      </c>
      <c r="D89" s="9" t="s">
        <v>157</v>
      </c>
      <c r="E89" s="9" t="s">
        <v>156</v>
      </c>
      <c r="F89" s="15" t="str">
        <f t="shared" si="7"/>
        <v>REP</v>
      </c>
      <c r="G89" s="9"/>
      <c r="AC89" s="70" t="str">
        <f>IF(AND(Sheet1!O89="SIM",Sheet1!P89="SIM"),"Sim","")</f>
        <v/>
      </c>
      <c r="AD89" s="70" t="str">
        <f>IF(AC89="sim",Sheet1!I89,"")</f>
        <v/>
      </c>
    </row>
    <row r="90" spans="1:30" ht="24.95" customHeight="1" x14ac:dyDescent="0.25">
      <c r="A90" s="9"/>
      <c r="B90" s="9"/>
      <c r="C90" s="9" t="s">
        <v>101</v>
      </c>
      <c r="D90" s="9" t="s">
        <v>157</v>
      </c>
      <c r="E90" s="9" t="s">
        <v>156</v>
      </c>
      <c r="F90" s="15" t="str">
        <f t="shared" si="7"/>
        <v>REP</v>
      </c>
      <c r="G90" s="9"/>
      <c r="AC90" s="70" t="str">
        <f>IF(AND(Sheet1!O90="SIM",Sheet1!P90="SIM"),"Sim","")</f>
        <v/>
      </c>
      <c r="AD90" s="70" t="str">
        <f>IF(AC90="sim",Sheet1!I90,"")</f>
        <v/>
      </c>
    </row>
    <row r="91" spans="1:30" ht="24.95" customHeight="1" x14ac:dyDescent="0.25">
      <c r="A91" s="9"/>
      <c r="B91" s="9"/>
      <c r="C91" s="9" t="s">
        <v>78</v>
      </c>
      <c r="D91" s="9" t="s">
        <v>157</v>
      </c>
      <c r="E91" s="9" t="s">
        <v>157</v>
      </c>
      <c r="F91" s="15" t="str">
        <f t="shared" si="7"/>
        <v/>
      </c>
      <c r="G91" s="9"/>
      <c r="AC91" s="70" t="str">
        <f>IF(AND(Sheet1!O91="SIM",Sheet1!P91="SIM"),"Sim","")</f>
        <v/>
      </c>
      <c r="AD91" s="70" t="str">
        <f>IF(AC91="sim",Sheet1!I91,"")</f>
        <v/>
      </c>
    </row>
    <row r="92" spans="1:30" ht="24.95" customHeight="1" x14ac:dyDescent="0.25">
      <c r="A92" s="9"/>
      <c r="B92" s="9"/>
      <c r="C92" s="9" t="s">
        <v>78</v>
      </c>
      <c r="D92" s="9" t="s">
        <v>157</v>
      </c>
      <c r="E92" s="9" t="s">
        <v>157</v>
      </c>
      <c r="F92" s="15" t="str">
        <f t="shared" si="7"/>
        <v/>
      </c>
      <c r="G92" s="9"/>
      <c r="AC92" s="70" t="str">
        <f>IF(AND(Sheet1!O92="SIM",Sheet1!P92="SIM"),"Sim","")</f>
        <v/>
      </c>
      <c r="AD92" s="70" t="str">
        <f>IF(AC92="sim",Sheet1!I92,"")</f>
        <v/>
      </c>
    </row>
    <row r="93" spans="1:30" ht="24.95" customHeight="1" x14ac:dyDescent="0.25">
      <c r="A93" s="9"/>
      <c r="B93" s="9"/>
      <c r="C93" s="9" t="s">
        <v>78</v>
      </c>
      <c r="D93" s="9" t="s">
        <v>156</v>
      </c>
      <c r="E93" s="9" t="s">
        <v>156</v>
      </c>
      <c r="F93" s="15" t="str">
        <f t="shared" si="7"/>
        <v>Ambos</v>
      </c>
      <c r="G93" s="9"/>
      <c r="AC93" s="70" t="str">
        <f>IF(AND(Sheet1!O93="SIM",Sheet1!P93="SIM"),"Sim","")</f>
        <v/>
      </c>
      <c r="AD93" s="70" t="str">
        <f>IF(AC93="sim",Sheet1!I93,"")</f>
        <v/>
      </c>
    </row>
    <row r="94" spans="1:30" ht="24.95" customHeight="1" x14ac:dyDescent="0.25">
      <c r="A94" s="9"/>
      <c r="B94" s="9"/>
      <c r="C94" s="9" t="s">
        <v>78</v>
      </c>
      <c r="D94" s="9" t="s">
        <v>157</v>
      </c>
      <c r="E94" s="9" t="s">
        <v>157</v>
      </c>
      <c r="F94" s="15" t="str">
        <f t="shared" si="7"/>
        <v/>
      </c>
      <c r="G94" s="9"/>
      <c r="AC94" s="70" t="str">
        <f>IF(AND(Sheet1!O94="SIM",Sheet1!P94="SIM"),"Sim","")</f>
        <v/>
      </c>
      <c r="AD94" s="70" t="str">
        <f>IF(AC94="sim",Sheet1!I94,"")</f>
        <v/>
      </c>
    </row>
    <row r="95" spans="1:30" ht="24.95" customHeight="1" x14ac:dyDescent="0.25">
      <c r="A95" s="9"/>
      <c r="B95" s="9"/>
      <c r="C95" s="9" t="s">
        <v>78</v>
      </c>
      <c r="D95" s="9" t="s">
        <v>157</v>
      </c>
      <c r="E95" s="9" t="s">
        <v>157</v>
      </c>
      <c r="F95" s="15" t="str">
        <f t="shared" si="7"/>
        <v/>
      </c>
      <c r="G95" s="9"/>
      <c r="AC95" s="70" t="str">
        <f>IF(AND(Sheet1!O95="SIM",Sheet1!P95="SIM"),"Sim","")</f>
        <v>Sim</v>
      </c>
      <c r="AD95" s="70" t="str">
        <f>IF(AC95="sim",Sheet1!I95,"")</f>
        <v>LAB. ELETRO-MECÂNICO</v>
      </c>
    </row>
    <row r="96" spans="1:30" ht="24.95" customHeight="1" x14ac:dyDescent="0.25">
      <c r="A96" s="9"/>
      <c r="B96" s="9"/>
      <c r="C96" s="9" t="s">
        <v>101</v>
      </c>
      <c r="D96" s="9" t="s">
        <v>157</v>
      </c>
      <c r="E96" s="9" t="s">
        <v>157</v>
      </c>
      <c r="F96" s="15" t="str">
        <f t="shared" si="7"/>
        <v/>
      </c>
      <c r="G96" s="9"/>
      <c r="AC96" s="70" t="str">
        <f>IF(AND(Sheet1!O96="SIM",Sheet1!P96="SIM"),"Sim","")</f>
        <v/>
      </c>
      <c r="AD96" s="70" t="str">
        <f>IF(AC96="sim",Sheet1!I96,"")</f>
        <v/>
      </c>
    </row>
    <row r="97" spans="1:30" ht="24.95" customHeight="1" x14ac:dyDescent="0.25">
      <c r="A97" s="9"/>
      <c r="B97" s="9"/>
      <c r="C97" s="9" t="s">
        <v>78</v>
      </c>
      <c r="D97" s="9" t="s">
        <v>156</v>
      </c>
      <c r="E97" s="9" t="s">
        <v>156</v>
      </c>
      <c r="F97" s="15" t="str">
        <f t="shared" si="7"/>
        <v>Ambos</v>
      </c>
      <c r="G97" s="9"/>
      <c r="AC97" s="70" t="str">
        <f>IF(AND(Sheet1!O97="SIM",Sheet1!P97="SIM"),"Sim","")</f>
        <v/>
      </c>
      <c r="AD97" s="70" t="str">
        <f>IF(AC97="sim",Sheet1!I97,"")</f>
        <v/>
      </c>
    </row>
    <row r="98" spans="1:30" ht="24.95" customHeight="1" x14ac:dyDescent="0.25">
      <c r="A98" s="9"/>
      <c r="B98" s="9"/>
      <c r="C98" s="9" t="s">
        <v>78</v>
      </c>
      <c r="D98" s="9" t="s">
        <v>156</v>
      </c>
      <c r="E98" s="9" t="s">
        <v>156</v>
      </c>
      <c r="F98" s="15" t="str">
        <f t="shared" si="7"/>
        <v>Ambos</v>
      </c>
      <c r="G98" s="9"/>
      <c r="AC98" s="70" t="str">
        <f>IF(AND(Sheet1!O98="SIM",Sheet1!P98="SIM"),"Sim","")</f>
        <v/>
      </c>
      <c r="AD98" s="70" t="str">
        <f>IF(AC98="sim",Sheet1!I98,"")</f>
        <v/>
      </c>
    </row>
    <row r="99" spans="1:30" ht="24.95" customHeight="1" x14ac:dyDescent="0.25">
      <c r="A99" s="9"/>
      <c r="B99" s="9"/>
      <c r="C99" s="9" t="s">
        <v>78</v>
      </c>
      <c r="D99" s="9" t="s">
        <v>156</v>
      </c>
      <c r="E99" s="9" t="s">
        <v>156</v>
      </c>
      <c r="F99" s="15" t="str">
        <f t="shared" si="7"/>
        <v>Ambos</v>
      </c>
      <c r="G99" s="9"/>
      <c r="AC99" s="70" t="str">
        <f>IF(AND(Sheet1!O99="SIM",Sheet1!P99="SIM"),"Sim","")</f>
        <v>Sim</v>
      </c>
      <c r="AD99" s="70" t="str">
        <f>IF(AC99="sim",Sheet1!I99,"")</f>
        <v>LAB. ELETRO-MECÂNICO</v>
      </c>
    </row>
    <row r="100" spans="1:30" ht="24.95" customHeight="1" x14ac:dyDescent="0.25">
      <c r="A100" s="9"/>
      <c r="B100" s="9"/>
      <c r="C100" s="9" t="s">
        <v>78</v>
      </c>
      <c r="D100" s="9" t="s">
        <v>156</v>
      </c>
      <c r="E100" s="9" t="s">
        <v>156</v>
      </c>
      <c r="F100" s="15" t="str">
        <f t="shared" si="7"/>
        <v>Ambos</v>
      </c>
      <c r="G100" s="9"/>
      <c r="AC100" s="70" t="str">
        <f>IF(AND(Sheet1!O100="SIM",Sheet1!P100="SIM"),"Sim","")</f>
        <v>Sim</v>
      </c>
      <c r="AD100" s="70" t="str">
        <f>IF(AC100="sim",Sheet1!I100,"")</f>
        <v>LAB. ELETRO-MECÂNICO</v>
      </c>
    </row>
    <row r="101" spans="1:30" ht="24.95" customHeight="1" x14ac:dyDescent="0.25">
      <c r="A101" s="9"/>
      <c r="B101" s="9"/>
      <c r="C101" s="9" t="s">
        <v>78</v>
      </c>
      <c r="D101" s="9" t="s">
        <v>156</v>
      </c>
      <c r="E101" s="9" t="s">
        <v>156</v>
      </c>
      <c r="F101" s="15" t="str">
        <f t="shared" si="7"/>
        <v>Ambos</v>
      </c>
      <c r="G101" s="9"/>
      <c r="AC101" s="70" t="str">
        <f>IF(AND(Sheet1!O101="SIM",Sheet1!P101="SIM"),"Sim","")</f>
        <v>Sim</v>
      </c>
      <c r="AD101" s="70" t="str">
        <f>IF(AC101="sim",Sheet1!I101,"")</f>
        <v>LAB. ELETRO-MECÂNICO</v>
      </c>
    </row>
    <row r="102" spans="1:30" ht="24.95" customHeight="1" x14ac:dyDescent="0.25">
      <c r="A102" s="9"/>
      <c r="B102" s="9"/>
      <c r="C102" s="9" t="s">
        <v>82</v>
      </c>
      <c r="D102" s="9" t="s">
        <v>157</v>
      </c>
      <c r="E102" s="9" t="s">
        <v>157</v>
      </c>
      <c r="F102" s="15" t="str">
        <f t="shared" si="7"/>
        <v/>
      </c>
      <c r="G102" s="9"/>
      <c r="AC102" s="70" t="str">
        <f>IF(AND(Sheet1!O102="SIM",Sheet1!P102="SIM"),"Sim","")</f>
        <v>Sim</v>
      </c>
      <c r="AD102" s="70" t="str">
        <f>IF(AC102="sim",Sheet1!I102,"")</f>
        <v>LAB. ELETRO-MECÂNICO</v>
      </c>
    </row>
    <row r="103" spans="1:30" ht="24.95" customHeight="1" x14ac:dyDescent="0.25">
      <c r="A103" s="9"/>
      <c r="B103" s="9"/>
      <c r="C103" s="9" t="s">
        <v>78</v>
      </c>
      <c r="D103" s="9" t="s">
        <v>156</v>
      </c>
      <c r="E103" s="9" t="s">
        <v>156</v>
      </c>
      <c r="F103" s="15" t="str">
        <f t="shared" si="7"/>
        <v>Ambos</v>
      </c>
      <c r="G103" s="9"/>
      <c r="AC103" s="70" t="str">
        <f>IF(AND(Sheet1!O103="SIM",Sheet1!P103="SIM"),"Sim","")</f>
        <v>Sim</v>
      </c>
      <c r="AD103" s="70" t="str">
        <f>IF(AC103="sim",Sheet1!I103,"")</f>
        <v>LAB. ELETRO-MECÂNICO</v>
      </c>
    </row>
    <row r="104" spans="1:30" ht="24.95" customHeight="1" x14ac:dyDescent="0.25">
      <c r="A104" s="9"/>
      <c r="B104" s="9"/>
      <c r="C104" s="9" t="s">
        <v>82</v>
      </c>
      <c r="D104" s="9" t="s">
        <v>156</v>
      </c>
      <c r="E104" s="9" t="s">
        <v>156</v>
      </c>
      <c r="F104" s="15" t="str">
        <f t="shared" si="7"/>
        <v>Ambos</v>
      </c>
      <c r="G104" s="9"/>
      <c r="AC104" s="70" t="str">
        <f>IF(AND(Sheet1!O104="SIM",Sheet1!P104="SIM"),"Sim","")</f>
        <v/>
      </c>
      <c r="AD104" s="70" t="str">
        <f>IF(AC104="sim",Sheet1!I104,"")</f>
        <v/>
      </c>
    </row>
    <row r="105" spans="1:30" ht="24.95" customHeight="1" x14ac:dyDescent="0.25">
      <c r="A105" s="9"/>
      <c r="B105" s="9"/>
      <c r="C105" s="9" t="s">
        <v>78</v>
      </c>
      <c r="D105" s="9" t="s">
        <v>156</v>
      </c>
      <c r="E105" s="9" t="s">
        <v>156</v>
      </c>
      <c r="F105" s="15" t="str">
        <f t="shared" si="7"/>
        <v>Ambos</v>
      </c>
      <c r="G105" s="9"/>
      <c r="AC105" s="70" t="str">
        <f>IF(AND(Sheet1!O105="SIM",Sheet1!P105="SIM"),"Sim","")</f>
        <v>Sim</v>
      </c>
      <c r="AD105" s="70" t="str">
        <f>IF(AC105="sim",Sheet1!I105,"")</f>
        <v>LAB. ELETRO-MECÂNICO</v>
      </c>
    </row>
    <row r="106" spans="1:30" ht="24.95" customHeight="1" x14ac:dyDescent="0.25">
      <c r="A106" s="9"/>
      <c r="B106" s="9"/>
      <c r="C106" s="9" t="s">
        <v>82</v>
      </c>
      <c r="D106" s="9" t="s">
        <v>156</v>
      </c>
      <c r="E106" s="9" t="s">
        <v>156</v>
      </c>
      <c r="F106" s="15" t="str">
        <f t="shared" si="7"/>
        <v>Ambos</v>
      </c>
      <c r="G106" s="9"/>
      <c r="AC106" s="70" t="str">
        <f>IF(AND(Sheet1!O106="SIM",Sheet1!P106="SIM"),"Sim","")</f>
        <v>Sim</v>
      </c>
      <c r="AD106" s="70" t="str">
        <f>IF(AC106="sim",Sheet1!I106,"")</f>
        <v>LAB. QUÍMICO</v>
      </c>
    </row>
    <row r="107" spans="1:30" ht="24.95" customHeight="1" x14ac:dyDescent="0.25">
      <c r="A107" s="9"/>
      <c r="B107" s="9"/>
      <c r="C107" s="9" t="s">
        <v>87</v>
      </c>
      <c r="D107" s="9" t="s">
        <v>157</v>
      </c>
      <c r="E107" s="9" t="s">
        <v>157</v>
      </c>
      <c r="F107" s="15" t="str">
        <f t="shared" si="7"/>
        <v/>
      </c>
      <c r="G107" s="9"/>
      <c r="AC107" s="70" t="str">
        <f>IF(AND(Sheet1!O107="SIM",Sheet1!P107="SIM"),"Sim","")</f>
        <v>Sim</v>
      </c>
      <c r="AD107" s="70" t="str">
        <f>IF(AC107="sim",Sheet1!I107,"")</f>
        <v>LAB. ELETRO-MECÂNICO</v>
      </c>
    </row>
    <row r="108" spans="1:30" ht="24.95" customHeight="1" x14ac:dyDescent="0.25">
      <c r="A108" s="9"/>
      <c r="B108" s="9"/>
      <c r="C108" s="9" t="s">
        <v>101</v>
      </c>
      <c r="D108" s="9" t="s">
        <v>157</v>
      </c>
      <c r="E108" s="9" t="s">
        <v>157</v>
      </c>
      <c r="F108" s="15" t="str">
        <f t="shared" si="7"/>
        <v/>
      </c>
      <c r="G108" s="9"/>
      <c r="AC108" s="70" t="str">
        <f>IF(AND(Sheet1!O108="SIM",Sheet1!P108="SIM"),"Sim","")</f>
        <v>Sim</v>
      </c>
      <c r="AD108" s="70" t="str">
        <f>IF(AC108="sim",Sheet1!I108,"")</f>
        <v>LAB. QUÍMICO</v>
      </c>
    </row>
    <row r="109" spans="1:30" ht="24.95" customHeight="1" x14ac:dyDescent="0.25">
      <c r="A109" s="9"/>
      <c r="B109" s="9"/>
      <c r="C109" s="9" t="s">
        <v>82</v>
      </c>
      <c r="D109" s="9" t="s">
        <v>156</v>
      </c>
      <c r="E109" s="9" t="s">
        <v>156</v>
      </c>
      <c r="F109" s="15" t="str">
        <f t="shared" si="7"/>
        <v>Ambos</v>
      </c>
      <c r="G109" s="9"/>
      <c r="AC109" s="70" t="str">
        <f>IF(AND(Sheet1!O109="SIM",Sheet1!P109="SIM"),"Sim","")</f>
        <v/>
      </c>
      <c r="AD109" s="70" t="str">
        <f>IF(AC109="sim",Sheet1!I109,"")</f>
        <v/>
      </c>
    </row>
    <row r="110" spans="1:30" ht="24.95" customHeight="1" x14ac:dyDescent="0.25">
      <c r="A110" s="9"/>
      <c r="B110" s="9"/>
      <c r="C110" s="9" t="s">
        <v>82</v>
      </c>
      <c r="D110" s="9" t="s">
        <v>156</v>
      </c>
      <c r="E110" s="9" t="s">
        <v>156</v>
      </c>
      <c r="F110" s="15" t="str">
        <f t="shared" si="7"/>
        <v>Ambos</v>
      </c>
      <c r="G110" s="9"/>
      <c r="AC110" s="70" t="str">
        <f>IF(AND(Sheet1!O110="SIM",Sheet1!P110="SIM"),"Sim","")</f>
        <v/>
      </c>
      <c r="AD110" s="70" t="str">
        <f>IF(AC110="sim",Sheet1!I110,"")</f>
        <v/>
      </c>
    </row>
    <row r="111" spans="1:30" ht="24.95" customHeight="1" x14ac:dyDescent="0.25">
      <c r="A111" s="9"/>
      <c r="B111" s="9"/>
      <c r="C111" s="9" t="s">
        <v>101</v>
      </c>
      <c r="D111" s="9" t="s">
        <v>157</v>
      </c>
      <c r="E111" s="9" t="s">
        <v>157</v>
      </c>
      <c r="F111" s="15" t="str">
        <f t="shared" si="7"/>
        <v/>
      </c>
      <c r="G111" s="9"/>
      <c r="AC111" s="70" t="str">
        <f>IF(AND(Sheet1!O111="SIM",Sheet1!P111="SIM"),"Sim","")</f>
        <v>Sim</v>
      </c>
      <c r="AD111" s="70" t="str">
        <f>IF(AC111="sim",Sheet1!I111,"")</f>
        <v>LAB. QUÍMICO</v>
      </c>
    </row>
    <row r="112" spans="1:30" ht="24.95" customHeight="1" x14ac:dyDescent="0.25">
      <c r="A112" s="9"/>
      <c r="B112" s="9"/>
      <c r="C112" s="9" t="s">
        <v>101</v>
      </c>
      <c r="D112" s="9" t="s">
        <v>157</v>
      </c>
      <c r="E112" s="9" t="s">
        <v>157</v>
      </c>
      <c r="F112" s="15" t="str">
        <f t="shared" si="7"/>
        <v/>
      </c>
      <c r="G112" s="9"/>
      <c r="AC112" s="70" t="str">
        <f>IF(AND(Sheet1!O112="SIM",Sheet1!P112="SIM"),"Sim","")</f>
        <v>Sim</v>
      </c>
      <c r="AD112" s="70" t="str">
        <f>IF(AC112="sim",Sheet1!I112,"")</f>
        <v>LAB. QUÍMICO</v>
      </c>
    </row>
    <row r="113" spans="1:30" ht="24.95" customHeight="1" x14ac:dyDescent="0.25">
      <c r="A113" s="9"/>
      <c r="B113" s="9"/>
      <c r="C113" s="9" t="s">
        <v>101</v>
      </c>
      <c r="D113" s="9" t="s">
        <v>156</v>
      </c>
      <c r="E113" s="9" t="s">
        <v>157</v>
      </c>
      <c r="F113" s="15" t="str">
        <f t="shared" si="7"/>
        <v>Técnico</v>
      </c>
      <c r="G113" s="9"/>
      <c r="AC113" s="70" t="str">
        <f>IF(AND(Sheet1!O113="SIM",Sheet1!P113="SIM"),"Sim","")</f>
        <v/>
      </c>
      <c r="AD113" s="70" t="str">
        <f>IF(AC113="sim",Sheet1!I113,"")</f>
        <v/>
      </c>
    </row>
    <row r="114" spans="1:30" ht="24.95" customHeight="1" x14ac:dyDescent="0.25">
      <c r="A114" s="9"/>
      <c r="B114" s="9"/>
      <c r="C114" s="9" t="s">
        <v>101</v>
      </c>
      <c r="D114" s="9" t="s">
        <v>157</v>
      </c>
      <c r="E114" s="9" t="s">
        <v>157</v>
      </c>
      <c r="F114" s="15" t="str">
        <f t="shared" si="7"/>
        <v/>
      </c>
      <c r="G114" s="9"/>
      <c r="AC114" s="70" t="str">
        <f>IF(AND(Sheet1!O114="SIM",Sheet1!P114="SIM"),"Sim","")</f>
        <v/>
      </c>
      <c r="AD114" s="70" t="str">
        <f>IF(AC114="sim",Sheet1!I114,"")</f>
        <v/>
      </c>
    </row>
    <row r="115" spans="1:30" ht="24.95" customHeight="1" x14ac:dyDescent="0.25">
      <c r="A115" s="9"/>
      <c r="B115" s="9"/>
      <c r="C115" s="9" t="s">
        <v>78</v>
      </c>
      <c r="D115" s="9" t="s">
        <v>156</v>
      </c>
      <c r="E115" s="9" t="s">
        <v>157</v>
      </c>
      <c r="F115" s="15" t="str">
        <f t="shared" si="7"/>
        <v>Técnico</v>
      </c>
      <c r="G115" s="9"/>
      <c r="AC115" s="70" t="str">
        <f>IF(AND(Sheet1!O115="SIM",Sheet1!P115="SIM"),"Sim","")</f>
        <v/>
      </c>
      <c r="AD115" s="70" t="str">
        <f>IF(AC115="sim",Sheet1!I115,"")</f>
        <v/>
      </c>
    </row>
    <row r="116" spans="1:30" ht="24.95" customHeight="1" x14ac:dyDescent="0.25">
      <c r="A116" s="9"/>
      <c r="B116" s="9"/>
      <c r="C116" s="9" t="s">
        <v>78</v>
      </c>
      <c r="D116" s="9" t="s">
        <v>157</v>
      </c>
      <c r="E116" s="9" t="s">
        <v>157</v>
      </c>
      <c r="F116" s="15" t="str">
        <f t="shared" si="7"/>
        <v/>
      </c>
      <c r="G116" s="9"/>
      <c r="AC116" s="70" t="str">
        <f>IF(AND(Sheet1!O116="SIM",Sheet1!P116="SIM"),"Sim","")</f>
        <v/>
      </c>
      <c r="AD116" s="70" t="str">
        <f>IF(AC116="sim",Sheet1!I116,"")</f>
        <v/>
      </c>
    </row>
    <row r="117" spans="1:30" ht="24.95" customHeight="1" x14ac:dyDescent="0.25">
      <c r="A117" s="9"/>
      <c r="B117" s="9"/>
      <c r="C117" s="9" t="s">
        <v>94</v>
      </c>
      <c r="D117" s="9" t="s">
        <v>156</v>
      </c>
      <c r="E117" s="9" t="s">
        <v>156</v>
      </c>
      <c r="F117" s="15" t="str">
        <f t="shared" si="7"/>
        <v>Ambos</v>
      </c>
      <c r="G117" s="9"/>
      <c r="AC117" s="70" t="str">
        <f>IF(AND(Sheet1!O117="SIM",Sheet1!P117="SIM"),"Sim","")</f>
        <v/>
      </c>
      <c r="AD117" s="70" t="str">
        <f>IF(AC117="sim",Sheet1!I117,"")</f>
        <v/>
      </c>
    </row>
    <row r="118" spans="1:30" ht="24.95" customHeight="1" x14ac:dyDescent="0.25">
      <c r="A118" s="9"/>
      <c r="B118" s="9"/>
      <c r="C118" s="9" t="s">
        <v>78</v>
      </c>
      <c r="D118" s="9" t="s">
        <v>157</v>
      </c>
      <c r="E118" s="9" t="s">
        <v>157</v>
      </c>
      <c r="F118" s="15" t="str">
        <f t="shared" si="7"/>
        <v/>
      </c>
      <c r="G118" s="9"/>
      <c r="AC118" s="70" t="str">
        <f>IF(AND(Sheet1!O118="SIM",Sheet1!P118="SIM"),"Sim","")</f>
        <v/>
      </c>
      <c r="AD118" s="70" t="str">
        <f>IF(AC118="sim",Sheet1!I118,"")</f>
        <v/>
      </c>
    </row>
    <row r="119" spans="1:30" ht="24.95" customHeight="1" x14ac:dyDescent="0.25">
      <c r="A119" s="9"/>
      <c r="B119" s="9"/>
      <c r="C119" s="9" t="s">
        <v>100</v>
      </c>
      <c r="D119" s="9" t="s">
        <v>156</v>
      </c>
      <c r="E119" s="9" t="s">
        <v>156</v>
      </c>
      <c r="F119" s="15" t="str">
        <f t="shared" si="7"/>
        <v>Ambos</v>
      </c>
      <c r="G119" s="9"/>
      <c r="AC119" s="70" t="str">
        <f>IF(AND(Sheet1!O119="SIM",Sheet1!P119="SIM"),"Sim","")</f>
        <v>Sim</v>
      </c>
      <c r="AD119" s="70" t="str">
        <f>IF(AC119="sim",Sheet1!I119,"")</f>
        <v>LAB. FOGO-DIV</v>
      </c>
    </row>
    <row r="120" spans="1:30" ht="24.95" customHeight="1" x14ac:dyDescent="0.25">
      <c r="A120" s="9"/>
      <c r="B120" s="9"/>
      <c r="C120" s="9" t="s">
        <v>94</v>
      </c>
      <c r="D120" s="9" t="s">
        <v>156</v>
      </c>
      <c r="E120" s="9" t="s">
        <v>156</v>
      </c>
      <c r="F120" s="15" t="str">
        <f t="shared" si="7"/>
        <v>Ambos</v>
      </c>
      <c r="G120" s="9"/>
      <c r="AC120" s="70" t="str">
        <f>IF(AND(Sheet1!O120="SIM",Sheet1!P120="SIM"),"Sim","")</f>
        <v/>
      </c>
      <c r="AD120" s="70" t="str">
        <f>IF(AC120="sim",Sheet1!I120,"")</f>
        <v/>
      </c>
    </row>
    <row r="121" spans="1:30" ht="24.95" customHeight="1" x14ac:dyDescent="0.25">
      <c r="A121" s="9"/>
      <c r="B121" s="9"/>
      <c r="C121" s="9" t="s">
        <v>100</v>
      </c>
      <c r="D121" s="9" t="s">
        <v>157</v>
      </c>
      <c r="E121" s="9" t="s">
        <v>156</v>
      </c>
      <c r="F121" s="15" t="str">
        <f t="shared" si="7"/>
        <v>REP</v>
      </c>
      <c r="G121" s="9"/>
      <c r="AC121" s="70" t="str">
        <f>IF(AND(Sheet1!O121="SIM",Sheet1!P121="SIM"),"Sim","")</f>
        <v>Sim</v>
      </c>
      <c r="AD121" s="70" t="str">
        <f>IF(AC121="sim",Sheet1!I121,"")</f>
        <v>LAB. TELECOM-METÁLICO</v>
      </c>
    </row>
    <row r="122" spans="1:30" ht="24.95" customHeight="1" x14ac:dyDescent="0.25">
      <c r="A122" s="9"/>
      <c r="B122" s="9"/>
      <c r="C122" s="9" t="s">
        <v>100</v>
      </c>
      <c r="D122" s="9" t="s">
        <v>156</v>
      </c>
      <c r="E122" s="9" t="s">
        <v>156</v>
      </c>
      <c r="F122" s="15" t="str">
        <f t="shared" si="7"/>
        <v>Ambos</v>
      </c>
      <c r="G122" s="9"/>
      <c r="AC122" s="70" t="str">
        <f>IF(AND(Sheet1!O122="SIM",Sheet1!P122="SIM"),"Sim","")</f>
        <v>Sim</v>
      </c>
      <c r="AD122" s="70" t="str">
        <f>IF(AC122="sim",Sheet1!I122,"")</f>
        <v>LAB. FOGO-DIV</v>
      </c>
    </row>
    <row r="123" spans="1:30" ht="24.95" customHeight="1" x14ac:dyDescent="0.25">
      <c r="A123" s="9"/>
      <c r="B123" s="9"/>
      <c r="C123" s="9" t="s">
        <v>94</v>
      </c>
      <c r="D123" s="9" t="s">
        <v>157</v>
      </c>
      <c r="E123" s="9" t="s">
        <v>156</v>
      </c>
      <c r="F123" s="15" t="str">
        <f t="shared" si="7"/>
        <v>REP</v>
      </c>
      <c r="G123" s="9"/>
      <c r="AC123" s="70" t="str">
        <f>IF(AND(Sheet1!O123="SIM",Sheet1!P123="SIM"),"Sim","")</f>
        <v/>
      </c>
      <c r="AD123" s="70" t="str">
        <f>IF(AC123="sim",Sheet1!I123,"")</f>
        <v/>
      </c>
    </row>
    <row r="124" spans="1:30" ht="24.95" customHeight="1" x14ac:dyDescent="0.25">
      <c r="A124" s="9"/>
      <c r="B124" s="9"/>
      <c r="C124" s="9" t="s">
        <v>100</v>
      </c>
      <c r="D124" s="9" t="s">
        <v>157</v>
      </c>
      <c r="E124" s="9" t="s">
        <v>156</v>
      </c>
      <c r="F124" s="15" t="str">
        <f t="shared" si="7"/>
        <v>REP</v>
      </c>
      <c r="G124" s="9"/>
      <c r="AC124" s="70" t="str">
        <f>IF(AND(Sheet1!O124="SIM",Sheet1!P124="SIM"),"Sim","")</f>
        <v>Sim</v>
      </c>
      <c r="AD124" s="70" t="str">
        <f>IF(AC124="sim",Sheet1!I124,"")</f>
        <v>LAB. TELECOM-METÁLICO</v>
      </c>
    </row>
    <row r="125" spans="1:30" ht="24.95" customHeight="1" x14ac:dyDescent="0.25">
      <c r="A125" s="9"/>
      <c r="B125" s="9"/>
      <c r="C125" s="9" t="s">
        <v>78</v>
      </c>
      <c r="D125" s="9" t="s">
        <v>156</v>
      </c>
      <c r="E125" s="9" t="s">
        <v>157</v>
      </c>
      <c r="F125" s="15" t="str">
        <f t="shared" si="7"/>
        <v>Técnico</v>
      </c>
      <c r="G125" s="9"/>
      <c r="AC125" s="70" t="str">
        <f>IF(AND(Sheet1!O125="SIM",Sheet1!P125="SIM"),"Sim","")</f>
        <v/>
      </c>
      <c r="AD125" s="70" t="str">
        <f>IF(AC125="sim",Sheet1!I125,"")</f>
        <v/>
      </c>
    </row>
    <row r="126" spans="1:30" ht="24.95" customHeight="1" x14ac:dyDescent="0.25">
      <c r="A126" s="9"/>
      <c r="B126" s="9"/>
      <c r="C126" s="9" t="s">
        <v>78</v>
      </c>
      <c r="D126" s="9" t="s">
        <v>157</v>
      </c>
      <c r="E126" s="9" t="s">
        <v>157</v>
      </c>
      <c r="F126" s="15" t="str">
        <f t="shared" si="7"/>
        <v/>
      </c>
      <c r="G126" s="9"/>
      <c r="AC126" s="70" t="str">
        <f>IF(AND(Sheet1!O126="SIM",Sheet1!P126="SIM"),"Sim","")</f>
        <v/>
      </c>
      <c r="AD126" s="70" t="str">
        <f>IF(AC126="sim",Sheet1!I126,"")</f>
        <v/>
      </c>
    </row>
    <row r="127" spans="1:30" ht="24.95" customHeight="1" x14ac:dyDescent="0.25">
      <c r="A127" s="9"/>
      <c r="B127" s="9"/>
      <c r="C127" s="9" t="s">
        <v>78</v>
      </c>
      <c r="D127" s="9" t="s">
        <v>157</v>
      </c>
      <c r="E127" s="9" t="s">
        <v>157</v>
      </c>
      <c r="F127" s="15" t="str">
        <f t="shared" si="7"/>
        <v/>
      </c>
      <c r="G127" s="9"/>
      <c r="AC127" s="70" t="str">
        <f>IF(AND(Sheet1!O127="SIM",Sheet1!P127="SIM"),"Sim","")</f>
        <v/>
      </c>
      <c r="AD127" s="70" t="str">
        <f>IF(AC127="sim",Sheet1!I127,"")</f>
        <v/>
      </c>
    </row>
    <row r="128" spans="1:30" ht="24.95" customHeight="1" x14ac:dyDescent="0.25">
      <c r="A128" s="9"/>
      <c r="B128" s="9"/>
      <c r="C128" s="9" t="s">
        <v>78</v>
      </c>
      <c r="D128" s="9" t="s">
        <v>157</v>
      </c>
      <c r="E128" s="9" t="s">
        <v>157</v>
      </c>
      <c r="F128" s="15" t="str">
        <f t="shared" si="7"/>
        <v/>
      </c>
      <c r="G128" s="9"/>
      <c r="AC128" s="70" t="str">
        <f>IF(AND(Sheet1!O128="SIM",Sheet1!P128="SIM"),"Sim","")</f>
        <v/>
      </c>
      <c r="AD128" s="70" t="str">
        <f>IF(AC128="sim",Sheet1!I128,"")</f>
        <v/>
      </c>
    </row>
    <row r="129" spans="1:30" ht="24.95" customHeight="1" x14ac:dyDescent="0.25">
      <c r="A129" s="9"/>
      <c r="B129" s="9"/>
      <c r="C129" s="9" t="s">
        <v>103</v>
      </c>
      <c r="D129" s="9" t="s">
        <v>157</v>
      </c>
      <c r="E129" s="9" t="s">
        <v>157</v>
      </c>
      <c r="F129" s="15" t="str">
        <f t="shared" si="7"/>
        <v/>
      </c>
      <c r="G129" s="9"/>
      <c r="AC129" s="70" t="str">
        <f>IF(AND(Sheet1!O129="SIM",Sheet1!P129="SIM"),"Sim","")</f>
        <v/>
      </c>
      <c r="AD129" s="70" t="str">
        <f>IF(AC129="sim",Sheet1!I129,"")</f>
        <v/>
      </c>
    </row>
    <row r="130" spans="1:30" ht="24.95" customHeight="1" x14ac:dyDescent="0.25">
      <c r="A130" s="9"/>
      <c r="B130" s="9"/>
      <c r="C130" s="9" t="s">
        <v>78</v>
      </c>
      <c r="D130" s="9" t="s">
        <v>156</v>
      </c>
      <c r="E130" s="9" t="s">
        <v>157</v>
      </c>
      <c r="F130" s="15" t="str">
        <f t="shared" si="7"/>
        <v>Técnico</v>
      </c>
      <c r="G130" s="9"/>
      <c r="AC130" s="70" t="str">
        <f>IF(AND(Sheet1!O130="SIM",Sheet1!P130="SIM"),"Sim","")</f>
        <v/>
      </c>
      <c r="AD130" s="70" t="str">
        <f>IF(AC130="sim",Sheet1!I130,"")</f>
        <v/>
      </c>
    </row>
    <row r="131" spans="1:30" ht="24.95" customHeight="1" x14ac:dyDescent="0.25">
      <c r="A131" s="9"/>
      <c r="B131" s="9"/>
      <c r="C131" s="9" t="s">
        <v>87</v>
      </c>
      <c r="D131" s="9" t="s">
        <v>157</v>
      </c>
      <c r="E131" s="9" t="s">
        <v>157</v>
      </c>
      <c r="F131" s="15" t="str">
        <f t="shared" ref="F131:F194" si="8">IFERROR(IF(AND(D131="Não",E131="Sim"),"REP",
IF(AND(D131="Sim",E131="Não"),"Técnico",
IF(AND(D131="Sim",E131="Sim"),"Ambos",""))),"")</f>
        <v/>
      </c>
      <c r="G131" s="9"/>
      <c r="AC131" s="70" t="str">
        <f>IF(AND(Sheet1!O131="SIM",Sheet1!P131="SIM"),"Sim","")</f>
        <v/>
      </c>
      <c r="AD131" s="70" t="str">
        <f>IF(AC131="sim",Sheet1!I131,"")</f>
        <v/>
      </c>
    </row>
    <row r="132" spans="1:30" ht="24.95" customHeight="1" x14ac:dyDescent="0.25">
      <c r="A132" s="9"/>
      <c r="B132" s="9"/>
      <c r="C132" s="9" t="s">
        <v>82</v>
      </c>
      <c r="D132" s="9" t="s">
        <v>156</v>
      </c>
      <c r="E132" s="9" t="s">
        <v>157</v>
      </c>
      <c r="F132" s="15" t="str">
        <f t="shared" si="8"/>
        <v>Técnico</v>
      </c>
      <c r="G132" s="9"/>
      <c r="AC132" s="70" t="str">
        <f>IF(AND(Sheet1!O132="SIM",Sheet1!P132="SIM"),"Sim","")</f>
        <v/>
      </c>
      <c r="AD132" s="70" t="str">
        <f>IF(AC132="sim",Sheet1!I132,"")</f>
        <v/>
      </c>
    </row>
    <row r="133" spans="1:30" ht="24.95" customHeight="1" x14ac:dyDescent="0.25">
      <c r="A133" s="9"/>
      <c r="B133" s="9"/>
      <c r="C133" s="9" t="s">
        <v>87</v>
      </c>
      <c r="D133" s="9" t="s">
        <v>157</v>
      </c>
      <c r="E133" s="9" t="s">
        <v>157</v>
      </c>
      <c r="F133" s="15" t="str">
        <f t="shared" si="8"/>
        <v/>
      </c>
      <c r="G133" s="9"/>
      <c r="AC133" s="70" t="str">
        <f>IF(AND(Sheet1!O133="SIM",Sheet1!P133="SIM"),"Sim","")</f>
        <v/>
      </c>
      <c r="AD133" s="70" t="str">
        <f>IF(AC133="sim",Sheet1!I133,"")</f>
        <v/>
      </c>
    </row>
    <row r="134" spans="1:30" ht="24.95" customHeight="1" x14ac:dyDescent="0.25">
      <c r="A134" s="9"/>
      <c r="B134" s="9"/>
      <c r="C134" s="9" t="s">
        <v>82</v>
      </c>
      <c r="D134" s="9" t="s">
        <v>156</v>
      </c>
      <c r="E134" s="9" t="s">
        <v>157</v>
      </c>
      <c r="F134" s="15" t="str">
        <f t="shared" si="8"/>
        <v>Técnico</v>
      </c>
      <c r="G134" s="9"/>
      <c r="AC134" s="70" t="str">
        <f>IF(AND(Sheet1!O134="SIM",Sheet1!P134="SIM"),"Sim","")</f>
        <v/>
      </c>
      <c r="AD134" s="70" t="str">
        <f>IF(AC134="sim",Sheet1!I134,"")</f>
        <v/>
      </c>
    </row>
    <row r="135" spans="1:30" ht="24.95" customHeight="1" x14ac:dyDescent="0.25">
      <c r="A135" s="9"/>
      <c r="B135" s="9"/>
      <c r="C135" s="9" t="s">
        <v>82</v>
      </c>
      <c r="D135" s="9" t="s">
        <v>156</v>
      </c>
      <c r="E135" s="9" t="s">
        <v>156</v>
      </c>
      <c r="F135" s="15" t="str">
        <f t="shared" si="8"/>
        <v>Ambos</v>
      </c>
      <c r="G135" s="9"/>
      <c r="AC135" s="70" t="str">
        <f>IF(AND(Sheet1!O135="SIM",Sheet1!P135="SIM"),"Sim","")</f>
        <v/>
      </c>
      <c r="AD135" s="70" t="str">
        <f>IF(AC135="sim",Sheet1!I135,"")</f>
        <v/>
      </c>
    </row>
    <row r="136" spans="1:30" ht="24.95" customHeight="1" x14ac:dyDescent="0.25">
      <c r="A136" s="9"/>
      <c r="B136" s="9"/>
      <c r="C136" s="9" t="s">
        <v>87</v>
      </c>
      <c r="D136" s="9" t="s">
        <v>157</v>
      </c>
      <c r="E136" s="9" t="s">
        <v>156</v>
      </c>
      <c r="F136" s="15" t="str">
        <f t="shared" si="8"/>
        <v>REP</v>
      </c>
      <c r="G136" s="9"/>
      <c r="AC136" s="70" t="str">
        <f>IF(AND(Sheet1!O136="SIM",Sheet1!P136="SIM"),"Sim","")</f>
        <v/>
      </c>
      <c r="AD136" s="70" t="str">
        <f>IF(AC136="sim",Sheet1!I136,"")</f>
        <v/>
      </c>
    </row>
    <row r="137" spans="1:30" ht="24.95" customHeight="1" x14ac:dyDescent="0.25">
      <c r="A137" s="9"/>
      <c r="B137" s="9"/>
      <c r="C137" s="9" t="s">
        <v>87</v>
      </c>
      <c r="D137" s="9" t="s">
        <v>156</v>
      </c>
      <c r="E137" s="9" t="s">
        <v>157</v>
      </c>
      <c r="F137" s="15" t="str">
        <f t="shared" si="8"/>
        <v>Técnico</v>
      </c>
      <c r="G137" s="9"/>
      <c r="AC137" s="70" t="str">
        <f>IF(AND(Sheet1!O137="SIM",Sheet1!P137="SIM"),"Sim","")</f>
        <v>Sim</v>
      </c>
      <c r="AD137" s="70" t="str">
        <f>IF(AC137="sim",Sheet1!I137,"")</f>
        <v>LAB. QUÍMICO</v>
      </c>
    </row>
    <row r="138" spans="1:30" ht="24.95" customHeight="1" x14ac:dyDescent="0.25">
      <c r="A138" s="9"/>
      <c r="B138" s="9"/>
      <c r="C138" s="9" t="s">
        <v>87</v>
      </c>
      <c r="D138" s="9" t="s">
        <v>156</v>
      </c>
      <c r="E138" s="9" t="s">
        <v>157</v>
      </c>
      <c r="F138" s="15" t="str">
        <f t="shared" si="8"/>
        <v>Técnico</v>
      </c>
      <c r="G138" s="9"/>
      <c r="AC138" s="70" t="str">
        <f>IF(AND(Sheet1!O138="SIM",Sheet1!P138="SIM"),"Sim","")</f>
        <v/>
      </c>
      <c r="AD138" s="70" t="str">
        <f>IF(AC138="sim",Sheet1!I138,"")</f>
        <v/>
      </c>
    </row>
    <row r="139" spans="1:30" ht="24.95" customHeight="1" x14ac:dyDescent="0.25">
      <c r="A139" s="9"/>
      <c r="B139" s="9"/>
      <c r="C139" s="9" t="s">
        <v>87</v>
      </c>
      <c r="D139" s="9" t="s">
        <v>156</v>
      </c>
      <c r="E139" s="9" t="s">
        <v>156</v>
      </c>
      <c r="F139" s="15" t="str">
        <f t="shared" si="8"/>
        <v>Ambos</v>
      </c>
      <c r="G139" s="9"/>
      <c r="AC139" s="70" t="str">
        <f>IF(AND(Sheet1!O139="SIM",Sheet1!P139="SIM"),"Sim","")</f>
        <v/>
      </c>
      <c r="AD139" s="70" t="str">
        <f>IF(AC139="sim",Sheet1!I139,"")</f>
        <v/>
      </c>
    </row>
    <row r="140" spans="1:30" ht="24.95" customHeight="1" x14ac:dyDescent="0.25">
      <c r="A140" s="9"/>
      <c r="B140" s="9"/>
      <c r="C140" s="9" t="s">
        <v>87</v>
      </c>
      <c r="D140" s="9" t="s">
        <v>157</v>
      </c>
      <c r="E140" s="9" t="s">
        <v>157</v>
      </c>
      <c r="F140" s="15" t="str">
        <f t="shared" si="8"/>
        <v/>
      </c>
      <c r="G140" s="9"/>
      <c r="AC140" s="70" t="str">
        <f>IF(AND(Sheet1!O140="SIM",Sheet1!P140="SIM"),"Sim","")</f>
        <v/>
      </c>
      <c r="AD140" s="70" t="str">
        <f>IF(AC140="sim",Sheet1!I140,"")</f>
        <v/>
      </c>
    </row>
    <row r="141" spans="1:30" ht="24.95" customHeight="1" x14ac:dyDescent="0.25">
      <c r="A141" s="9"/>
      <c r="B141" s="9"/>
      <c r="C141" s="9" t="s">
        <v>94</v>
      </c>
      <c r="D141" s="9" t="s">
        <v>156</v>
      </c>
      <c r="E141" s="9" t="s">
        <v>156</v>
      </c>
      <c r="F141" s="15" t="str">
        <f t="shared" si="8"/>
        <v>Ambos</v>
      </c>
      <c r="G141" s="9"/>
      <c r="AC141" s="70" t="str">
        <f>IF(AND(Sheet1!O141="SIM",Sheet1!P141="SIM"),"Sim","")</f>
        <v>Sim</v>
      </c>
      <c r="AD141" s="70" t="str">
        <f>IF(AC141="sim",Sheet1!I141,"")</f>
        <v>LAB. FIOS e CABOS</v>
      </c>
    </row>
    <row r="142" spans="1:30" ht="24.95" customHeight="1" x14ac:dyDescent="0.25">
      <c r="A142" s="9"/>
      <c r="B142" s="9"/>
      <c r="C142" s="9" t="s">
        <v>94</v>
      </c>
      <c r="D142" s="9" t="s">
        <v>156</v>
      </c>
      <c r="E142" s="9" t="s">
        <v>156</v>
      </c>
      <c r="F142" s="15" t="str">
        <f t="shared" si="8"/>
        <v>Ambos</v>
      </c>
      <c r="G142" s="9"/>
      <c r="AC142" s="70" t="str">
        <f>IF(AND(Sheet1!O142="SIM",Sheet1!P142="SIM"),"Sim","")</f>
        <v/>
      </c>
      <c r="AD142" s="70" t="str">
        <f>IF(AC142="sim",Sheet1!I142,"")</f>
        <v/>
      </c>
    </row>
    <row r="143" spans="1:30" ht="24.95" customHeight="1" x14ac:dyDescent="0.25">
      <c r="A143" s="9"/>
      <c r="B143" s="9"/>
      <c r="C143" s="9" t="s">
        <v>94</v>
      </c>
      <c r="D143" s="9" t="s">
        <v>156</v>
      </c>
      <c r="E143" s="9" t="s">
        <v>156</v>
      </c>
      <c r="F143" s="15" t="str">
        <f t="shared" si="8"/>
        <v>Ambos</v>
      </c>
      <c r="G143" s="9"/>
      <c r="AC143" s="70" t="str">
        <f>IF(AND(Sheet1!O143="SIM",Sheet1!P143="SIM"),"Sim","")</f>
        <v>Sim</v>
      </c>
      <c r="AD143" s="70" t="str">
        <f>IF(AC143="sim",Sheet1!I143,"")</f>
        <v>LAB. FOGO-DIV</v>
      </c>
    </row>
    <row r="144" spans="1:30" ht="24.95" customHeight="1" x14ac:dyDescent="0.25">
      <c r="A144" s="9"/>
      <c r="B144" s="9"/>
      <c r="C144" s="9" t="s">
        <v>78</v>
      </c>
      <c r="D144" s="9" t="s">
        <v>156</v>
      </c>
      <c r="E144" s="9" t="s">
        <v>156</v>
      </c>
      <c r="F144" s="15" t="str">
        <f t="shared" si="8"/>
        <v>Ambos</v>
      </c>
      <c r="G144" s="9"/>
      <c r="AC144" s="70" t="str">
        <f>IF(AND(Sheet1!O144="SIM",Sheet1!P144="SIM"),"Sim","")</f>
        <v>Sim</v>
      </c>
      <c r="AD144" s="70" t="str">
        <f>IF(AC144="sim",Sheet1!I144,"")</f>
        <v>LAB. FOGO-DIV</v>
      </c>
    </row>
    <row r="145" spans="1:30" ht="24.95" customHeight="1" x14ac:dyDescent="0.25">
      <c r="A145" s="9"/>
      <c r="B145" s="9"/>
      <c r="C145" s="9" t="s">
        <v>82</v>
      </c>
      <c r="D145" s="9" t="s">
        <v>156</v>
      </c>
      <c r="E145" s="9" t="s">
        <v>156</v>
      </c>
      <c r="F145" s="15" t="str">
        <f t="shared" si="8"/>
        <v>Ambos</v>
      </c>
      <c r="G145" s="9"/>
      <c r="AC145" s="70" t="str">
        <f>IF(AND(Sheet1!O145="SIM",Sheet1!P145="SIM"),"Sim","")</f>
        <v>Sim</v>
      </c>
      <c r="AD145" s="70" t="str">
        <f>IF(AC145="sim",Sheet1!I145,"")</f>
        <v>LAB. FOGO-DIV</v>
      </c>
    </row>
    <row r="146" spans="1:30" ht="24.95" customHeight="1" x14ac:dyDescent="0.25">
      <c r="A146" s="9"/>
      <c r="B146" s="9"/>
      <c r="C146" s="9" t="s">
        <v>101</v>
      </c>
      <c r="D146" s="9" t="s">
        <v>157</v>
      </c>
      <c r="E146" s="9" t="s">
        <v>157</v>
      </c>
      <c r="F146" s="15" t="str">
        <f t="shared" si="8"/>
        <v/>
      </c>
      <c r="G146" s="9"/>
      <c r="AC146" s="70" t="str">
        <f>IF(AND(Sheet1!O146="SIM",Sheet1!P146="SIM"),"Sim","")</f>
        <v>Sim</v>
      </c>
      <c r="AD146" s="70" t="str">
        <f>IF(AC146="sim",Sheet1!I146,"")</f>
        <v>LAB. ELETRO-MECÂNICO</v>
      </c>
    </row>
    <row r="147" spans="1:30" ht="24.95" customHeight="1" x14ac:dyDescent="0.25">
      <c r="A147" s="9"/>
      <c r="B147" s="9"/>
      <c r="C147" s="9" t="s">
        <v>82</v>
      </c>
      <c r="D147" s="9" t="s">
        <v>156</v>
      </c>
      <c r="E147" s="9" t="s">
        <v>156</v>
      </c>
      <c r="F147" s="15" t="str">
        <f t="shared" si="8"/>
        <v>Ambos</v>
      </c>
      <c r="G147" s="9"/>
      <c r="AC147" s="70" t="str">
        <f>IF(AND(Sheet1!O147="SIM",Sheet1!P147="SIM"),"Sim","")</f>
        <v>Sim</v>
      </c>
      <c r="AD147" s="70" t="str">
        <f>IF(AC147="sim",Sheet1!I147,"")</f>
        <v>LAB. QUÍMICO</v>
      </c>
    </row>
    <row r="148" spans="1:30" ht="24.95" customHeight="1" x14ac:dyDescent="0.25">
      <c r="A148" s="9"/>
      <c r="B148" s="9"/>
      <c r="C148" s="9" t="s">
        <v>78</v>
      </c>
      <c r="D148" s="9" t="s">
        <v>156</v>
      </c>
      <c r="E148" s="9" t="s">
        <v>156</v>
      </c>
      <c r="F148" s="15" t="str">
        <f t="shared" si="8"/>
        <v>Ambos</v>
      </c>
      <c r="G148" s="9"/>
      <c r="AC148" s="70" t="str">
        <f>IF(AND(Sheet1!O148="SIM",Sheet1!P148="SIM"),"Sim","")</f>
        <v/>
      </c>
      <c r="AD148" s="70" t="str">
        <f>IF(AC148="sim",Sheet1!I148,"")</f>
        <v/>
      </c>
    </row>
    <row r="149" spans="1:30" ht="24.95" customHeight="1" x14ac:dyDescent="0.25">
      <c r="A149" s="9"/>
      <c r="B149" s="9"/>
      <c r="C149" s="9" t="s">
        <v>87</v>
      </c>
      <c r="D149" s="9" t="s">
        <v>157</v>
      </c>
      <c r="E149" s="9" t="s">
        <v>157</v>
      </c>
      <c r="F149" s="15" t="str">
        <f t="shared" si="8"/>
        <v/>
      </c>
      <c r="G149" s="9"/>
      <c r="AC149" s="70" t="str">
        <f>IF(AND(Sheet1!O149="SIM",Sheet1!P149="SIM"),"Sim","")</f>
        <v>Sim</v>
      </c>
      <c r="AD149" s="70" t="str">
        <f>IF(AC149="sim",Sheet1!I149,"")</f>
        <v>LAB. QUÍMICO</v>
      </c>
    </row>
    <row r="150" spans="1:30" ht="24.95" customHeight="1" x14ac:dyDescent="0.25">
      <c r="A150" s="9"/>
      <c r="B150" s="9"/>
      <c r="C150" s="9" t="s">
        <v>87</v>
      </c>
      <c r="D150" s="9" t="s">
        <v>157</v>
      </c>
      <c r="E150" s="9" t="s">
        <v>157</v>
      </c>
      <c r="F150" s="15" t="str">
        <f t="shared" si="8"/>
        <v/>
      </c>
      <c r="G150" s="9"/>
      <c r="AC150" s="70" t="str">
        <f>IF(AND(Sheet1!O150="SIM",Sheet1!P150="SIM"),"Sim","")</f>
        <v>Sim</v>
      </c>
      <c r="AD150" s="70" t="str">
        <f>IF(AC150="sim",Sheet1!I150,"")</f>
        <v>LAB. ELETRO-MECÂNICO</v>
      </c>
    </row>
    <row r="151" spans="1:30" ht="24.95" customHeight="1" x14ac:dyDescent="0.25">
      <c r="A151" s="9"/>
      <c r="B151" s="9"/>
      <c r="C151" s="9" t="s">
        <v>87</v>
      </c>
      <c r="D151" s="9" t="s">
        <v>156</v>
      </c>
      <c r="E151" s="9" t="s">
        <v>157</v>
      </c>
      <c r="F151" s="15" t="str">
        <f t="shared" si="8"/>
        <v>Técnico</v>
      </c>
      <c r="G151" s="9"/>
      <c r="AC151" s="70" t="str">
        <f>IF(AND(Sheet1!O151="SIM",Sheet1!P151="SIM"),"Sim","")</f>
        <v/>
      </c>
      <c r="AD151" s="70" t="str">
        <f>IF(AC151="sim",Sheet1!I151,"")</f>
        <v/>
      </c>
    </row>
    <row r="152" spans="1:30" ht="24.95" customHeight="1" x14ac:dyDescent="0.25">
      <c r="A152" s="9"/>
      <c r="B152" s="9"/>
      <c r="C152" s="9" t="s">
        <v>87</v>
      </c>
      <c r="D152" s="9" t="s">
        <v>157</v>
      </c>
      <c r="E152" s="9" t="s">
        <v>157</v>
      </c>
      <c r="F152" s="15" t="str">
        <f t="shared" si="8"/>
        <v/>
      </c>
      <c r="G152" s="9"/>
      <c r="AC152" s="70" t="str">
        <f>IF(AND(Sheet1!O152="SIM",Sheet1!P152="SIM"),"Sim","")</f>
        <v/>
      </c>
      <c r="AD152" s="70" t="str">
        <f>IF(AC152="sim",Sheet1!I152,"")</f>
        <v/>
      </c>
    </row>
    <row r="153" spans="1:30" ht="24.95" customHeight="1" x14ac:dyDescent="0.25">
      <c r="A153" s="9"/>
      <c r="B153" s="9"/>
      <c r="C153" s="9" t="s">
        <v>87</v>
      </c>
      <c r="D153" s="9" t="s">
        <v>157</v>
      </c>
      <c r="E153" s="9" t="s">
        <v>156</v>
      </c>
      <c r="F153" s="15" t="str">
        <f t="shared" si="8"/>
        <v>REP</v>
      </c>
      <c r="G153" s="9"/>
      <c r="AC153" s="70" t="str">
        <f>IF(AND(Sheet1!O153="SIM",Sheet1!P153="SIM"),"Sim","")</f>
        <v/>
      </c>
      <c r="AD153" s="70" t="str">
        <f>IF(AC153="sim",Sheet1!I153,"")</f>
        <v/>
      </c>
    </row>
    <row r="154" spans="1:30" ht="24.95" customHeight="1" x14ac:dyDescent="0.25">
      <c r="A154" s="9"/>
      <c r="B154" s="9"/>
      <c r="C154" s="9" t="s">
        <v>87</v>
      </c>
      <c r="D154" s="9" t="s">
        <v>157</v>
      </c>
      <c r="E154" s="9" t="s">
        <v>157</v>
      </c>
      <c r="F154" s="15" t="str">
        <f t="shared" si="8"/>
        <v/>
      </c>
      <c r="G154" s="9"/>
      <c r="AC154" s="70" t="str">
        <f>IF(AND(Sheet1!O154="SIM",Sheet1!P154="SIM"),"Sim","")</f>
        <v/>
      </c>
      <c r="AD154" s="70" t="str">
        <f>IF(AC154="sim",Sheet1!I154,"")</f>
        <v/>
      </c>
    </row>
    <row r="155" spans="1:30" ht="24.95" customHeight="1" x14ac:dyDescent="0.25">
      <c r="A155" s="9"/>
      <c r="B155" s="9"/>
      <c r="C155" s="9" t="s">
        <v>87</v>
      </c>
      <c r="D155" s="9" t="s">
        <v>157</v>
      </c>
      <c r="E155" s="9" t="s">
        <v>157</v>
      </c>
      <c r="F155" s="15" t="str">
        <f t="shared" si="8"/>
        <v/>
      </c>
      <c r="G155" s="9"/>
      <c r="AC155" s="70" t="str">
        <f>IF(AND(Sheet1!O155="SIM",Sheet1!P155="SIM"),"Sim","")</f>
        <v/>
      </c>
      <c r="AD155" s="70" t="str">
        <f>IF(AC155="sim",Sheet1!I155,"")</f>
        <v/>
      </c>
    </row>
    <row r="156" spans="1:30" ht="24.95" customHeight="1" x14ac:dyDescent="0.25">
      <c r="A156" s="9"/>
      <c r="B156" s="9"/>
      <c r="C156" s="9" t="s">
        <v>87</v>
      </c>
      <c r="D156" s="9" t="s">
        <v>157</v>
      </c>
      <c r="E156" s="9" t="s">
        <v>157</v>
      </c>
      <c r="F156" s="15" t="str">
        <f t="shared" si="8"/>
        <v/>
      </c>
      <c r="G156" s="9"/>
      <c r="AC156" s="70" t="str">
        <f>IF(AND(Sheet1!O156="SIM",Sheet1!P156="SIM"),"Sim","")</f>
        <v/>
      </c>
      <c r="AD156" s="70" t="str">
        <f>IF(AC156="sim",Sheet1!I156,"")</f>
        <v/>
      </c>
    </row>
    <row r="157" spans="1:30" ht="24.95" customHeight="1" x14ac:dyDescent="0.25">
      <c r="A157" s="9"/>
      <c r="B157" s="9"/>
      <c r="C157" s="9" t="s">
        <v>87</v>
      </c>
      <c r="D157" s="9" t="s">
        <v>157</v>
      </c>
      <c r="E157" s="9" t="s">
        <v>156</v>
      </c>
      <c r="F157" s="15" t="str">
        <f t="shared" si="8"/>
        <v>REP</v>
      </c>
      <c r="G157" s="9"/>
      <c r="AC157" s="70" t="str">
        <f>IF(AND(Sheet1!O157="SIM",Sheet1!P157="SIM"),"Sim","")</f>
        <v/>
      </c>
      <c r="AD157" s="70" t="str">
        <f>IF(AC157="sim",Sheet1!I157,"")</f>
        <v/>
      </c>
    </row>
    <row r="158" spans="1:30" ht="24.95" customHeight="1" x14ac:dyDescent="0.25">
      <c r="A158" s="9"/>
      <c r="B158" s="9"/>
      <c r="C158" s="9" t="s">
        <v>87</v>
      </c>
      <c r="D158" s="9" t="s">
        <v>157</v>
      </c>
      <c r="E158" s="9" t="s">
        <v>157</v>
      </c>
      <c r="F158" s="15" t="str">
        <f t="shared" si="8"/>
        <v/>
      </c>
      <c r="G158" s="9"/>
      <c r="AC158" s="70" t="str">
        <f>IF(AND(Sheet1!O158="SIM",Sheet1!P158="SIM"),"Sim","")</f>
        <v/>
      </c>
      <c r="AD158" s="70" t="str">
        <f>IF(AC158="sim",Sheet1!I158,"")</f>
        <v/>
      </c>
    </row>
    <row r="159" spans="1:30" ht="24.95" customHeight="1" x14ac:dyDescent="0.25">
      <c r="A159" s="9"/>
      <c r="B159" s="9"/>
      <c r="C159" s="9" t="s">
        <v>87</v>
      </c>
      <c r="D159" s="9" t="s">
        <v>157</v>
      </c>
      <c r="E159" s="9" t="s">
        <v>157</v>
      </c>
      <c r="F159" s="15" t="str">
        <f t="shared" si="8"/>
        <v/>
      </c>
      <c r="G159" s="9"/>
      <c r="AC159" s="70" t="str">
        <f>IF(AND(Sheet1!O159="SIM",Sheet1!P159="SIM"),"Sim","")</f>
        <v/>
      </c>
      <c r="AD159" s="70" t="str">
        <f>IF(AC159="sim",Sheet1!I159,"")</f>
        <v/>
      </c>
    </row>
    <row r="160" spans="1:30" ht="24.95" customHeight="1" x14ac:dyDescent="0.25">
      <c r="A160" s="9"/>
      <c r="B160" s="9"/>
      <c r="C160" s="9" t="s">
        <v>78</v>
      </c>
      <c r="D160" s="9" t="s">
        <v>157</v>
      </c>
      <c r="E160" s="9" t="s">
        <v>157</v>
      </c>
      <c r="F160" s="15" t="str">
        <f t="shared" si="8"/>
        <v/>
      </c>
      <c r="G160" s="9"/>
      <c r="AC160" s="70" t="str">
        <f>IF(AND(Sheet1!O160="SIM",Sheet1!P160="SIM"),"Sim","")</f>
        <v/>
      </c>
      <c r="AD160" s="70" t="str">
        <f>IF(AC160="sim",Sheet1!I160,"")</f>
        <v/>
      </c>
    </row>
    <row r="161" spans="1:30" ht="24.95" customHeight="1" x14ac:dyDescent="0.25">
      <c r="A161" s="9"/>
      <c r="B161" s="9"/>
      <c r="C161" s="9" t="s">
        <v>78</v>
      </c>
      <c r="D161" s="9" t="s">
        <v>157</v>
      </c>
      <c r="E161" s="9" t="s">
        <v>157</v>
      </c>
      <c r="F161" s="15" t="str">
        <f t="shared" si="8"/>
        <v/>
      </c>
      <c r="G161" s="9"/>
      <c r="AC161" s="70" t="str">
        <f>IF(AND(Sheet1!O161="SIM",Sheet1!P161="SIM"),"Sim","")</f>
        <v/>
      </c>
      <c r="AD161" s="70" t="str">
        <f>IF(AC161="sim",Sheet1!I161,"")</f>
        <v/>
      </c>
    </row>
    <row r="162" spans="1:30" ht="24.95" customHeight="1" x14ac:dyDescent="0.25">
      <c r="A162" s="9"/>
      <c r="B162" s="9"/>
      <c r="C162" s="9" t="s">
        <v>78</v>
      </c>
      <c r="D162" s="9" t="s">
        <v>157</v>
      </c>
      <c r="E162" s="9" t="s">
        <v>157</v>
      </c>
      <c r="F162" s="15" t="str">
        <f t="shared" si="8"/>
        <v/>
      </c>
      <c r="G162" s="9"/>
      <c r="AC162" s="70" t="str">
        <f>IF(AND(Sheet1!O162="SIM",Sheet1!P162="SIM"),"Sim","")</f>
        <v/>
      </c>
      <c r="AD162" s="70" t="str">
        <f>IF(AC162="sim",Sheet1!I162,"")</f>
        <v/>
      </c>
    </row>
    <row r="163" spans="1:30" ht="24.95" customHeight="1" x14ac:dyDescent="0.25">
      <c r="A163" s="9"/>
      <c r="B163" s="9"/>
      <c r="C163" s="9" t="s">
        <v>78</v>
      </c>
      <c r="D163" s="9" t="s">
        <v>157</v>
      </c>
      <c r="E163" s="9" t="s">
        <v>157</v>
      </c>
      <c r="F163" s="15" t="str">
        <f t="shared" si="8"/>
        <v/>
      </c>
      <c r="G163" s="9"/>
      <c r="AC163" s="70" t="str">
        <f>IF(AND(Sheet1!O163="SIM",Sheet1!P163="SIM"),"Sim","")</f>
        <v/>
      </c>
      <c r="AD163" s="70" t="str">
        <f>IF(AC163="sim",Sheet1!I163,"")</f>
        <v/>
      </c>
    </row>
    <row r="164" spans="1:30" ht="24.95" customHeight="1" x14ac:dyDescent="0.25">
      <c r="A164" s="9"/>
      <c r="B164" s="9"/>
      <c r="C164" s="9" t="s">
        <v>101</v>
      </c>
      <c r="D164" s="9" t="s">
        <v>157</v>
      </c>
      <c r="E164" s="9" t="s">
        <v>157</v>
      </c>
      <c r="F164" s="15" t="str">
        <f t="shared" si="8"/>
        <v/>
      </c>
      <c r="G164" s="9"/>
      <c r="AC164" s="70" t="str">
        <f>IF(AND(Sheet1!O164="SIM",Sheet1!P164="SIM"),"Sim","")</f>
        <v/>
      </c>
      <c r="AD164" s="70" t="str">
        <f>IF(AC164="sim",Sheet1!I164,"")</f>
        <v/>
      </c>
    </row>
    <row r="165" spans="1:30" ht="24.95" customHeight="1" x14ac:dyDescent="0.25">
      <c r="A165" s="9"/>
      <c r="B165" s="9"/>
      <c r="C165" s="9" t="s">
        <v>101</v>
      </c>
      <c r="D165" s="9" t="s">
        <v>157</v>
      </c>
      <c r="E165" s="9" t="s">
        <v>157</v>
      </c>
      <c r="F165" s="15" t="str">
        <f t="shared" si="8"/>
        <v/>
      </c>
      <c r="G165" s="9"/>
      <c r="AC165" s="70" t="str">
        <f>IF(AND(Sheet1!O165="SIM",Sheet1!P165="SIM"),"Sim","")</f>
        <v/>
      </c>
      <c r="AD165" s="70" t="str">
        <f>IF(AC165="sim",Sheet1!I165,"")</f>
        <v/>
      </c>
    </row>
    <row r="166" spans="1:30" ht="24.95" customHeight="1" x14ac:dyDescent="0.25">
      <c r="A166" s="9"/>
      <c r="B166" s="9"/>
      <c r="C166" s="9" t="s">
        <v>101</v>
      </c>
      <c r="D166" s="9" t="s">
        <v>157</v>
      </c>
      <c r="E166" s="9" t="s">
        <v>157</v>
      </c>
      <c r="F166" s="15" t="str">
        <f t="shared" si="8"/>
        <v/>
      </c>
      <c r="G166" s="9"/>
      <c r="AC166" s="70" t="str">
        <f>IF(AND(Sheet1!O166="SIM",Sheet1!P166="SIM"),"Sim","")</f>
        <v/>
      </c>
      <c r="AD166" s="70" t="str">
        <f>IF(AC166="sim",Sheet1!I166,"")</f>
        <v/>
      </c>
    </row>
    <row r="167" spans="1:30" ht="24.95" customHeight="1" x14ac:dyDescent="0.25">
      <c r="A167" s="9"/>
      <c r="B167" s="9"/>
      <c r="C167" s="9" t="s">
        <v>101</v>
      </c>
      <c r="D167" s="9" t="s">
        <v>157</v>
      </c>
      <c r="E167" s="9" t="s">
        <v>157</v>
      </c>
      <c r="F167" s="15" t="str">
        <f t="shared" si="8"/>
        <v/>
      </c>
      <c r="G167" s="9"/>
      <c r="AC167" s="70" t="str">
        <f>IF(AND(Sheet1!O167="SIM",Sheet1!P167="SIM"),"Sim","")</f>
        <v/>
      </c>
      <c r="AD167" s="70" t="str">
        <f>IF(AC167="sim",Sheet1!I167,"")</f>
        <v/>
      </c>
    </row>
    <row r="168" spans="1:30" ht="24.95" customHeight="1" x14ac:dyDescent="0.25">
      <c r="A168" s="9"/>
      <c r="B168" s="9"/>
      <c r="C168" s="9" t="s">
        <v>101</v>
      </c>
      <c r="D168" s="9" t="s">
        <v>157</v>
      </c>
      <c r="E168" s="9" t="s">
        <v>157</v>
      </c>
      <c r="F168" s="15" t="str">
        <f t="shared" si="8"/>
        <v/>
      </c>
      <c r="G168" s="9"/>
      <c r="AC168" s="70" t="str">
        <f>IF(AND(Sheet1!O168="SIM",Sheet1!P168="SIM"),"Sim","")</f>
        <v/>
      </c>
      <c r="AD168" s="70" t="str">
        <f>IF(AC168="sim",Sheet1!I168,"")</f>
        <v/>
      </c>
    </row>
    <row r="169" spans="1:30" ht="24.95" customHeight="1" x14ac:dyDescent="0.25">
      <c r="A169" s="9"/>
      <c r="B169" s="9"/>
      <c r="C169" s="9" t="s">
        <v>87</v>
      </c>
      <c r="D169" s="9" t="s">
        <v>156</v>
      </c>
      <c r="E169" s="9" t="s">
        <v>156</v>
      </c>
      <c r="F169" s="15" t="str">
        <f t="shared" si="8"/>
        <v>Ambos</v>
      </c>
      <c r="G169" s="9"/>
      <c r="AC169" s="70" t="str">
        <f>IF(AND(Sheet1!O169="SIM",Sheet1!P169="SIM"),"Sim","")</f>
        <v/>
      </c>
      <c r="AD169" s="70" t="str">
        <f>IF(AC169="sim",Sheet1!I169,"")</f>
        <v/>
      </c>
    </row>
    <row r="170" spans="1:30" ht="24.95" customHeight="1" x14ac:dyDescent="0.25">
      <c r="A170" s="9"/>
      <c r="B170" s="9"/>
      <c r="C170" s="9" t="s">
        <v>87</v>
      </c>
      <c r="D170" s="9" t="s">
        <v>156</v>
      </c>
      <c r="E170" s="9" t="s">
        <v>156</v>
      </c>
      <c r="F170" s="15" t="str">
        <f t="shared" si="8"/>
        <v>Ambos</v>
      </c>
      <c r="G170" s="9"/>
      <c r="AC170" s="70" t="str">
        <f>IF(AND(Sheet1!O170="SIM",Sheet1!P170="SIM"),"Sim","")</f>
        <v/>
      </c>
      <c r="AD170" s="70" t="str">
        <f>IF(AC170="sim",Sheet1!I170,"")</f>
        <v/>
      </c>
    </row>
    <row r="171" spans="1:30" ht="24.95" customHeight="1" x14ac:dyDescent="0.25">
      <c r="A171" s="9"/>
      <c r="B171" s="9"/>
      <c r="C171" s="9" t="s">
        <v>82</v>
      </c>
      <c r="D171" s="9" t="s">
        <v>156</v>
      </c>
      <c r="E171" s="9" t="s">
        <v>157</v>
      </c>
      <c r="F171" s="15" t="str">
        <f t="shared" si="8"/>
        <v>Técnico</v>
      </c>
      <c r="G171" s="9"/>
      <c r="AC171" s="70" t="str">
        <f>IF(AND(Sheet1!O171="SIM",Sheet1!P171="SIM"),"Sim","")</f>
        <v>Sim</v>
      </c>
      <c r="AD171" s="70" t="str">
        <f>IF(AC171="sim",Sheet1!I171,"")</f>
        <v>LAB. FIOS e CABOS</v>
      </c>
    </row>
    <row r="172" spans="1:30" ht="24.95" customHeight="1" x14ac:dyDescent="0.25">
      <c r="A172" s="9"/>
      <c r="B172" s="9"/>
      <c r="C172" s="9" t="s">
        <v>94</v>
      </c>
      <c r="D172" s="9" t="s">
        <v>157</v>
      </c>
      <c r="E172" s="9" t="s">
        <v>157</v>
      </c>
      <c r="F172" s="15" t="str">
        <f t="shared" si="8"/>
        <v/>
      </c>
      <c r="G172" s="9"/>
      <c r="AC172" s="70" t="str">
        <f>IF(AND(Sheet1!O172="SIM",Sheet1!P172="SIM"),"Sim","")</f>
        <v>Sim</v>
      </c>
      <c r="AD172" s="70" t="str">
        <f>IF(AC172="sim",Sheet1!I172,"")</f>
        <v>LAB. FIOS e CABOS</v>
      </c>
    </row>
    <row r="173" spans="1:30" ht="24.95" customHeight="1" x14ac:dyDescent="0.25">
      <c r="A173" s="9"/>
      <c r="B173" s="9"/>
      <c r="C173" s="9" t="s">
        <v>129</v>
      </c>
      <c r="D173" s="9" t="s">
        <v>157</v>
      </c>
      <c r="E173" s="9" t="s">
        <v>157</v>
      </c>
      <c r="F173" s="15" t="str">
        <f t="shared" si="8"/>
        <v/>
      </c>
      <c r="G173" s="9"/>
      <c r="AC173" s="70" t="str">
        <f>IF(AND(Sheet1!O173="SIM",Sheet1!P173="SIM"),"Sim","")</f>
        <v/>
      </c>
      <c r="AD173" s="70" t="str">
        <f>IF(AC173="sim",Sheet1!I173,"")</f>
        <v/>
      </c>
    </row>
    <row r="174" spans="1:30" ht="24.95" customHeight="1" x14ac:dyDescent="0.25">
      <c r="A174" s="9"/>
      <c r="B174" s="9"/>
      <c r="C174" s="9" t="s">
        <v>129</v>
      </c>
      <c r="D174" s="9" t="s">
        <v>157</v>
      </c>
      <c r="E174" s="9" t="s">
        <v>157</v>
      </c>
      <c r="F174" s="15" t="str">
        <f t="shared" si="8"/>
        <v/>
      </c>
      <c r="G174" s="9"/>
      <c r="AC174" s="70" t="str">
        <f>IF(AND(Sheet1!O174="SIM",Sheet1!P174="SIM"),"Sim","")</f>
        <v/>
      </c>
      <c r="AD174" s="70" t="str">
        <f>IF(AC174="sim",Sheet1!I174,"")</f>
        <v/>
      </c>
    </row>
    <row r="175" spans="1:30" ht="24.95" customHeight="1" x14ac:dyDescent="0.25">
      <c r="A175" s="9"/>
      <c r="B175" s="9"/>
      <c r="C175" s="9" t="s">
        <v>129</v>
      </c>
      <c r="D175" s="9" t="s">
        <v>157</v>
      </c>
      <c r="E175" s="9" t="s">
        <v>157</v>
      </c>
      <c r="F175" s="15" t="str">
        <f t="shared" si="8"/>
        <v/>
      </c>
      <c r="G175" s="9"/>
      <c r="AC175" s="70" t="str">
        <f>IF(AND(Sheet1!O175="SIM",Sheet1!P175="SIM"),"Sim","")</f>
        <v/>
      </c>
      <c r="AD175" s="70" t="str">
        <f>IF(AC175="sim",Sheet1!I175,"")</f>
        <v/>
      </c>
    </row>
    <row r="176" spans="1:30" ht="24.95" customHeight="1" x14ac:dyDescent="0.25">
      <c r="A176" s="9"/>
      <c r="B176" s="9"/>
      <c r="C176" s="9" t="s">
        <v>129</v>
      </c>
      <c r="D176" s="9" t="s">
        <v>157</v>
      </c>
      <c r="E176" s="9" t="s">
        <v>157</v>
      </c>
      <c r="F176" s="15" t="str">
        <f t="shared" si="8"/>
        <v/>
      </c>
      <c r="G176" s="9"/>
      <c r="AC176" s="70" t="str">
        <f>IF(AND(Sheet1!O176="SIM",Sheet1!P176="SIM"),"Sim","")</f>
        <v/>
      </c>
      <c r="AD176" s="70" t="str">
        <f>IF(AC176="sim",Sheet1!I176,"")</f>
        <v/>
      </c>
    </row>
    <row r="177" spans="1:30" ht="24.95" customHeight="1" x14ac:dyDescent="0.25">
      <c r="A177" s="9"/>
      <c r="B177" s="9"/>
      <c r="C177" s="9" t="s">
        <v>129</v>
      </c>
      <c r="D177" s="9" t="s">
        <v>157</v>
      </c>
      <c r="E177" s="9" t="s">
        <v>157</v>
      </c>
      <c r="F177" s="15" t="str">
        <f t="shared" si="8"/>
        <v/>
      </c>
      <c r="G177" s="9"/>
      <c r="AC177" s="70" t="str">
        <f>IF(AND(Sheet1!O177="SIM",Sheet1!P177="SIM"),"Sim","")</f>
        <v/>
      </c>
      <c r="AD177" s="70" t="str">
        <f>IF(AC177="sim",Sheet1!I177,"")</f>
        <v/>
      </c>
    </row>
    <row r="178" spans="1:30" ht="24.95" customHeight="1" x14ac:dyDescent="0.25">
      <c r="A178" s="9"/>
      <c r="B178" s="9"/>
      <c r="C178" s="9" t="s">
        <v>129</v>
      </c>
      <c r="D178" s="9" t="s">
        <v>157</v>
      </c>
      <c r="E178" s="9" t="s">
        <v>157</v>
      </c>
      <c r="F178" s="15" t="str">
        <f t="shared" si="8"/>
        <v/>
      </c>
      <c r="G178" s="9"/>
      <c r="AC178" s="70" t="str">
        <f>IF(AND(Sheet1!O178="SIM",Sheet1!P178="SIM"),"Sim","")</f>
        <v/>
      </c>
      <c r="AD178" s="70" t="str">
        <f>IF(AC178="sim",Sheet1!I178,"")</f>
        <v/>
      </c>
    </row>
    <row r="179" spans="1:30" ht="24.95" customHeight="1" x14ac:dyDescent="0.25">
      <c r="A179" s="9"/>
      <c r="B179" s="9"/>
      <c r="C179" s="9" t="s">
        <v>129</v>
      </c>
      <c r="D179" s="9" t="s">
        <v>157</v>
      </c>
      <c r="E179" s="9" t="s">
        <v>157</v>
      </c>
      <c r="F179" s="15" t="str">
        <f t="shared" si="8"/>
        <v/>
      </c>
      <c r="G179" s="9"/>
      <c r="AC179" s="70" t="str">
        <f>IF(AND(Sheet1!O179="SIM",Sheet1!P179="SIM"),"Sim","")</f>
        <v/>
      </c>
      <c r="AD179" s="70" t="str">
        <f>IF(AC179="sim",Sheet1!I179,"")</f>
        <v/>
      </c>
    </row>
    <row r="180" spans="1:30" ht="24.95" customHeight="1" x14ac:dyDescent="0.25">
      <c r="A180" s="9"/>
      <c r="B180" s="9"/>
      <c r="C180" s="9" t="s">
        <v>129</v>
      </c>
      <c r="D180" s="9" t="s">
        <v>157</v>
      </c>
      <c r="E180" s="9" t="s">
        <v>157</v>
      </c>
      <c r="F180" s="15" t="str">
        <f t="shared" si="8"/>
        <v/>
      </c>
      <c r="G180" s="9"/>
      <c r="AC180" s="70" t="str">
        <f>IF(AND(Sheet1!O180="SIM",Sheet1!P180="SIM"),"Sim","")</f>
        <v/>
      </c>
      <c r="AD180" s="70" t="str">
        <f>IF(AC180="sim",Sheet1!I180,"")</f>
        <v/>
      </c>
    </row>
    <row r="181" spans="1:30" ht="24.95" customHeight="1" x14ac:dyDescent="0.25">
      <c r="A181" s="9"/>
      <c r="B181" s="9"/>
      <c r="C181" s="9" t="s">
        <v>129</v>
      </c>
      <c r="D181" s="9" t="s">
        <v>157</v>
      </c>
      <c r="E181" s="9" t="s">
        <v>157</v>
      </c>
      <c r="F181" s="15" t="str">
        <f t="shared" si="8"/>
        <v/>
      </c>
      <c r="G181" s="9"/>
      <c r="AC181" s="70" t="str">
        <f>IF(AND(Sheet1!O181="SIM",Sheet1!P181="SIM"),"Sim","")</f>
        <v/>
      </c>
      <c r="AD181" s="70" t="str">
        <f>IF(AC181="sim",Sheet1!I181,"")</f>
        <v/>
      </c>
    </row>
    <row r="182" spans="1:30" ht="24.95" customHeight="1" x14ac:dyDescent="0.25">
      <c r="A182" s="9"/>
      <c r="B182" s="9"/>
      <c r="C182" s="9" t="s">
        <v>129</v>
      </c>
      <c r="D182" s="9" t="s">
        <v>157</v>
      </c>
      <c r="E182" s="9" t="s">
        <v>157</v>
      </c>
      <c r="F182" s="15" t="str">
        <f t="shared" si="8"/>
        <v/>
      </c>
      <c r="G182" s="9"/>
      <c r="AC182" s="70" t="str">
        <f>IF(AND(Sheet1!O182="SIM",Sheet1!P182="SIM"),"Sim","")</f>
        <v/>
      </c>
      <c r="AD182" s="70" t="str">
        <f>IF(AC182="sim",Sheet1!I182,"")</f>
        <v/>
      </c>
    </row>
    <row r="183" spans="1:30" ht="24.95" customHeight="1" x14ac:dyDescent="0.25">
      <c r="A183" s="9"/>
      <c r="B183" s="9"/>
      <c r="C183" s="9" t="s">
        <v>129</v>
      </c>
      <c r="D183" s="9" t="s">
        <v>157</v>
      </c>
      <c r="E183" s="9" t="s">
        <v>157</v>
      </c>
      <c r="F183" s="15" t="str">
        <f t="shared" si="8"/>
        <v/>
      </c>
      <c r="G183" s="9"/>
      <c r="AC183" s="70" t="str">
        <f>IF(AND(Sheet1!O183="SIM",Sheet1!P183="SIM"),"Sim","")</f>
        <v/>
      </c>
      <c r="AD183" s="70" t="str">
        <f>IF(AC183="sim",Sheet1!I183,"")</f>
        <v/>
      </c>
    </row>
    <row r="184" spans="1:30" ht="24.95" customHeight="1" x14ac:dyDescent="0.25">
      <c r="A184" s="9"/>
      <c r="B184" s="9"/>
      <c r="C184" s="9" t="s">
        <v>129</v>
      </c>
      <c r="D184" s="9" t="s">
        <v>157</v>
      </c>
      <c r="E184" s="9" t="s">
        <v>157</v>
      </c>
      <c r="F184" s="15" t="str">
        <f t="shared" si="8"/>
        <v/>
      </c>
      <c r="G184" s="9"/>
      <c r="AC184" s="70" t="str">
        <f>IF(AND(Sheet1!O184="SIM",Sheet1!P184="SIM"),"Sim","")</f>
        <v/>
      </c>
      <c r="AD184" s="70" t="str">
        <f>IF(AC184="sim",Sheet1!I184,"")</f>
        <v/>
      </c>
    </row>
    <row r="185" spans="1:30" ht="24.95" customHeight="1" x14ac:dyDescent="0.25">
      <c r="A185" s="9"/>
      <c r="B185" s="9"/>
      <c r="C185" s="9" t="s">
        <v>129</v>
      </c>
      <c r="D185" s="9" t="s">
        <v>157</v>
      </c>
      <c r="E185" s="9" t="s">
        <v>157</v>
      </c>
      <c r="F185" s="15" t="str">
        <f t="shared" si="8"/>
        <v/>
      </c>
      <c r="G185" s="9"/>
      <c r="AC185" s="70" t="str">
        <f>IF(AND(Sheet1!O185="SIM",Sheet1!P185="SIM"),"Sim","")</f>
        <v/>
      </c>
      <c r="AD185" s="70" t="str">
        <f>IF(AC185="sim",Sheet1!I185,"")</f>
        <v/>
      </c>
    </row>
    <row r="186" spans="1:30" ht="24.95" customHeight="1" x14ac:dyDescent="0.25">
      <c r="A186" s="9"/>
      <c r="B186" s="9"/>
      <c r="C186" s="9" t="s">
        <v>129</v>
      </c>
      <c r="D186" s="9" t="s">
        <v>157</v>
      </c>
      <c r="E186" s="9" t="s">
        <v>157</v>
      </c>
      <c r="F186" s="15" t="str">
        <f t="shared" si="8"/>
        <v/>
      </c>
      <c r="G186" s="9"/>
      <c r="AC186" s="70" t="str">
        <f>IF(AND(Sheet1!O186="SIM",Sheet1!P186="SIM"),"Sim","")</f>
        <v/>
      </c>
      <c r="AD186" s="70" t="str">
        <f>IF(AC186="sim",Sheet1!I186,"")</f>
        <v/>
      </c>
    </row>
    <row r="187" spans="1:30" ht="24.95" customHeight="1" x14ac:dyDescent="0.25">
      <c r="A187" s="9"/>
      <c r="B187" s="9"/>
      <c r="C187" s="9" t="s">
        <v>129</v>
      </c>
      <c r="D187" s="9" t="s">
        <v>157</v>
      </c>
      <c r="E187" s="9" t="s">
        <v>157</v>
      </c>
      <c r="F187" s="15" t="str">
        <f t="shared" si="8"/>
        <v/>
      </c>
      <c r="G187" s="9"/>
      <c r="AC187" s="70" t="str">
        <f>IF(AND(Sheet1!O187="SIM",Sheet1!P187="SIM"),"Sim","")</f>
        <v/>
      </c>
      <c r="AD187" s="70" t="str">
        <f>IF(AC187="sim",Sheet1!I187,"")</f>
        <v/>
      </c>
    </row>
    <row r="188" spans="1:30" ht="24.95" customHeight="1" x14ac:dyDescent="0.25">
      <c r="A188" s="9"/>
      <c r="B188" s="9"/>
      <c r="C188" s="9" t="s">
        <v>129</v>
      </c>
      <c r="D188" s="9" t="s">
        <v>157</v>
      </c>
      <c r="E188" s="9" t="s">
        <v>157</v>
      </c>
      <c r="F188" s="15" t="str">
        <f t="shared" si="8"/>
        <v/>
      </c>
      <c r="G188" s="9"/>
      <c r="AC188" s="70" t="str">
        <f>IF(AND(Sheet1!O188="SIM",Sheet1!P188="SIM"),"Sim","")</f>
        <v/>
      </c>
      <c r="AD188" s="70" t="str">
        <f>IF(AC188="sim",Sheet1!I188,"")</f>
        <v/>
      </c>
    </row>
    <row r="189" spans="1:30" ht="24.95" customHeight="1" x14ac:dyDescent="0.25">
      <c r="A189" s="9"/>
      <c r="B189" s="9"/>
      <c r="C189" s="9" t="s">
        <v>129</v>
      </c>
      <c r="D189" s="9" t="s">
        <v>157</v>
      </c>
      <c r="E189" s="9" t="s">
        <v>157</v>
      </c>
      <c r="F189" s="15" t="str">
        <f t="shared" si="8"/>
        <v/>
      </c>
      <c r="G189" s="9"/>
      <c r="AC189" s="70" t="str">
        <f>IF(AND(Sheet1!O189="SIM",Sheet1!P189="SIM"),"Sim","")</f>
        <v/>
      </c>
      <c r="AD189" s="70" t="str">
        <f>IF(AC189="sim",Sheet1!I189,"")</f>
        <v/>
      </c>
    </row>
    <row r="190" spans="1:30" ht="24.95" customHeight="1" x14ac:dyDescent="0.25">
      <c r="A190" s="9"/>
      <c r="B190" s="9"/>
      <c r="C190" s="9" t="s">
        <v>129</v>
      </c>
      <c r="D190" s="9" t="s">
        <v>157</v>
      </c>
      <c r="E190" s="9" t="s">
        <v>157</v>
      </c>
      <c r="F190" s="15" t="str">
        <f t="shared" si="8"/>
        <v/>
      </c>
      <c r="G190" s="9"/>
      <c r="AC190" s="70" t="str">
        <f>IF(AND(Sheet1!O190="SIM",Sheet1!P190="SIM"),"Sim","")</f>
        <v/>
      </c>
      <c r="AD190" s="70" t="str">
        <f>IF(AC190="sim",Sheet1!I190,"")</f>
        <v/>
      </c>
    </row>
    <row r="191" spans="1:30" ht="24.95" customHeight="1" x14ac:dyDescent="0.25">
      <c r="A191" s="9"/>
      <c r="B191" s="9"/>
      <c r="C191" s="9" t="s">
        <v>129</v>
      </c>
      <c r="D191" s="9" t="s">
        <v>157</v>
      </c>
      <c r="E191" s="9" t="s">
        <v>157</v>
      </c>
      <c r="F191" s="15" t="str">
        <f t="shared" si="8"/>
        <v/>
      </c>
      <c r="G191" s="9"/>
      <c r="AC191" s="70" t="str">
        <f>IF(AND(Sheet1!O191="SIM",Sheet1!P191="SIM"),"Sim","")</f>
        <v/>
      </c>
      <c r="AD191" s="70" t="str">
        <f>IF(AC191="sim",Sheet1!I191,"")</f>
        <v/>
      </c>
    </row>
    <row r="192" spans="1:30" ht="24.95" customHeight="1" x14ac:dyDescent="0.25">
      <c r="A192" s="9"/>
      <c r="B192" s="9"/>
      <c r="C192" s="9" t="s">
        <v>129</v>
      </c>
      <c r="D192" s="9" t="s">
        <v>157</v>
      </c>
      <c r="E192" s="9" t="s">
        <v>157</v>
      </c>
      <c r="F192" s="15" t="str">
        <f t="shared" si="8"/>
        <v/>
      </c>
      <c r="G192" s="9"/>
      <c r="AC192" s="70" t="str">
        <f>IF(AND(Sheet1!O192="SIM",Sheet1!P192="SIM"),"Sim","")</f>
        <v/>
      </c>
      <c r="AD192" s="70" t="str">
        <f>IF(AC192="sim",Sheet1!I192,"")</f>
        <v/>
      </c>
    </row>
    <row r="193" spans="1:30" ht="24.95" customHeight="1" x14ac:dyDescent="0.25">
      <c r="A193" s="9"/>
      <c r="B193" s="9"/>
      <c r="C193" s="9" t="s">
        <v>129</v>
      </c>
      <c r="D193" s="9" t="s">
        <v>157</v>
      </c>
      <c r="E193" s="9" t="s">
        <v>157</v>
      </c>
      <c r="F193" s="15" t="str">
        <f t="shared" si="8"/>
        <v/>
      </c>
      <c r="G193" s="9"/>
      <c r="AC193" s="70" t="str">
        <f>IF(AND(Sheet1!O193="SIM",Sheet1!P193="SIM"),"Sim","")</f>
        <v/>
      </c>
      <c r="AD193" s="70" t="str">
        <f>IF(AC193="sim",Sheet1!I193,"")</f>
        <v/>
      </c>
    </row>
    <row r="194" spans="1:30" ht="24.95" customHeight="1" x14ac:dyDescent="0.25">
      <c r="A194" s="9"/>
      <c r="B194" s="9"/>
      <c r="C194" s="9" t="s">
        <v>129</v>
      </c>
      <c r="D194" s="9" t="s">
        <v>157</v>
      </c>
      <c r="E194" s="9" t="s">
        <v>157</v>
      </c>
      <c r="F194" s="15" t="str">
        <f t="shared" si="8"/>
        <v/>
      </c>
      <c r="G194" s="9"/>
      <c r="AC194" s="70" t="str">
        <f>IF(AND(Sheet1!O194="SIM",Sheet1!P194="SIM"),"Sim","")</f>
        <v/>
      </c>
      <c r="AD194" s="70" t="str">
        <f>IF(AC194="sim",Sheet1!I194,"")</f>
        <v/>
      </c>
    </row>
    <row r="195" spans="1:30" ht="24.95" customHeight="1" x14ac:dyDescent="0.25">
      <c r="A195" s="9"/>
      <c r="B195" s="9"/>
      <c r="C195" s="9" t="s">
        <v>129</v>
      </c>
      <c r="D195" s="9" t="s">
        <v>157</v>
      </c>
      <c r="E195" s="9" t="s">
        <v>157</v>
      </c>
      <c r="F195" s="15" t="str">
        <f t="shared" ref="F195:F258" si="9">IFERROR(IF(AND(D195="Não",E195="Sim"),"REP",
IF(AND(D195="Sim",E195="Não"),"Técnico",
IF(AND(D195="Sim",E195="Sim"),"Ambos",""))),"")</f>
        <v/>
      </c>
      <c r="G195" s="9"/>
      <c r="AC195" s="70" t="str">
        <f>IF(AND(Sheet1!O195="SIM",Sheet1!P195="SIM"),"Sim","")</f>
        <v/>
      </c>
      <c r="AD195" s="70" t="str">
        <f>IF(AC195="sim",Sheet1!I195,"")</f>
        <v/>
      </c>
    </row>
    <row r="196" spans="1:30" ht="24.95" customHeight="1" x14ac:dyDescent="0.25">
      <c r="A196" s="9"/>
      <c r="B196" s="9"/>
      <c r="C196" s="9" t="s">
        <v>129</v>
      </c>
      <c r="D196" s="9" t="s">
        <v>157</v>
      </c>
      <c r="E196" s="9" t="s">
        <v>157</v>
      </c>
      <c r="F196" s="15" t="str">
        <f t="shared" si="9"/>
        <v/>
      </c>
      <c r="G196" s="9"/>
      <c r="AC196" s="70" t="str">
        <f>IF(AND(Sheet1!O196="SIM",Sheet1!P196="SIM"),"Sim","")</f>
        <v/>
      </c>
      <c r="AD196" s="70" t="str">
        <f>IF(AC196="sim",Sheet1!I196,"")</f>
        <v/>
      </c>
    </row>
    <row r="197" spans="1:30" ht="24.95" customHeight="1" x14ac:dyDescent="0.25">
      <c r="A197" s="9"/>
      <c r="B197" s="9"/>
      <c r="C197" s="9" t="s">
        <v>129</v>
      </c>
      <c r="D197" s="9" t="s">
        <v>157</v>
      </c>
      <c r="E197" s="9" t="s">
        <v>157</v>
      </c>
      <c r="F197" s="15" t="str">
        <f t="shared" si="9"/>
        <v/>
      </c>
      <c r="G197" s="9"/>
      <c r="AC197" s="70" t="str">
        <f>IF(AND(Sheet1!O197="SIM",Sheet1!P197="SIM"),"Sim","")</f>
        <v/>
      </c>
      <c r="AD197" s="70" t="str">
        <f>IF(AC197="sim",Sheet1!I197,"")</f>
        <v/>
      </c>
    </row>
    <row r="198" spans="1:30" ht="24.95" customHeight="1" x14ac:dyDescent="0.25">
      <c r="A198" s="9"/>
      <c r="B198" s="9"/>
      <c r="C198" s="9" t="s">
        <v>129</v>
      </c>
      <c r="D198" s="9" t="s">
        <v>157</v>
      </c>
      <c r="E198" s="9" t="s">
        <v>157</v>
      </c>
      <c r="F198" s="15" t="str">
        <f t="shared" si="9"/>
        <v/>
      </c>
      <c r="G198" s="9"/>
      <c r="AC198" s="70" t="str">
        <f>IF(AND(Sheet1!O198="SIM",Sheet1!P198="SIM"),"Sim","")</f>
        <v/>
      </c>
      <c r="AD198" s="70" t="str">
        <f>IF(AC198="sim",Sheet1!I198,"")</f>
        <v/>
      </c>
    </row>
    <row r="199" spans="1:30" ht="24.95" customHeight="1" x14ac:dyDescent="0.25">
      <c r="A199" s="9"/>
      <c r="B199" s="9"/>
      <c r="C199" s="9" t="s">
        <v>129</v>
      </c>
      <c r="D199" s="9" t="s">
        <v>157</v>
      </c>
      <c r="E199" s="9" t="s">
        <v>157</v>
      </c>
      <c r="F199" s="15" t="str">
        <f t="shared" si="9"/>
        <v/>
      </c>
      <c r="G199" s="9"/>
      <c r="AC199" s="70" t="str">
        <f>IF(AND(Sheet1!O199="SIM",Sheet1!P199="SIM"),"Sim","")</f>
        <v/>
      </c>
      <c r="AD199" s="70" t="str">
        <f>IF(AC199="sim",Sheet1!I199,"")</f>
        <v/>
      </c>
    </row>
    <row r="200" spans="1:30" ht="24.95" customHeight="1" x14ac:dyDescent="0.25">
      <c r="A200" s="9"/>
      <c r="B200" s="9"/>
      <c r="C200" s="9" t="s">
        <v>129</v>
      </c>
      <c r="D200" s="9" t="s">
        <v>157</v>
      </c>
      <c r="E200" s="9" t="s">
        <v>157</v>
      </c>
      <c r="F200" s="15" t="str">
        <f t="shared" si="9"/>
        <v/>
      </c>
      <c r="G200" s="9"/>
      <c r="AC200" s="70" t="str">
        <f>IF(AND(Sheet1!O200="SIM",Sheet1!P200="SIM"),"Sim","")</f>
        <v/>
      </c>
      <c r="AD200" s="70" t="str">
        <f>IF(AC200="sim",Sheet1!I200,"")</f>
        <v/>
      </c>
    </row>
    <row r="201" spans="1:30" ht="24.95" customHeight="1" x14ac:dyDescent="0.25">
      <c r="A201" s="9"/>
      <c r="B201" s="9"/>
      <c r="C201" s="9" t="s">
        <v>129</v>
      </c>
      <c r="D201" s="9" t="s">
        <v>157</v>
      </c>
      <c r="E201" s="9" t="s">
        <v>157</v>
      </c>
      <c r="F201" s="15" t="str">
        <f t="shared" si="9"/>
        <v/>
      </c>
      <c r="G201" s="9"/>
      <c r="AC201" s="70" t="str">
        <f>IF(AND(Sheet1!O201="SIM",Sheet1!P201="SIM"),"Sim","")</f>
        <v/>
      </c>
      <c r="AD201" s="70" t="str">
        <f>IF(AC201="sim",Sheet1!I201,"")</f>
        <v/>
      </c>
    </row>
    <row r="202" spans="1:30" ht="24.95" customHeight="1" x14ac:dyDescent="0.25">
      <c r="A202" s="9"/>
      <c r="B202" s="9"/>
      <c r="C202" s="9" t="s">
        <v>129</v>
      </c>
      <c r="D202" s="9" t="s">
        <v>157</v>
      </c>
      <c r="E202" s="9" t="s">
        <v>157</v>
      </c>
      <c r="F202" s="15" t="str">
        <f t="shared" si="9"/>
        <v/>
      </c>
      <c r="G202" s="9"/>
      <c r="AC202" s="70" t="str">
        <f>IF(AND(Sheet1!O202="SIM",Sheet1!P202="SIM"),"Sim","")</f>
        <v/>
      </c>
      <c r="AD202" s="70" t="str">
        <f>IF(AC202="sim",Sheet1!I202,"")</f>
        <v/>
      </c>
    </row>
    <row r="203" spans="1:30" ht="24.95" customHeight="1" x14ac:dyDescent="0.25">
      <c r="A203" s="9"/>
      <c r="B203" s="9"/>
      <c r="C203" s="9" t="s">
        <v>129</v>
      </c>
      <c r="D203" s="9" t="s">
        <v>157</v>
      </c>
      <c r="E203" s="9" t="s">
        <v>157</v>
      </c>
      <c r="F203" s="15" t="str">
        <f t="shared" si="9"/>
        <v/>
      </c>
      <c r="G203" s="9"/>
      <c r="AC203" s="70" t="str">
        <f>IF(AND(Sheet1!O203="SIM",Sheet1!P203="SIM"),"Sim","")</f>
        <v/>
      </c>
      <c r="AD203" s="70" t="str">
        <f>IF(AC203="sim",Sheet1!I203,"")</f>
        <v/>
      </c>
    </row>
    <row r="204" spans="1:30" ht="24.95" customHeight="1" x14ac:dyDescent="0.25">
      <c r="A204" s="9"/>
      <c r="B204" s="9"/>
      <c r="C204" s="9" t="s">
        <v>129</v>
      </c>
      <c r="D204" s="9" t="s">
        <v>157</v>
      </c>
      <c r="E204" s="9" t="s">
        <v>157</v>
      </c>
      <c r="F204" s="15" t="str">
        <f t="shared" si="9"/>
        <v/>
      </c>
      <c r="G204" s="9"/>
      <c r="AC204" s="70" t="str">
        <f>IF(AND(Sheet1!O204="SIM",Sheet1!P204="SIM"),"Sim","")</f>
        <v/>
      </c>
      <c r="AD204" s="70" t="str">
        <f>IF(AC204="sim",Sheet1!I204,"")</f>
        <v/>
      </c>
    </row>
    <row r="205" spans="1:30" ht="24.95" customHeight="1" x14ac:dyDescent="0.25">
      <c r="A205" s="9"/>
      <c r="B205" s="9"/>
      <c r="C205" s="9" t="s">
        <v>129</v>
      </c>
      <c r="D205" s="9" t="s">
        <v>157</v>
      </c>
      <c r="E205" s="9" t="s">
        <v>157</v>
      </c>
      <c r="F205" s="15" t="str">
        <f t="shared" si="9"/>
        <v/>
      </c>
      <c r="G205" s="9"/>
      <c r="AC205" s="70" t="str">
        <f>IF(AND(Sheet1!O205="SIM",Sheet1!P205="SIM"),"Sim","")</f>
        <v/>
      </c>
      <c r="AD205" s="70" t="str">
        <f>IF(AC205="sim",Sheet1!I205,"")</f>
        <v/>
      </c>
    </row>
    <row r="206" spans="1:30" ht="24.95" customHeight="1" x14ac:dyDescent="0.25">
      <c r="A206" s="9"/>
      <c r="B206" s="9"/>
      <c r="C206" s="9" t="s">
        <v>129</v>
      </c>
      <c r="D206" s="9" t="s">
        <v>157</v>
      </c>
      <c r="E206" s="9" t="s">
        <v>157</v>
      </c>
      <c r="F206" s="15" t="str">
        <f t="shared" si="9"/>
        <v/>
      </c>
      <c r="G206" s="9"/>
      <c r="AC206" s="70" t="str">
        <f>IF(AND(Sheet1!O206="SIM",Sheet1!P206="SIM"),"Sim","")</f>
        <v/>
      </c>
      <c r="AD206" s="70" t="str">
        <f>IF(AC206="sim",Sheet1!I206,"")</f>
        <v/>
      </c>
    </row>
    <row r="207" spans="1:30" ht="24.95" customHeight="1" x14ac:dyDescent="0.25">
      <c r="A207" s="9"/>
      <c r="B207" s="9"/>
      <c r="C207" s="9" t="s">
        <v>129</v>
      </c>
      <c r="D207" s="9" t="s">
        <v>157</v>
      </c>
      <c r="E207" s="9" t="s">
        <v>157</v>
      </c>
      <c r="F207" s="15" t="str">
        <f t="shared" si="9"/>
        <v/>
      </c>
      <c r="G207" s="9"/>
      <c r="AC207" s="70" t="str">
        <f>IF(AND(Sheet1!O207="SIM",Sheet1!P207="SIM"),"Sim","")</f>
        <v/>
      </c>
      <c r="AD207" s="70" t="str">
        <f>IF(AC207="sim",Sheet1!I207,"")</f>
        <v/>
      </c>
    </row>
    <row r="208" spans="1:30" ht="24.95" customHeight="1" x14ac:dyDescent="0.25">
      <c r="A208" s="9"/>
      <c r="B208" s="9"/>
      <c r="C208" s="9" t="s">
        <v>129</v>
      </c>
      <c r="D208" s="9" t="s">
        <v>157</v>
      </c>
      <c r="E208" s="9" t="s">
        <v>157</v>
      </c>
      <c r="F208" s="15" t="str">
        <f t="shared" si="9"/>
        <v/>
      </c>
      <c r="G208" s="9"/>
      <c r="AC208" s="70" t="str">
        <f>IF(AND(Sheet1!O208="SIM",Sheet1!P208="SIM"),"Sim","")</f>
        <v/>
      </c>
      <c r="AD208" s="70" t="str">
        <f>IF(AC208="sim",Sheet1!I208,"")</f>
        <v/>
      </c>
    </row>
    <row r="209" spans="1:30" ht="24.95" customHeight="1" x14ac:dyDescent="0.25">
      <c r="A209" s="9"/>
      <c r="B209" s="9"/>
      <c r="C209" s="9" t="s">
        <v>129</v>
      </c>
      <c r="D209" s="9" t="s">
        <v>157</v>
      </c>
      <c r="E209" s="9" t="s">
        <v>157</v>
      </c>
      <c r="F209" s="15" t="str">
        <f t="shared" si="9"/>
        <v/>
      </c>
      <c r="G209" s="9"/>
      <c r="AC209" s="70" t="str">
        <f>IF(AND(Sheet1!O209="SIM",Sheet1!P209="SIM"),"Sim","")</f>
        <v/>
      </c>
      <c r="AD209" s="70" t="str">
        <f>IF(AC209="sim",Sheet1!I209,"")</f>
        <v/>
      </c>
    </row>
    <row r="210" spans="1:30" ht="24.95" customHeight="1" x14ac:dyDescent="0.25">
      <c r="A210" s="9"/>
      <c r="B210" s="9"/>
      <c r="C210" s="9" t="s">
        <v>129</v>
      </c>
      <c r="D210" s="9" t="s">
        <v>157</v>
      </c>
      <c r="E210" s="9" t="s">
        <v>157</v>
      </c>
      <c r="F210" s="15" t="str">
        <f t="shared" si="9"/>
        <v/>
      </c>
      <c r="G210" s="9"/>
      <c r="AC210" s="70" t="str">
        <f>IF(AND(Sheet1!O210="SIM",Sheet1!P210="SIM"),"Sim","")</f>
        <v/>
      </c>
      <c r="AD210" s="70" t="str">
        <f>IF(AC210="sim",Sheet1!I210,"")</f>
        <v/>
      </c>
    </row>
    <row r="211" spans="1:30" ht="24.95" customHeight="1" x14ac:dyDescent="0.25">
      <c r="A211" s="9"/>
      <c r="B211" s="9"/>
      <c r="C211" s="9" t="s">
        <v>129</v>
      </c>
      <c r="D211" s="9" t="s">
        <v>157</v>
      </c>
      <c r="E211" s="9" t="s">
        <v>157</v>
      </c>
      <c r="F211" s="15" t="str">
        <f t="shared" si="9"/>
        <v/>
      </c>
      <c r="G211" s="9"/>
      <c r="AC211" s="70" t="str">
        <f>IF(AND(Sheet1!O211="SIM",Sheet1!P211="SIM"),"Sim","")</f>
        <v/>
      </c>
      <c r="AD211" s="70" t="str">
        <f>IF(AC211="sim",Sheet1!I211,"")</f>
        <v/>
      </c>
    </row>
    <row r="212" spans="1:30" ht="24.95" customHeight="1" x14ac:dyDescent="0.25">
      <c r="A212" s="9"/>
      <c r="B212" s="9"/>
      <c r="C212" s="9" t="s">
        <v>129</v>
      </c>
      <c r="D212" s="9" t="s">
        <v>157</v>
      </c>
      <c r="E212" s="9" t="s">
        <v>157</v>
      </c>
      <c r="F212" s="15" t="str">
        <f t="shared" si="9"/>
        <v/>
      </c>
      <c r="G212" s="9"/>
      <c r="AC212" s="70" t="str">
        <f>IF(AND(Sheet1!O212="SIM",Sheet1!P212="SIM"),"Sim","")</f>
        <v/>
      </c>
      <c r="AD212" s="70" t="str">
        <f>IF(AC212="sim",Sheet1!I212,"")</f>
        <v/>
      </c>
    </row>
    <row r="213" spans="1:30" ht="24.95" customHeight="1" x14ac:dyDescent="0.25">
      <c r="A213" s="9"/>
      <c r="B213" s="9"/>
      <c r="C213" s="9" t="s">
        <v>129</v>
      </c>
      <c r="D213" s="9" t="s">
        <v>157</v>
      </c>
      <c r="E213" s="9" t="s">
        <v>157</v>
      </c>
      <c r="F213" s="15" t="str">
        <f t="shared" si="9"/>
        <v/>
      </c>
      <c r="G213" s="9"/>
      <c r="AC213" s="70" t="str">
        <f>IF(AND(Sheet1!O213="SIM",Sheet1!P213="SIM"),"Sim","")</f>
        <v/>
      </c>
      <c r="AD213" s="70" t="str">
        <f>IF(AC213="sim",Sheet1!I213,"")</f>
        <v/>
      </c>
    </row>
    <row r="214" spans="1:30" ht="24.95" customHeight="1" x14ac:dyDescent="0.25">
      <c r="A214" s="9"/>
      <c r="B214" s="9"/>
      <c r="C214" s="9" t="s">
        <v>129</v>
      </c>
      <c r="D214" s="9" t="s">
        <v>157</v>
      </c>
      <c r="E214" s="9" t="s">
        <v>157</v>
      </c>
      <c r="F214" s="15" t="str">
        <f t="shared" si="9"/>
        <v/>
      </c>
      <c r="G214" s="9"/>
      <c r="AC214" s="70" t="str">
        <f>IF(AND(Sheet1!O214="SIM",Sheet1!P214="SIM"),"Sim","")</f>
        <v/>
      </c>
      <c r="AD214" s="70" t="str">
        <f>IF(AC214="sim",Sheet1!I214,"")</f>
        <v/>
      </c>
    </row>
    <row r="215" spans="1:30" ht="24.95" customHeight="1" x14ac:dyDescent="0.25">
      <c r="A215" s="9"/>
      <c r="B215" s="9"/>
      <c r="C215" s="9" t="s">
        <v>129</v>
      </c>
      <c r="D215" s="9" t="s">
        <v>157</v>
      </c>
      <c r="E215" s="9" t="s">
        <v>157</v>
      </c>
      <c r="F215" s="15" t="str">
        <f t="shared" si="9"/>
        <v/>
      </c>
      <c r="G215" s="9"/>
      <c r="AC215" s="70" t="str">
        <f>IF(AND(Sheet1!O215="SIM",Sheet1!P215="SIM"),"Sim","")</f>
        <v/>
      </c>
      <c r="AD215" s="70" t="str">
        <f>IF(AC215="sim",Sheet1!I215,"")</f>
        <v/>
      </c>
    </row>
    <row r="216" spans="1:30" ht="24.95" customHeight="1" x14ac:dyDescent="0.25">
      <c r="A216" s="9"/>
      <c r="B216" s="9"/>
      <c r="C216" s="9" t="s">
        <v>129</v>
      </c>
      <c r="D216" s="9" t="s">
        <v>157</v>
      </c>
      <c r="E216" s="9" t="s">
        <v>157</v>
      </c>
      <c r="F216" s="15" t="str">
        <f t="shared" si="9"/>
        <v/>
      </c>
      <c r="G216" s="9"/>
      <c r="AC216" s="70" t="str">
        <f>IF(AND(Sheet1!O216="SIM",Sheet1!P216="SIM"),"Sim","")</f>
        <v/>
      </c>
      <c r="AD216" s="70" t="str">
        <f>IF(AC216="sim",Sheet1!I216,"")</f>
        <v/>
      </c>
    </row>
    <row r="217" spans="1:30" ht="24.95" customHeight="1" x14ac:dyDescent="0.25">
      <c r="A217" s="9"/>
      <c r="B217" s="9"/>
      <c r="C217" s="9" t="s">
        <v>129</v>
      </c>
      <c r="D217" s="9" t="s">
        <v>157</v>
      </c>
      <c r="E217" s="9" t="s">
        <v>157</v>
      </c>
      <c r="F217" s="15" t="str">
        <f t="shared" si="9"/>
        <v/>
      </c>
      <c r="G217" s="9"/>
      <c r="AC217" s="70" t="str">
        <f>IF(AND(Sheet1!O217="SIM",Sheet1!P217="SIM"),"Sim","")</f>
        <v/>
      </c>
      <c r="AD217" s="70" t="str">
        <f>IF(AC217="sim",Sheet1!I217,"")</f>
        <v/>
      </c>
    </row>
    <row r="218" spans="1:30" ht="24.95" customHeight="1" x14ac:dyDescent="0.25">
      <c r="A218" s="9"/>
      <c r="B218" s="9"/>
      <c r="C218" s="9" t="s">
        <v>129</v>
      </c>
      <c r="D218" s="9" t="s">
        <v>157</v>
      </c>
      <c r="E218" s="9" t="s">
        <v>157</v>
      </c>
      <c r="F218" s="15" t="str">
        <f t="shared" si="9"/>
        <v/>
      </c>
      <c r="G218" s="9"/>
      <c r="AC218" s="70" t="str">
        <f>IF(AND(Sheet1!O218="SIM",Sheet1!P218="SIM"),"Sim","")</f>
        <v/>
      </c>
      <c r="AD218" s="70" t="str">
        <f>IF(AC218="sim",Sheet1!I218,"")</f>
        <v/>
      </c>
    </row>
    <row r="219" spans="1:30" ht="24.95" customHeight="1" x14ac:dyDescent="0.25">
      <c r="A219" s="9"/>
      <c r="B219" s="9"/>
      <c r="C219" s="9" t="s">
        <v>129</v>
      </c>
      <c r="D219" s="9" t="s">
        <v>157</v>
      </c>
      <c r="E219" s="9" t="s">
        <v>157</v>
      </c>
      <c r="F219" s="15" t="str">
        <f t="shared" si="9"/>
        <v/>
      </c>
      <c r="G219" s="9"/>
      <c r="AC219" s="70" t="str">
        <f>IF(AND(Sheet1!O219="SIM",Sheet1!P219="SIM"),"Sim","")</f>
        <v/>
      </c>
      <c r="AD219" s="70" t="str">
        <f>IF(AC219="sim",Sheet1!I219,"")</f>
        <v/>
      </c>
    </row>
    <row r="220" spans="1:30" ht="24.95" customHeight="1" x14ac:dyDescent="0.25">
      <c r="A220" s="9"/>
      <c r="B220" s="9"/>
      <c r="C220" s="9" t="s">
        <v>129</v>
      </c>
      <c r="D220" s="9" t="s">
        <v>157</v>
      </c>
      <c r="E220" s="9" t="s">
        <v>157</v>
      </c>
      <c r="F220" s="15" t="str">
        <f t="shared" si="9"/>
        <v/>
      </c>
      <c r="G220" s="9"/>
      <c r="AC220" s="70" t="str">
        <f>IF(AND(Sheet1!O220="SIM",Sheet1!P220="SIM"),"Sim","")</f>
        <v/>
      </c>
      <c r="AD220" s="70" t="str">
        <f>IF(AC220="sim",Sheet1!I220,"")</f>
        <v/>
      </c>
    </row>
    <row r="221" spans="1:30" ht="24.95" customHeight="1" x14ac:dyDescent="0.25">
      <c r="A221" s="9"/>
      <c r="B221" s="9"/>
      <c r="C221" s="9" t="s">
        <v>129</v>
      </c>
      <c r="D221" s="9" t="s">
        <v>157</v>
      </c>
      <c r="E221" s="9" t="s">
        <v>157</v>
      </c>
      <c r="F221" s="15" t="str">
        <f t="shared" si="9"/>
        <v/>
      </c>
      <c r="G221" s="9"/>
      <c r="AC221" s="70" t="str">
        <f>IF(AND(Sheet1!O221="SIM",Sheet1!P221="SIM"),"Sim","")</f>
        <v/>
      </c>
      <c r="AD221" s="70" t="str">
        <f>IF(AC221="sim",Sheet1!I221,"")</f>
        <v/>
      </c>
    </row>
    <row r="222" spans="1:30" ht="24.95" customHeight="1" x14ac:dyDescent="0.25">
      <c r="A222" s="9"/>
      <c r="B222" s="9"/>
      <c r="C222" s="9" t="s">
        <v>129</v>
      </c>
      <c r="D222" s="9" t="s">
        <v>157</v>
      </c>
      <c r="E222" s="9" t="s">
        <v>157</v>
      </c>
      <c r="F222" s="15" t="str">
        <f t="shared" si="9"/>
        <v/>
      </c>
      <c r="G222" s="9"/>
      <c r="AC222" s="70" t="str">
        <f>IF(AND(Sheet1!O222="SIM",Sheet1!P222="SIM"),"Sim","")</f>
        <v/>
      </c>
      <c r="AD222" s="70" t="str">
        <f>IF(AC222="sim",Sheet1!I222,"")</f>
        <v/>
      </c>
    </row>
    <row r="223" spans="1:30" ht="24.95" customHeight="1" x14ac:dyDescent="0.25">
      <c r="A223" s="9"/>
      <c r="B223" s="9"/>
      <c r="C223" s="9" t="s">
        <v>129</v>
      </c>
      <c r="D223" s="9" t="s">
        <v>156</v>
      </c>
      <c r="E223" s="9" t="s">
        <v>157</v>
      </c>
      <c r="F223" s="15" t="str">
        <f t="shared" si="9"/>
        <v>Técnico</v>
      </c>
      <c r="G223" s="9"/>
      <c r="AC223" s="70" t="str">
        <f>IF(AND(Sheet1!O223="SIM",Sheet1!P223="SIM"),"Sim","")</f>
        <v/>
      </c>
      <c r="AD223" s="70" t="str">
        <f>IF(AC223="sim",Sheet1!I223,"")</f>
        <v/>
      </c>
    </row>
    <row r="224" spans="1:30" ht="24.95" customHeight="1" x14ac:dyDescent="0.25">
      <c r="A224" s="9"/>
      <c r="B224" s="9"/>
      <c r="C224" s="9" t="s">
        <v>129</v>
      </c>
      <c r="D224" s="9" t="s">
        <v>157</v>
      </c>
      <c r="E224" s="9" t="s">
        <v>156</v>
      </c>
      <c r="F224" s="15" t="str">
        <f t="shared" si="9"/>
        <v>REP</v>
      </c>
      <c r="G224" s="9"/>
      <c r="AC224" s="70" t="str">
        <f>IF(AND(Sheet1!O224="SIM",Sheet1!P224="SIM"),"Sim","")</f>
        <v/>
      </c>
      <c r="AD224" s="70" t="str">
        <f>IF(AC224="sim",Sheet1!I224,"")</f>
        <v/>
      </c>
    </row>
    <row r="225" spans="1:30" ht="24.95" customHeight="1" x14ac:dyDescent="0.25">
      <c r="A225" s="9"/>
      <c r="B225" s="9"/>
      <c r="C225" s="9" t="s">
        <v>129</v>
      </c>
      <c r="D225" s="9" t="s">
        <v>157</v>
      </c>
      <c r="E225" s="9" t="s">
        <v>157</v>
      </c>
      <c r="F225" s="15" t="str">
        <f t="shared" si="9"/>
        <v/>
      </c>
      <c r="G225" s="9"/>
      <c r="AC225" s="70" t="str">
        <f>IF(AND(Sheet1!O225="SIM",Sheet1!P225="SIM"),"Sim","")</f>
        <v/>
      </c>
      <c r="AD225" s="70" t="str">
        <f>IF(AC225="sim",Sheet1!I225,"")</f>
        <v/>
      </c>
    </row>
    <row r="226" spans="1:30" ht="24.95" customHeight="1" x14ac:dyDescent="0.25">
      <c r="A226" s="9"/>
      <c r="B226" s="9"/>
      <c r="C226" s="9" t="s">
        <v>82</v>
      </c>
      <c r="D226" s="9" t="s">
        <v>156</v>
      </c>
      <c r="E226" s="9" t="s">
        <v>156</v>
      </c>
      <c r="F226" s="15" t="str">
        <f t="shared" si="9"/>
        <v>Ambos</v>
      </c>
      <c r="G226" s="9"/>
      <c r="AC226" s="70" t="str">
        <f>IF(AND(Sheet1!O226="SIM",Sheet1!P226="SIM"),"Sim","")</f>
        <v/>
      </c>
      <c r="AD226" s="70" t="str">
        <f>IF(AC226="sim",Sheet1!I226,"")</f>
        <v/>
      </c>
    </row>
    <row r="227" spans="1:30" ht="24.95" customHeight="1" x14ac:dyDescent="0.25">
      <c r="A227" s="9"/>
      <c r="B227" s="9"/>
      <c r="C227" s="9" t="s">
        <v>129</v>
      </c>
      <c r="D227" s="9" t="s">
        <v>156</v>
      </c>
      <c r="E227" s="9" t="s">
        <v>156</v>
      </c>
      <c r="F227" s="15" t="str">
        <f t="shared" si="9"/>
        <v>Ambos</v>
      </c>
      <c r="G227" s="9"/>
      <c r="AC227" s="70" t="str">
        <f>IF(AND(Sheet1!O227="SIM",Sheet1!P227="SIM"),"Sim","")</f>
        <v/>
      </c>
      <c r="AD227" s="70" t="str">
        <f>IF(AC227="sim",Sheet1!I227,"")</f>
        <v/>
      </c>
    </row>
    <row r="228" spans="1:30" ht="24.95" customHeight="1" x14ac:dyDescent="0.25">
      <c r="A228" s="9"/>
      <c r="B228" s="9"/>
      <c r="C228" s="9" t="s">
        <v>82</v>
      </c>
      <c r="D228" s="9" t="s">
        <v>156</v>
      </c>
      <c r="E228" s="9" t="s">
        <v>156</v>
      </c>
      <c r="F228" s="15" t="str">
        <f t="shared" si="9"/>
        <v>Ambos</v>
      </c>
      <c r="G228" s="9"/>
      <c r="AC228" s="70" t="str">
        <f>IF(AND(Sheet1!O228="SIM",Sheet1!P228="SIM"),"Sim","")</f>
        <v>Sim</v>
      </c>
      <c r="AD228" s="70" t="str">
        <f>IF(AC228="sim",Sheet1!I228,"")</f>
        <v>LAB. QUÍMICO</v>
      </c>
    </row>
    <row r="229" spans="1:30" ht="24.95" customHeight="1" x14ac:dyDescent="0.25">
      <c r="A229" s="9"/>
      <c r="B229" s="9"/>
      <c r="C229" s="9" t="s">
        <v>129</v>
      </c>
      <c r="D229" s="9" t="s">
        <v>156</v>
      </c>
      <c r="E229" s="9" t="s">
        <v>156</v>
      </c>
      <c r="F229" s="15" t="str">
        <f t="shared" si="9"/>
        <v>Ambos</v>
      </c>
      <c r="G229" s="9"/>
      <c r="AC229" s="70" t="str">
        <f>IF(AND(Sheet1!O229="SIM",Sheet1!P229="SIM"),"Sim","")</f>
        <v>Sim</v>
      </c>
      <c r="AD229" s="70" t="str">
        <f>IF(AC229="sim",Sheet1!I229,"")</f>
        <v>LAB. PLUGUES e TOMADAS</v>
      </c>
    </row>
    <row r="230" spans="1:30" ht="24.95" customHeight="1" x14ac:dyDescent="0.25">
      <c r="A230" s="9"/>
      <c r="B230" s="9"/>
      <c r="C230" s="9" t="s">
        <v>101</v>
      </c>
      <c r="D230" s="9" t="s">
        <v>157</v>
      </c>
      <c r="E230" s="9" t="s">
        <v>157</v>
      </c>
      <c r="F230" s="15" t="str">
        <f t="shared" si="9"/>
        <v/>
      </c>
      <c r="G230" s="9"/>
      <c r="AC230" s="70" t="str">
        <f>IF(AND(Sheet1!O230="SIM",Sheet1!P230="SIM"),"Sim","")</f>
        <v>Sim</v>
      </c>
      <c r="AD230" s="70" t="str">
        <f>IF(AC230="sim",Sheet1!I230,"")</f>
        <v>LAB. QUÍMICO</v>
      </c>
    </row>
    <row r="231" spans="1:30" ht="24.95" customHeight="1" x14ac:dyDescent="0.25">
      <c r="A231" s="9"/>
      <c r="B231" s="9"/>
      <c r="C231" s="9" t="s">
        <v>78</v>
      </c>
      <c r="D231" s="9" t="s">
        <v>157</v>
      </c>
      <c r="E231" s="9" t="s">
        <v>157</v>
      </c>
      <c r="F231" s="15" t="str">
        <f t="shared" si="9"/>
        <v/>
      </c>
      <c r="G231" s="9"/>
      <c r="AC231" s="70" t="str">
        <f>IF(AND(Sheet1!O231="SIM",Sheet1!P231="SIM"),"Sim","")</f>
        <v>Sim</v>
      </c>
      <c r="AD231" s="70" t="str">
        <f>IF(AC231="sim",Sheet1!I231,"")</f>
        <v>LAB. PLUGUES e TOMADAS</v>
      </c>
    </row>
    <row r="232" spans="1:30" ht="24.95" customHeight="1" x14ac:dyDescent="0.25">
      <c r="A232" s="9"/>
      <c r="B232" s="9"/>
      <c r="C232" s="9" t="s">
        <v>78</v>
      </c>
      <c r="D232" s="9" t="s">
        <v>156</v>
      </c>
      <c r="E232" s="9" t="s">
        <v>157</v>
      </c>
      <c r="F232" s="15" t="str">
        <f t="shared" si="9"/>
        <v>Técnico</v>
      </c>
      <c r="G232" s="9"/>
      <c r="AC232" s="70" t="str">
        <f>IF(AND(Sheet1!O232="SIM",Sheet1!P232="SIM"),"Sim","")</f>
        <v/>
      </c>
      <c r="AD232" s="70" t="str">
        <f>IF(AC232="sim",Sheet1!I232,"")</f>
        <v/>
      </c>
    </row>
    <row r="233" spans="1:30" ht="24.95" customHeight="1" x14ac:dyDescent="0.25">
      <c r="A233" s="9"/>
      <c r="B233" s="9"/>
      <c r="C233" s="9" t="s">
        <v>78</v>
      </c>
      <c r="D233" s="9" t="s">
        <v>157</v>
      </c>
      <c r="E233" s="9" t="s">
        <v>157</v>
      </c>
      <c r="F233" s="15" t="str">
        <f t="shared" si="9"/>
        <v/>
      </c>
      <c r="G233" s="9"/>
      <c r="AC233" s="70" t="str">
        <f>IF(AND(Sheet1!O233="SIM",Sheet1!P233="SIM"),"Sim","")</f>
        <v/>
      </c>
      <c r="AD233" s="70" t="str">
        <f>IF(AC233="sim",Sheet1!I233,"")</f>
        <v/>
      </c>
    </row>
    <row r="234" spans="1:30" ht="24.95" customHeight="1" x14ac:dyDescent="0.25">
      <c r="A234" s="9"/>
      <c r="B234" s="9"/>
      <c r="C234" s="9" t="s">
        <v>87</v>
      </c>
      <c r="D234" s="9" t="s">
        <v>157</v>
      </c>
      <c r="E234" s="9" t="s">
        <v>157</v>
      </c>
      <c r="F234" s="15" t="str">
        <f t="shared" si="9"/>
        <v/>
      </c>
      <c r="G234" s="9"/>
      <c r="AC234" s="70" t="str">
        <f>IF(AND(Sheet1!O234="SIM",Sheet1!P234="SIM"),"Sim","")</f>
        <v/>
      </c>
      <c r="AD234" s="70" t="str">
        <f>IF(AC234="sim",Sheet1!I234,"")</f>
        <v/>
      </c>
    </row>
    <row r="235" spans="1:30" ht="24.95" customHeight="1" x14ac:dyDescent="0.25">
      <c r="A235" s="9"/>
      <c r="B235" s="9"/>
      <c r="C235" s="9" t="s">
        <v>129</v>
      </c>
      <c r="D235" s="9" t="s">
        <v>157</v>
      </c>
      <c r="E235" s="9" t="s">
        <v>157</v>
      </c>
      <c r="F235" s="15" t="str">
        <f t="shared" si="9"/>
        <v/>
      </c>
      <c r="G235" s="9"/>
      <c r="AC235" s="70" t="str">
        <f>IF(AND(Sheet1!O235="SIM",Sheet1!P235="SIM"),"Sim","")</f>
        <v/>
      </c>
      <c r="AD235" s="70" t="str">
        <f>IF(AC235="sim",Sheet1!I235,"")</f>
        <v/>
      </c>
    </row>
    <row r="236" spans="1:30" ht="24.95" customHeight="1" x14ac:dyDescent="0.25">
      <c r="A236" s="9"/>
      <c r="B236" s="9"/>
      <c r="C236" s="9" t="s">
        <v>129</v>
      </c>
      <c r="D236" s="9" t="s">
        <v>156</v>
      </c>
      <c r="E236" s="9" t="s">
        <v>157</v>
      </c>
      <c r="F236" s="15" t="str">
        <f t="shared" si="9"/>
        <v>Técnico</v>
      </c>
      <c r="G236" s="9"/>
      <c r="AC236" s="70" t="str">
        <f>IF(AND(Sheet1!O236="SIM",Sheet1!P236="SIM"),"Sim","")</f>
        <v/>
      </c>
      <c r="AD236" s="70" t="str">
        <f>IF(AC236="sim",Sheet1!I236,"")</f>
        <v/>
      </c>
    </row>
    <row r="237" spans="1:30" ht="24.95" customHeight="1" x14ac:dyDescent="0.25">
      <c r="A237" s="9"/>
      <c r="B237" s="9"/>
      <c r="C237" s="9" t="s">
        <v>129</v>
      </c>
      <c r="D237" s="9" t="s">
        <v>157</v>
      </c>
      <c r="E237" s="9" t="s">
        <v>157</v>
      </c>
      <c r="F237" s="15" t="str">
        <f t="shared" si="9"/>
        <v/>
      </c>
      <c r="G237" s="9"/>
      <c r="AC237" s="70" t="str">
        <f>IF(AND(Sheet1!O237="SIM",Sheet1!P237="SIM"),"Sim","")</f>
        <v/>
      </c>
      <c r="AD237" s="70" t="str">
        <f>IF(AC237="sim",Sheet1!I237,"")</f>
        <v/>
      </c>
    </row>
    <row r="238" spans="1:30" ht="24.95" customHeight="1" x14ac:dyDescent="0.25">
      <c r="A238" s="9"/>
      <c r="B238" s="9"/>
      <c r="C238" s="9" t="s">
        <v>129</v>
      </c>
      <c r="D238" s="9" t="s">
        <v>156</v>
      </c>
      <c r="E238" s="9" t="s">
        <v>157</v>
      </c>
      <c r="F238" s="15" t="str">
        <f t="shared" si="9"/>
        <v>Técnico</v>
      </c>
      <c r="G238" s="9"/>
      <c r="AC238" s="70" t="str">
        <f>IF(AND(Sheet1!O238="SIM",Sheet1!P238="SIM"),"Sim","")</f>
        <v/>
      </c>
      <c r="AD238" s="70" t="str">
        <f>IF(AC238="sim",Sheet1!I238,"")</f>
        <v/>
      </c>
    </row>
    <row r="239" spans="1:30" ht="24.95" customHeight="1" x14ac:dyDescent="0.25">
      <c r="A239" s="9"/>
      <c r="B239" s="9"/>
      <c r="C239" s="9" t="s">
        <v>129</v>
      </c>
      <c r="D239" s="9" t="s">
        <v>157</v>
      </c>
      <c r="E239" s="9" t="s">
        <v>157</v>
      </c>
      <c r="F239" s="15" t="str">
        <f t="shared" si="9"/>
        <v/>
      </c>
      <c r="G239" s="9"/>
      <c r="AC239" s="70" t="str">
        <f>IF(AND(Sheet1!O239="SIM",Sheet1!P239="SIM"),"Sim","")</f>
        <v/>
      </c>
      <c r="AD239" s="70" t="str">
        <f>IF(AC239="sim",Sheet1!I239,"")</f>
        <v/>
      </c>
    </row>
    <row r="240" spans="1:30" ht="24.95" customHeight="1" x14ac:dyDescent="0.25">
      <c r="A240" s="9"/>
      <c r="B240" s="9"/>
      <c r="C240" s="9" t="s">
        <v>82</v>
      </c>
      <c r="D240" s="9" t="s">
        <v>156</v>
      </c>
      <c r="E240" s="9" t="s">
        <v>157</v>
      </c>
      <c r="F240" s="15" t="str">
        <f t="shared" si="9"/>
        <v>Técnico</v>
      </c>
      <c r="G240" s="9"/>
      <c r="AC240" s="70" t="str">
        <f>IF(AND(Sheet1!O240="SIM",Sheet1!P240="SIM"),"Sim","")</f>
        <v/>
      </c>
      <c r="AD240" s="70" t="str">
        <f>IF(AC240="sim",Sheet1!I240,"")</f>
        <v/>
      </c>
    </row>
    <row r="241" spans="1:30" ht="24.95" customHeight="1" x14ac:dyDescent="0.25">
      <c r="A241" s="9"/>
      <c r="B241" s="9"/>
      <c r="C241" s="9" t="s">
        <v>129</v>
      </c>
      <c r="D241" s="9" t="s">
        <v>157</v>
      </c>
      <c r="E241" s="9" t="s">
        <v>157</v>
      </c>
      <c r="F241" s="15" t="str">
        <f t="shared" si="9"/>
        <v/>
      </c>
      <c r="G241" s="9"/>
      <c r="AC241" s="70" t="str">
        <f>IF(AND(Sheet1!O241="SIM",Sheet1!P241="SIM"),"Sim","")</f>
        <v/>
      </c>
      <c r="AD241" s="70" t="str">
        <f>IF(AC241="sim",Sheet1!I241,"")</f>
        <v/>
      </c>
    </row>
    <row r="242" spans="1:30" ht="24.95" customHeight="1" x14ac:dyDescent="0.25">
      <c r="A242" s="9"/>
      <c r="B242" s="9"/>
      <c r="C242" s="9" t="s">
        <v>82</v>
      </c>
      <c r="D242" s="9" t="s">
        <v>156</v>
      </c>
      <c r="E242" s="9" t="s">
        <v>157</v>
      </c>
      <c r="F242" s="15" t="str">
        <f t="shared" si="9"/>
        <v>Técnico</v>
      </c>
      <c r="G242" s="9"/>
      <c r="AC242" s="70" t="str">
        <f>IF(AND(Sheet1!O242="SIM",Sheet1!P242="SIM"),"Sim","")</f>
        <v/>
      </c>
      <c r="AD242" s="70" t="str">
        <f>IF(AC242="sim",Sheet1!I242,"")</f>
        <v/>
      </c>
    </row>
    <row r="243" spans="1:30" ht="24.95" customHeight="1" x14ac:dyDescent="0.25">
      <c r="A243" s="9"/>
      <c r="B243" s="9"/>
      <c r="C243" s="9" t="s">
        <v>129</v>
      </c>
      <c r="D243" s="9" t="s">
        <v>157</v>
      </c>
      <c r="E243" s="9" t="s">
        <v>157</v>
      </c>
      <c r="F243" s="15" t="str">
        <f t="shared" si="9"/>
        <v/>
      </c>
      <c r="G243" s="9"/>
      <c r="AC243" s="70" t="str">
        <f>IF(AND(Sheet1!O243="SIM",Sheet1!P243="SIM"),"Sim","")</f>
        <v/>
      </c>
      <c r="AD243" s="70" t="str">
        <f>IF(AC243="sim",Sheet1!I243,"")</f>
        <v/>
      </c>
    </row>
    <row r="244" spans="1:30" ht="24.95" customHeight="1" x14ac:dyDescent="0.25">
      <c r="A244" s="9"/>
      <c r="B244" s="9"/>
      <c r="C244" s="9" t="s">
        <v>82</v>
      </c>
      <c r="D244" s="9" t="s">
        <v>157</v>
      </c>
      <c r="E244" s="9" t="s">
        <v>157</v>
      </c>
      <c r="F244" s="15" t="str">
        <f t="shared" si="9"/>
        <v/>
      </c>
      <c r="G244" s="9"/>
      <c r="AC244" s="70" t="str">
        <f>IF(AND(Sheet1!O244="SIM",Sheet1!P244="SIM"),"Sim","")</f>
        <v/>
      </c>
      <c r="AD244" s="70" t="str">
        <f>IF(AC244="sim",Sheet1!I244,"")</f>
        <v/>
      </c>
    </row>
    <row r="245" spans="1:30" ht="24.95" customHeight="1" x14ac:dyDescent="0.25">
      <c r="A245" s="9"/>
      <c r="B245" s="9"/>
      <c r="C245" s="9" t="s">
        <v>87</v>
      </c>
      <c r="D245" s="9" t="s">
        <v>157</v>
      </c>
      <c r="E245" s="9" t="s">
        <v>157</v>
      </c>
      <c r="F245" s="15" t="str">
        <f t="shared" si="9"/>
        <v/>
      </c>
      <c r="G245" s="9"/>
      <c r="AC245" s="70" t="str">
        <f>IF(AND(Sheet1!O245="SIM",Sheet1!P245="SIM"),"Sim","")</f>
        <v/>
      </c>
      <c r="AD245" s="70" t="str">
        <f>IF(AC245="sim",Sheet1!I245,"")</f>
        <v/>
      </c>
    </row>
    <row r="246" spans="1:30" ht="24.95" customHeight="1" x14ac:dyDescent="0.25">
      <c r="A246" s="9"/>
      <c r="B246" s="9"/>
      <c r="C246" s="9" t="s">
        <v>82</v>
      </c>
      <c r="D246" s="9" t="s">
        <v>157</v>
      </c>
      <c r="E246" s="9" t="s">
        <v>157</v>
      </c>
      <c r="F246" s="15" t="str">
        <f t="shared" si="9"/>
        <v/>
      </c>
      <c r="G246" s="9"/>
      <c r="AC246" s="70" t="str">
        <f>IF(AND(Sheet1!O246="SIM",Sheet1!P246="SIM"),"Sim","")</f>
        <v/>
      </c>
      <c r="AD246" s="70" t="str">
        <f>IF(AC246="sim",Sheet1!I246,"")</f>
        <v/>
      </c>
    </row>
    <row r="247" spans="1:30" ht="24.95" customHeight="1" x14ac:dyDescent="0.25">
      <c r="A247" s="9"/>
      <c r="B247" s="9"/>
      <c r="C247" s="9" t="s">
        <v>82</v>
      </c>
      <c r="D247" s="9" t="s">
        <v>157</v>
      </c>
      <c r="E247" s="9" t="s">
        <v>157</v>
      </c>
      <c r="F247" s="15" t="str">
        <f t="shared" si="9"/>
        <v/>
      </c>
      <c r="G247" s="9"/>
      <c r="AC247" s="70" t="str">
        <f>IF(AND(Sheet1!O247="SIM",Sheet1!P247="SIM"),"Sim","")</f>
        <v/>
      </c>
      <c r="AD247" s="70" t="str">
        <f>IF(AC247="sim",Sheet1!I247,"")</f>
        <v/>
      </c>
    </row>
    <row r="248" spans="1:30" ht="24.95" customHeight="1" x14ac:dyDescent="0.25">
      <c r="A248" s="9"/>
      <c r="B248" s="9"/>
      <c r="C248" s="9" t="s">
        <v>82</v>
      </c>
      <c r="D248" s="9" t="s">
        <v>157</v>
      </c>
      <c r="E248" s="9" t="s">
        <v>157</v>
      </c>
      <c r="F248" s="15" t="str">
        <f t="shared" si="9"/>
        <v/>
      </c>
      <c r="G248" s="9"/>
      <c r="AC248" s="70" t="str">
        <f>IF(AND(Sheet1!O248="SIM",Sheet1!P248="SIM"),"Sim","")</f>
        <v/>
      </c>
      <c r="AD248" s="70" t="str">
        <f>IF(AC248="sim",Sheet1!I248,"")</f>
        <v/>
      </c>
    </row>
    <row r="249" spans="1:30" ht="24.95" customHeight="1" x14ac:dyDescent="0.25">
      <c r="A249" s="9"/>
      <c r="B249" s="9"/>
      <c r="C249" s="9" t="s">
        <v>82</v>
      </c>
      <c r="D249" s="9" t="s">
        <v>156</v>
      </c>
      <c r="E249" s="9" t="s">
        <v>157</v>
      </c>
      <c r="F249" s="15" t="str">
        <f t="shared" si="9"/>
        <v>Técnico</v>
      </c>
      <c r="G249" s="9"/>
      <c r="AC249" s="70" t="str">
        <f>IF(AND(Sheet1!O249="SIM",Sheet1!P249="SIM"),"Sim","")</f>
        <v/>
      </c>
      <c r="AD249" s="70" t="str">
        <f>IF(AC249="sim",Sheet1!I249,"")</f>
        <v/>
      </c>
    </row>
    <row r="250" spans="1:30" ht="24.95" customHeight="1" x14ac:dyDescent="0.25">
      <c r="A250" s="9"/>
      <c r="B250" s="9"/>
      <c r="C250" s="9" t="s">
        <v>82</v>
      </c>
      <c r="D250" s="9" t="s">
        <v>156</v>
      </c>
      <c r="E250" s="9" t="s">
        <v>157</v>
      </c>
      <c r="F250" s="15" t="str">
        <f t="shared" si="9"/>
        <v>Técnico</v>
      </c>
      <c r="G250" s="9"/>
      <c r="AC250" s="70" t="str">
        <f>IF(AND(Sheet1!O250="SIM",Sheet1!P250="SIM"),"Sim","")</f>
        <v/>
      </c>
      <c r="AD250" s="70" t="str">
        <f>IF(AC250="sim",Sheet1!I250,"")</f>
        <v/>
      </c>
    </row>
    <row r="251" spans="1:30" ht="24.95" customHeight="1" x14ac:dyDescent="0.25">
      <c r="A251" s="9"/>
      <c r="B251" s="9"/>
      <c r="C251" s="9" t="s">
        <v>82</v>
      </c>
      <c r="D251" s="9" t="s">
        <v>156</v>
      </c>
      <c r="E251" s="9" t="s">
        <v>157</v>
      </c>
      <c r="F251" s="15" t="str">
        <f t="shared" si="9"/>
        <v>Técnico</v>
      </c>
      <c r="G251" s="9"/>
      <c r="AC251" s="70" t="str">
        <f>IF(AND(Sheet1!O251="SIM",Sheet1!P251="SIM"),"Sim","")</f>
        <v/>
      </c>
      <c r="AD251" s="70" t="str">
        <f>IF(AC251="sim",Sheet1!I251,"")</f>
        <v/>
      </c>
    </row>
    <row r="252" spans="1:30" ht="24.95" customHeight="1" x14ac:dyDescent="0.25">
      <c r="A252" s="9"/>
      <c r="B252" s="9"/>
      <c r="C252" s="9" t="s">
        <v>82</v>
      </c>
      <c r="D252" s="9" t="s">
        <v>156</v>
      </c>
      <c r="E252" s="9" t="s">
        <v>157</v>
      </c>
      <c r="F252" s="15" t="str">
        <f t="shared" si="9"/>
        <v>Técnico</v>
      </c>
      <c r="G252" s="9"/>
      <c r="AC252" s="70" t="str">
        <f>IF(AND(Sheet1!O252="SIM",Sheet1!P252="SIM"),"Sim","")</f>
        <v/>
      </c>
      <c r="AD252" s="70" t="str">
        <f>IF(AC252="sim",Sheet1!I252,"")</f>
        <v/>
      </c>
    </row>
    <row r="253" spans="1:30" ht="24.95" customHeight="1" x14ac:dyDescent="0.25">
      <c r="A253" s="9"/>
      <c r="B253" s="9"/>
      <c r="C253" s="9" t="s">
        <v>103</v>
      </c>
      <c r="D253" s="9" t="s">
        <v>157</v>
      </c>
      <c r="E253" s="9" t="s">
        <v>156</v>
      </c>
      <c r="F253" s="15" t="str">
        <f t="shared" si="9"/>
        <v>REP</v>
      </c>
      <c r="G253" s="9"/>
      <c r="AC253" s="70" t="str">
        <f>IF(AND(Sheet1!O253="SIM",Sheet1!P253="SIM"),"Sim","")</f>
        <v/>
      </c>
      <c r="AD253" s="70" t="str">
        <f>IF(AC253="sim",Sheet1!I253,"")</f>
        <v/>
      </c>
    </row>
    <row r="254" spans="1:30" ht="24.95" customHeight="1" x14ac:dyDescent="0.25">
      <c r="A254" s="9"/>
      <c r="B254" s="9"/>
      <c r="C254" s="9" t="s">
        <v>78</v>
      </c>
      <c r="D254" s="9" t="s">
        <v>156</v>
      </c>
      <c r="E254" s="9" t="s">
        <v>156</v>
      </c>
      <c r="F254" s="15" t="str">
        <f t="shared" si="9"/>
        <v>Ambos</v>
      </c>
      <c r="G254" s="9"/>
      <c r="AC254" s="70" t="str">
        <f>IF(AND(Sheet1!O254="SIM",Sheet1!P254="SIM"),"Sim","")</f>
        <v/>
      </c>
      <c r="AD254" s="70" t="str">
        <f>IF(AC254="sim",Sheet1!I254,"")</f>
        <v/>
      </c>
    </row>
    <row r="255" spans="1:30" ht="24.95" customHeight="1" x14ac:dyDescent="0.25">
      <c r="A255" s="9"/>
      <c r="B255" s="9"/>
      <c r="C255" s="9" t="s">
        <v>78</v>
      </c>
      <c r="D255" s="9" t="s">
        <v>157</v>
      </c>
      <c r="E255" s="9" t="s">
        <v>157</v>
      </c>
      <c r="F255" s="15" t="str">
        <f t="shared" si="9"/>
        <v/>
      </c>
      <c r="G255" s="9"/>
      <c r="AC255" s="70" t="str">
        <f>IF(AND(Sheet1!O255="SIM",Sheet1!P255="SIM"),"Sim","")</f>
        <v/>
      </c>
      <c r="AD255" s="70" t="str">
        <f>IF(AC255="sim",Sheet1!I255,"")</f>
        <v/>
      </c>
    </row>
    <row r="256" spans="1:30" ht="24.95" customHeight="1" x14ac:dyDescent="0.25">
      <c r="A256" s="9"/>
      <c r="B256" s="9"/>
      <c r="C256" s="9" t="s">
        <v>78</v>
      </c>
      <c r="D256" s="9" t="s">
        <v>157</v>
      </c>
      <c r="E256" s="9" t="s">
        <v>157</v>
      </c>
      <c r="F256" s="15" t="str">
        <f t="shared" si="9"/>
        <v/>
      </c>
      <c r="G256" s="9"/>
      <c r="AC256" s="70" t="str">
        <f>IF(AND(Sheet1!O256="SIM",Sheet1!P256="SIM"),"Sim","")</f>
        <v>Sim</v>
      </c>
      <c r="AD256" s="70" t="str">
        <f>IF(AC256="sim",Sheet1!I256,"")</f>
        <v>LAB. ELETRO-MECÂNICO</v>
      </c>
    </row>
    <row r="257" spans="1:30" ht="24.95" customHeight="1" x14ac:dyDescent="0.25">
      <c r="A257" s="9"/>
      <c r="B257" s="9"/>
      <c r="C257" s="9" t="s">
        <v>78</v>
      </c>
      <c r="D257" s="9" t="s">
        <v>157</v>
      </c>
      <c r="E257" s="9" t="s">
        <v>157</v>
      </c>
      <c r="F257" s="15" t="str">
        <f t="shared" si="9"/>
        <v/>
      </c>
      <c r="G257" s="9"/>
      <c r="AC257" s="70" t="str">
        <f>IF(AND(Sheet1!O257="SIM",Sheet1!P257="SIM"),"Sim","")</f>
        <v/>
      </c>
      <c r="AD257" s="70" t="str">
        <f>IF(AC257="sim",Sheet1!I257,"")</f>
        <v/>
      </c>
    </row>
    <row r="258" spans="1:30" ht="24.95" customHeight="1" x14ac:dyDescent="0.25">
      <c r="A258" s="9"/>
      <c r="B258" s="9"/>
      <c r="C258" s="9" t="s">
        <v>87</v>
      </c>
      <c r="D258" s="9" t="s">
        <v>156</v>
      </c>
      <c r="E258" s="9" t="s">
        <v>156</v>
      </c>
      <c r="F258" s="15" t="str">
        <f t="shared" si="9"/>
        <v>Ambos</v>
      </c>
      <c r="G258" s="9"/>
      <c r="AC258" s="70" t="str">
        <f>IF(AND(Sheet1!O258="SIM",Sheet1!P258="SIM"),"Sim","")</f>
        <v/>
      </c>
      <c r="AD258" s="70" t="str">
        <f>IF(AC258="sim",Sheet1!I258,"")</f>
        <v/>
      </c>
    </row>
    <row r="259" spans="1:30" ht="24.95" customHeight="1" x14ac:dyDescent="0.25">
      <c r="A259" s="9"/>
      <c r="B259" s="9"/>
      <c r="C259" s="9" t="s">
        <v>87</v>
      </c>
      <c r="D259" s="9" t="s">
        <v>157</v>
      </c>
      <c r="E259" s="9" t="s">
        <v>157</v>
      </c>
      <c r="F259" s="15" t="str">
        <f t="shared" ref="F259:F322" si="10">IFERROR(IF(AND(D259="Não",E259="Sim"),"REP",
IF(AND(D259="Sim",E259="Não"),"Técnico",
IF(AND(D259="Sim",E259="Sim"),"Ambos",""))),"")</f>
        <v/>
      </c>
      <c r="G259" s="9"/>
      <c r="AC259" s="70" t="str">
        <f>IF(AND(Sheet1!O259="SIM",Sheet1!P259="SIM"),"Sim","")</f>
        <v/>
      </c>
      <c r="AD259" s="70" t="str">
        <f>IF(AC259="sim",Sheet1!I259,"")</f>
        <v/>
      </c>
    </row>
    <row r="260" spans="1:30" ht="24.95" customHeight="1" x14ac:dyDescent="0.25">
      <c r="A260" s="9"/>
      <c r="B260" s="9"/>
      <c r="C260" s="9" t="s">
        <v>94</v>
      </c>
      <c r="D260" s="9" t="s">
        <v>157</v>
      </c>
      <c r="E260" s="9" t="s">
        <v>157</v>
      </c>
      <c r="F260" s="15" t="str">
        <f t="shared" si="10"/>
        <v/>
      </c>
      <c r="G260" s="9"/>
      <c r="AC260" s="70" t="str">
        <f>IF(AND(Sheet1!O260="SIM",Sheet1!P260="SIM"),"Sim","")</f>
        <v>Sim</v>
      </c>
      <c r="AD260" s="70" t="str">
        <f>IF(AC260="sim",Sheet1!I260,"")</f>
        <v>LAB. FIOS e CABOS</v>
      </c>
    </row>
    <row r="261" spans="1:30" ht="24.95" customHeight="1" x14ac:dyDescent="0.25">
      <c r="A261" s="9"/>
      <c r="B261" s="9"/>
      <c r="C261" s="9" t="s">
        <v>78</v>
      </c>
      <c r="D261" s="9" t="s">
        <v>156</v>
      </c>
      <c r="E261" s="9" t="s">
        <v>157</v>
      </c>
      <c r="F261" s="15" t="str">
        <f t="shared" si="10"/>
        <v>Técnico</v>
      </c>
      <c r="G261" s="9"/>
      <c r="AC261" s="70" t="str">
        <f>IF(AND(Sheet1!O261="SIM",Sheet1!P261="SIM"),"Sim","")</f>
        <v/>
      </c>
      <c r="AD261" s="70" t="str">
        <f>IF(AC261="sim",Sheet1!I261,"")</f>
        <v/>
      </c>
    </row>
    <row r="262" spans="1:30" ht="24.95" customHeight="1" x14ac:dyDescent="0.25">
      <c r="A262" s="9"/>
      <c r="B262" s="9"/>
      <c r="C262" s="9" t="s">
        <v>94</v>
      </c>
      <c r="D262" s="9" t="s">
        <v>156</v>
      </c>
      <c r="E262" s="9" t="s">
        <v>156</v>
      </c>
      <c r="F262" s="15" t="str">
        <f t="shared" si="10"/>
        <v>Ambos</v>
      </c>
      <c r="G262" s="9"/>
      <c r="AC262" s="70" t="str">
        <f>IF(AND(Sheet1!O262="SIM",Sheet1!P262="SIM"),"Sim","")</f>
        <v/>
      </c>
      <c r="AD262" s="70" t="str">
        <f>IF(AC262="sim",Sheet1!I262,"")</f>
        <v/>
      </c>
    </row>
    <row r="263" spans="1:30" ht="24.95" customHeight="1" x14ac:dyDescent="0.25">
      <c r="A263" s="9"/>
      <c r="B263" s="9"/>
      <c r="C263" s="9" t="s">
        <v>94</v>
      </c>
      <c r="D263" s="9" t="s">
        <v>157</v>
      </c>
      <c r="E263" s="9" t="s">
        <v>157</v>
      </c>
      <c r="F263" s="15" t="str">
        <f t="shared" si="10"/>
        <v/>
      </c>
      <c r="G263" s="9"/>
      <c r="AC263" s="70" t="str">
        <f>IF(AND(Sheet1!O263="SIM",Sheet1!P263="SIM"),"Sim","")</f>
        <v/>
      </c>
      <c r="AD263" s="70" t="str">
        <f>IF(AC263="sim",Sheet1!I263,"")</f>
        <v/>
      </c>
    </row>
    <row r="264" spans="1:30" ht="24.95" customHeight="1" x14ac:dyDescent="0.25">
      <c r="A264" s="9"/>
      <c r="B264" s="9"/>
      <c r="C264" s="9" t="s">
        <v>94</v>
      </c>
      <c r="D264" s="9" t="s">
        <v>157</v>
      </c>
      <c r="E264" s="9" t="s">
        <v>157</v>
      </c>
      <c r="F264" s="15" t="str">
        <f t="shared" si="10"/>
        <v/>
      </c>
      <c r="G264" s="9"/>
      <c r="AC264" s="70" t="str">
        <f>IF(AND(Sheet1!O264="SIM",Sheet1!P264="SIM"),"Sim","")</f>
        <v>Sim</v>
      </c>
      <c r="AD264" s="70" t="str">
        <f>IF(AC264="sim",Sheet1!I264,"")</f>
        <v>LAB. FOGO-DIV</v>
      </c>
    </row>
    <row r="265" spans="1:30" ht="24.95" customHeight="1" x14ac:dyDescent="0.25">
      <c r="A265" s="9"/>
      <c r="B265" s="9"/>
      <c r="C265" s="9" t="s">
        <v>94</v>
      </c>
      <c r="D265" s="9" t="s">
        <v>156</v>
      </c>
      <c r="E265" s="9" t="s">
        <v>156</v>
      </c>
      <c r="F265" s="15" t="str">
        <f t="shared" si="10"/>
        <v>Ambos</v>
      </c>
      <c r="G265" s="9"/>
      <c r="AC265" s="70" t="str">
        <f>IF(AND(Sheet1!O265="SIM",Sheet1!P265="SIM"),"Sim","")</f>
        <v/>
      </c>
      <c r="AD265" s="70" t="str">
        <f>IF(AC265="sim",Sheet1!I265,"")</f>
        <v/>
      </c>
    </row>
    <row r="266" spans="1:30" ht="24.95" customHeight="1" x14ac:dyDescent="0.25">
      <c r="A266" s="9"/>
      <c r="B266" s="9"/>
      <c r="C266" s="9" t="s">
        <v>94</v>
      </c>
      <c r="D266" s="9" t="s">
        <v>157</v>
      </c>
      <c r="E266" s="9" t="s">
        <v>157</v>
      </c>
      <c r="F266" s="15" t="str">
        <f t="shared" si="10"/>
        <v/>
      </c>
      <c r="G266" s="9"/>
      <c r="AC266" s="70" t="str">
        <f>IF(AND(Sheet1!O266="SIM",Sheet1!P266="SIM"),"Sim","")</f>
        <v/>
      </c>
      <c r="AD266" s="70" t="str">
        <f>IF(AC266="sim",Sheet1!I266,"")</f>
        <v/>
      </c>
    </row>
    <row r="267" spans="1:30" ht="24.95" customHeight="1" x14ac:dyDescent="0.25">
      <c r="A267" s="9"/>
      <c r="B267" s="9"/>
      <c r="C267" s="9" t="s">
        <v>94</v>
      </c>
      <c r="D267" s="9" t="s">
        <v>157</v>
      </c>
      <c r="E267" s="9" t="s">
        <v>157</v>
      </c>
      <c r="F267" s="15" t="str">
        <f t="shared" si="10"/>
        <v/>
      </c>
      <c r="G267" s="9"/>
      <c r="AC267" s="70" t="str">
        <f>IF(AND(Sheet1!O267="SIM",Sheet1!P267="SIM"),"Sim","")</f>
        <v>Sim</v>
      </c>
      <c r="AD267" s="70" t="str">
        <f>IF(AC267="sim",Sheet1!I267,"")</f>
        <v>LAB. FOGO-DIV</v>
      </c>
    </row>
    <row r="268" spans="1:30" ht="24.95" customHeight="1" x14ac:dyDescent="0.25">
      <c r="A268" s="9"/>
      <c r="B268" s="9"/>
      <c r="C268" s="9" t="s">
        <v>78</v>
      </c>
      <c r="D268" s="9" t="s">
        <v>157</v>
      </c>
      <c r="E268" s="9" t="s">
        <v>156</v>
      </c>
      <c r="F268" s="15" t="str">
        <f t="shared" si="10"/>
        <v>REP</v>
      </c>
      <c r="G268" s="9"/>
      <c r="AC268" s="70" t="str">
        <f>IF(AND(Sheet1!O268="SIM",Sheet1!P268="SIM"),"Sim","")</f>
        <v/>
      </c>
      <c r="AD268" s="70" t="str">
        <f>IF(AC268="sim",Sheet1!I268,"")</f>
        <v/>
      </c>
    </row>
    <row r="269" spans="1:30" ht="24.95" customHeight="1" x14ac:dyDescent="0.25">
      <c r="A269" s="9"/>
      <c r="B269" s="9"/>
      <c r="C269" s="9" t="s">
        <v>94</v>
      </c>
      <c r="D269" s="9" t="s">
        <v>156</v>
      </c>
      <c r="E269" s="9" t="s">
        <v>156</v>
      </c>
      <c r="F269" s="15" t="str">
        <f t="shared" si="10"/>
        <v>Ambos</v>
      </c>
      <c r="G269" s="9"/>
      <c r="AC269" s="70" t="str">
        <f>IF(AND(Sheet1!O269="SIM",Sheet1!P269="SIM"),"Sim","")</f>
        <v/>
      </c>
      <c r="AD269" s="70" t="str">
        <f>IF(AC269="sim",Sheet1!I269,"")</f>
        <v/>
      </c>
    </row>
    <row r="270" spans="1:30" ht="24.95" customHeight="1" x14ac:dyDescent="0.25">
      <c r="A270" s="9"/>
      <c r="B270" s="9"/>
      <c r="C270" s="9" t="s">
        <v>129</v>
      </c>
      <c r="D270" s="9" t="s">
        <v>157</v>
      </c>
      <c r="E270" s="9" t="s">
        <v>157</v>
      </c>
      <c r="F270" s="15" t="str">
        <f t="shared" si="10"/>
        <v/>
      </c>
      <c r="G270" s="9"/>
      <c r="AC270" s="70" t="str">
        <f>IF(AND(Sheet1!O270="SIM",Sheet1!P270="SIM"),"Sim","")</f>
        <v/>
      </c>
      <c r="AD270" s="70" t="str">
        <f>IF(AC270="sim",Sheet1!I270,"")</f>
        <v/>
      </c>
    </row>
    <row r="271" spans="1:30" ht="24.95" customHeight="1" x14ac:dyDescent="0.25">
      <c r="A271" s="9"/>
      <c r="B271" s="9"/>
      <c r="C271" s="9" t="s">
        <v>129</v>
      </c>
      <c r="D271" s="9" t="s">
        <v>157</v>
      </c>
      <c r="E271" s="9" t="s">
        <v>157</v>
      </c>
      <c r="F271" s="15" t="str">
        <f t="shared" si="10"/>
        <v/>
      </c>
      <c r="G271" s="9"/>
      <c r="AC271" s="70" t="str">
        <f>IF(AND(Sheet1!O271="SIM",Sheet1!P271="SIM"),"Sim","")</f>
        <v>Sim</v>
      </c>
      <c r="AD271" s="70" t="str">
        <f>IF(AC271="sim",Sheet1!I271,"")</f>
        <v>LAB. FOGO-DIV</v>
      </c>
    </row>
    <row r="272" spans="1:30" ht="24.95" customHeight="1" x14ac:dyDescent="0.25">
      <c r="A272" s="9"/>
      <c r="B272" s="9"/>
      <c r="C272" s="9" t="s">
        <v>129</v>
      </c>
      <c r="D272" s="9" t="s">
        <v>157</v>
      </c>
      <c r="E272" s="9" t="s">
        <v>157</v>
      </c>
      <c r="F272" s="15" t="str">
        <f t="shared" si="10"/>
        <v/>
      </c>
      <c r="G272" s="9"/>
      <c r="AC272" s="70" t="str">
        <f>IF(AND(Sheet1!O272="SIM",Sheet1!P272="SIM"),"Sim","")</f>
        <v/>
      </c>
      <c r="AD272" s="70" t="str">
        <f>IF(AC272="sim",Sheet1!I272,"")</f>
        <v/>
      </c>
    </row>
    <row r="273" spans="1:30" ht="24.95" customHeight="1" x14ac:dyDescent="0.25">
      <c r="A273" s="9"/>
      <c r="B273" s="9"/>
      <c r="C273" s="9" t="s">
        <v>129</v>
      </c>
      <c r="D273" s="9" t="s">
        <v>157</v>
      </c>
      <c r="E273" s="9" t="s">
        <v>157</v>
      </c>
      <c r="F273" s="15" t="str">
        <f t="shared" si="10"/>
        <v/>
      </c>
      <c r="G273" s="9"/>
      <c r="AC273" s="70" t="str">
        <f>IF(AND(Sheet1!O273="SIM",Sheet1!P273="SIM"),"Sim","")</f>
        <v/>
      </c>
      <c r="AD273" s="70" t="str">
        <f>IF(AC273="sim",Sheet1!I273,"")</f>
        <v/>
      </c>
    </row>
    <row r="274" spans="1:30" ht="24.95" customHeight="1" x14ac:dyDescent="0.25">
      <c r="A274" s="9"/>
      <c r="B274" s="9"/>
      <c r="C274" s="9" t="s">
        <v>129</v>
      </c>
      <c r="D274" s="9" t="s">
        <v>157</v>
      </c>
      <c r="E274" s="9" t="s">
        <v>157</v>
      </c>
      <c r="F274" s="15" t="str">
        <f t="shared" si="10"/>
        <v/>
      </c>
      <c r="G274" s="9"/>
      <c r="AC274" s="70" t="str">
        <f>IF(AND(Sheet1!O274="SIM",Sheet1!P274="SIM"),"Sim","")</f>
        <v/>
      </c>
      <c r="AD274" s="70" t="str">
        <f>IF(AC274="sim",Sheet1!I274,"")</f>
        <v/>
      </c>
    </row>
    <row r="275" spans="1:30" ht="24.95" customHeight="1" x14ac:dyDescent="0.25">
      <c r="A275" s="9"/>
      <c r="B275" s="9"/>
      <c r="C275" s="9" t="s">
        <v>129</v>
      </c>
      <c r="D275" s="9" t="s">
        <v>157</v>
      </c>
      <c r="E275" s="9" t="s">
        <v>157</v>
      </c>
      <c r="F275" s="15" t="str">
        <f t="shared" si="10"/>
        <v/>
      </c>
      <c r="G275" s="9"/>
      <c r="AC275" s="70" t="str">
        <f>IF(AND(Sheet1!O275="SIM",Sheet1!P275="SIM"),"Sim","")</f>
        <v/>
      </c>
      <c r="AD275" s="70" t="str">
        <f>IF(AC275="sim",Sheet1!I275,"")</f>
        <v/>
      </c>
    </row>
    <row r="276" spans="1:30" ht="24.95" customHeight="1" x14ac:dyDescent="0.25">
      <c r="A276" s="9"/>
      <c r="B276" s="9"/>
      <c r="C276" s="9" t="s">
        <v>129</v>
      </c>
      <c r="D276" s="9" t="s">
        <v>157</v>
      </c>
      <c r="E276" s="9" t="s">
        <v>157</v>
      </c>
      <c r="F276" s="15" t="str">
        <f t="shared" si="10"/>
        <v/>
      </c>
      <c r="G276" s="9"/>
      <c r="AC276" s="70" t="str">
        <f>IF(AND(Sheet1!O276="SIM",Sheet1!P276="SIM"),"Sim","")</f>
        <v/>
      </c>
      <c r="AD276" s="70" t="str">
        <f>IF(AC276="sim",Sheet1!I276,"")</f>
        <v/>
      </c>
    </row>
    <row r="277" spans="1:30" ht="24.95" customHeight="1" x14ac:dyDescent="0.25">
      <c r="A277" s="9"/>
      <c r="B277" s="9"/>
      <c r="C277" s="9" t="s">
        <v>129</v>
      </c>
      <c r="D277" s="9" t="s">
        <v>157</v>
      </c>
      <c r="E277" s="9" t="s">
        <v>157</v>
      </c>
      <c r="F277" s="15" t="str">
        <f t="shared" si="10"/>
        <v/>
      </c>
      <c r="G277" s="9"/>
      <c r="AC277" s="70" t="str">
        <f>IF(AND(Sheet1!O277="SIM",Sheet1!P277="SIM"),"Sim","")</f>
        <v/>
      </c>
      <c r="AD277" s="70" t="str">
        <f>IF(AC277="sim",Sheet1!I277,"")</f>
        <v/>
      </c>
    </row>
    <row r="278" spans="1:30" ht="24.95" customHeight="1" x14ac:dyDescent="0.25">
      <c r="A278" s="9"/>
      <c r="B278" s="9"/>
      <c r="C278" s="9" t="s">
        <v>129</v>
      </c>
      <c r="D278" s="9" t="s">
        <v>157</v>
      </c>
      <c r="E278" s="9" t="s">
        <v>157</v>
      </c>
      <c r="F278" s="15" t="str">
        <f t="shared" si="10"/>
        <v/>
      </c>
      <c r="G278" s="9"/>
      <c r="AC278" s="70" t="str">
        <f>IF(AND(Sheet1!O278="SIM",Sheet1!P278="SIM"),"Sim","")</f>
        <v/>
      </c>
      <c r="AD278" s="70" t="str">
        <f>IF(AC278="sim",Sheet1!I278,"")</f>
        <v/>
      </c>
    </row>
    <row r="279" spans="1:30" ht="24.95" customHeight="1" x14ac:dyDescent="0.25">
      <c r="A279" s="9"/>
      <c r="B279" s="9"/>
      <c r="C279" s="9" t="s">
        <v>129</v>
      </c>
      <c r="D279" s="9" t="s">
        <v>157</v>
      </c>
      <c r="E279" s="9" t="s">
        <v>157</v>
      </c>
      <c r="F279" s="15" t="str">
        <f t="shared" si="10"/>
        <v/>
      </c>
      <c r="G279" s="9"/>
      <c r="AC279" s="70" t="str">
        <f>IF(AND(Sheet1!O279="SIM",Sheet1!P279="SIM"),"Sim","")</f>
        <v/>
      </c>
      <c r="AD279" s="70" t="str">
        <f>IF(AC279="sim",Sheet1!I279,"")</f>
        <v/>
      </c>
    </row>
    <row r="280" spans="1:30" ht="24.95" customHeight="1" x14ac:dyDescent="0.25">
      <c r="A280" s="9"/>
      <c r="B280" s="9"/>
      <c r="C280" s="9" t="s">
        <v>94</v>
      </c>
      <c r="D280" s="9" t="s">
        <v>156</v>
      </c>
      <c r="E280" s="9" t="s">
        <v>156</v>
      </c>
      <c r="F280" s="15" t="str">
        <f t="shared" si="10"/>
        <v>Ambos</v>
      </c>
      <c r="G280" s="9"/>
      <c r="AC280" s="70" t="str">
        <f>IF(AND(Sheet1!O280="SIM",Sheet1!P280="SIM"),"Sim","")</f>
        <v/>
      </c>
      <c r="AD280" s="70" t="str">
        <f>IF(AC280="sim",Sheet1!I280,"")</f>
        <v/>
      </c>
    </row>
    <row r="281" spans="1:30" ht="24.95" customHeight="1" x14ac:dyDescent="0.25">
      <c r="A281" s="9"/>
      <c r="B281" s="9"/>
      <c r="C281" s="9" t="s">
        <v>101</v>
      </c>
      <c r="D281" s="9" t="s">
        <v>157</v>
      </c>
      <c r="E281" s="9" t="s">
        <v>157</v>
      </c>
      <c r="F281" s="15" t="str">
        <f t="shared" si="10"/>
        <v/>
      </c>
      <c r="G281" s="9"/>
      <c r="AC281" s="70" t="str">
        <f>IF(AND(Sheet1!O281="SIM",Sheet1!P281="SIM"),"Sim","")</f>
        <v/>
      </c>
      <c r="AD281" s="70" t="str">
        <f>IF(AC281="sim",Sheet1!I281,"")</f>
        <v/>
      </c>
    </row>
    <row r="282" spans="1:30" ht="24.95" customHeight="1" x14ac:dyDescent="0.25">
      <c r="A282" s="9"/>
      <c r="B282" s="9"/>
      <c r="C282" s="9" t="s">
        <v>101</v>
      </c>
      <c r="D282" s="9" t="s">
        <v>157</v>
      </c>
      <c r="E282" s="9" t="s">
        <v>157</v>
      </c>
      <c r="F282" s="15" t="str">
        <f t="shared" si="10"/>
        <v/>
      </c>
      <c r="G282" s="9"/>
      <c r="AC282" s="70" t="str">
        <f>IF(AND(Sheet1!O282="SIM",Sheet1!P282="SIM"),"Sim","")</f>
        <v>Sim</v>
      </c>
      <c r="AD282" s="70" t="str">
        <f>IF(AC282="sim",Sheet1!I282,"")</f>
        <v>LAB. FOGO-DIV</v>
      </c>
    </row>
    <row r="283" spans="1:30" ht="24.95" customHeight="1" x14ac:dyDescent="0.25">
      <c r="A283" s="9"/>
      <c r="B283" s="9"/>
      <c r="C283" s="9" t="s">
        <v>101</v>
      </c>
      <c r="D283" s="9" t="s">
        <v>157</v>
      </c>
      <c r="E283" s="9" t="s">
        <v>157</v>
      </c>
      <c r="F283" s="15" t="str">
        <f t="shared" si="10"/>
        <v/>
      </c>
      <c r="G283" s="9"/>
      <c r="AC283" s="70" t="str">
        <f>IF(AND(Sheet1!O283="SIM",Sheet1!P283="SIM"),"Sim","")</f>
        <v/>
      </c>
      <c r="AD283" s="70" t="str">
        <f>IF(AC283="sim",Sheet1!I283,"")</f>
        <v/>
      </c>
    </row>
    <row r="284" spans="1:30" ht="24.95" customHeight="1" x14ac:dyDescent="0.25">
      <c r="A284" s="9"/>
      <c r="B284" s="9"/>
      <c r="C284" s="9" t="s">
        <v>103</v>
      </c>
      <c r="D284" s="9" t="s">
        <v>157</v>
      </c>
      <c r="E284" s="9" t="s">
        <v>156</v>
      </c>
      <c r="F284" s="15" t="str">
        <f t="shared" si="10"/>
        <v>REP</v>
      </c>
      <c r="G284" s="9"/>
      <c r="AC284" s="70" t="str">
        <f>IF(AND(Sheet1!O284="SIM",Sheet1!P284="SIM"),"Sim","")</f>
        <v/>
      </c>
      <c r="AD284" s="70" t="str">
        <f>IF(AC284="sim",Sheet1!I284,"")</f>
        <v/>
      </c>
    </row>
    <row r="285" spans="1:30" ht="24.95" customHeight="1" x14ac:dyDescent="0.25">
      <c r="A285" s="9"/>
      <c r="B285" s="9"/>
      <c r="C285" s="9" t="s">
        <v>103</v>
      </c>
      <c r="D285" s="9" t="s">
        <v>157</v>
      </c>
      <c r="E285" s="9" t="s">
        <v>156</v>
      </c>
      <c r="F285" s="15" t="str">
        <f t="shared" si="10"/>
        <v>REP</v>
      </c>
      <c r="G285" s="9"/>
      <c r="AC285" s="70" t="str">
        <f>IF(AND(Sheet1!O285="SIM",Sheet1!P285="SIM"),"Sim","")</f>
        <v/>
      </c>
      <c r="AD285" s="70" t="str">
        <f>IF(AC285="sim",Sheet1!I285,"")</f>
        <v/>
      </c>
    </row>
    <row r="286" spans="1:30" ht="24.95" customHeight="1" x14ac:dyDescent="0.25">
      <c r="A286" s="9"/>
      <c r="B286" s="9"/>
      <c r="C286" s="9" t="s">
        <v>87</v>
      </c>
      <c r="D286" s="9" t="s">
        <v>156</v>
      </c>
      <c r="E286" s="9" t="s">
        <v>157</v>
      </c>
      <c r="F286" s="15" t="str">
        <f t="shared" si="10"/>
        <v>Técnico</v>
      </c>
      <c r="G286" s="9"/>
      <c r="AC286" s="70" t="str">
        <f>IF(AND(Sheet1!O286="SIM",Sheet1!P286="SIM"),"Sim","")</f>
        <v/>
      </c>
      <c r="AD286" s="70" t="str">
        <f>IF(AC286="sim",Sheet1!I286,"")</f>
        <v/>
      </c>
    </row>
    <row r="287" spans="1:30" ht="24.95" customHeight="1" x14ac:dyDescent="0.25">
      <c r="A287" s="9"/>
      <c r="B287" s="9"/>
      <c r="C287" s="9" t="s">
        <v>87</v>
      </c>
      <c r="D287" s="9" t="s">
        <v>156</v>
      </c>
      <c r="E287" s="9" t="s">
        <v>157</v>
      </c>
      <c r="F287" s="15" t="str">
        <f t="shared" si="10"/>
        <v>Técnico</v>
      </c>
      <c r="G287" s="9"/>
      <c r="AC287" s="70" t="str">
        <f>IF(AND(Sheet1!O287="SIM",Sheet1!P287="SIM"),"Sim","")</f>
        <v/>
      </c>
      <c r="AD287" s="70" t="str">
        <f>IF(AC287="sim",Sheet1!I287,"")</f>
        <v/>
      </c>
    </row>
    <row r="288" spans="1:30" ht="24.95" customHeight="1" x14ac:dyDescent="0.25">
      <c r="A288" s="9"/>
      <c r="B288" s="9"/>
      <c r="C288" s="9" t="s">
        <v>87</v>
      </c>
      <c r="D288" s="9" t="s">
        <v>156</v>
      </c>
      <c r="E288" s="9" t="s">
        <v>157</v>
      </c>
      <c r="F288" s="15" t="str">
        <f t="shared" si="10"/>
        <v>Técnico</v>
      </c>
      <c r="G288" s="9"/>
      <c r="AC288" s="70" t="str">
        <f>IF(AND(Sheet1!O288="SIM",Sheet1!P288="SIM"),"Sim","")</f>
        <v/>
      </c>
      <c r="AD288" s="70" t="str">
        <f>IF(AC288="sim",Sheet1!I288,"")</f>
        <v/>
      </c>
    </row>
    <row r="289" spans="1:30" ht="24.95" customHeight="1" x14ac:dyDescent="0.25">
      <c r="A289" s="9"/>
      <c r="B289" s="9"/>
      <c r="C289" s="9" t="s">
        <v>87</v>
      </c>
      <c r="D289" s="9" t="s">
        <v>156</v>
      </c>
      <c r="E289" s="9" t="s">
        <v>157</v>
      </c>
      <c r="F289" s="15" t="str">
        <f t="shared" si="10"/>
        <v>Técnico</v>
      </c>
      <c r="G289" s="9"/>
      <c r="AC289" s="70" t="str">
        <f>IF(AND(Sheet1!O289="SIM",Sheet1!P289="SIM"),"Sim","")</f>
        <v/>
      </c>
      <c r="AD289" s="70" t="str">
        <f>IF(AC289="sim",Sheet1!I289,"")</f>
        <v/>
      </c>
    </row>
    <row r="290" spans="1:30" ht="24.95" customHeight="1" x14ac:dyDescent="0.25">
      <c r="A290" s="9"/>
      <c r="B290" s="9"/>
      <c r="C290" s="9" t="s">
        <v>87</v>
      </c>
      <c r="D290" s="9" t="s">
        <v>156</v>
      </c>
      <c r="E290" s="9" t="s">
        <v>157</v>
      </c>
      <c r="F290" s="15" t="str">
        <f t="shared" si="10"/>
        <v>Técnico</v>
      </c>
      <c r="G290" s="9"/>
      <c r="AC290" s="70" t="str">
        <f>IF(AND(Sheet1!O290="SIM",Sheet1!P290="SIM"),"Sim","")</f>
        <v/>
      </c>
      <c r="AD290" s="70" t="str">
        <f>IF(AC290="sim",Sheet1!I290,"")</f>
        <v/>
      </c>
    </row>
    <row r="291" spans="1:30" ht="24.95" customHeight="1" x14ac:dyDescent="0.25">
      <c r="A291" s="9"/>
      <c r="B291" s="9"/>
      <c r="C291" s="9" t="s">
        <v>87</v>
      </c>
      <c r="D291" s="9" t="s">
        <v>156</v>
      </c>
      <c r="E291" s="9" t="s">
        <v>157</v>
      </c>
      <c r="F291" s="15" t="str">
        <f t="shared" si="10"/>
        <v>Técnico</v>
      </c>
      <c r="G291" s="9"/>
      <c r="AC291" s="70" t="str">
        <f>IF(AND(Sheet1!O291="SIM",Sheet1!P291="SIM"),"Sim","")</f>
        <v/>
      </c>
      <c r="AD291" s="70" t="str">
        <f>IF(AC291="sim",Sheet1!I291,"")</f>
        <v/>
      </c>
    </row>
    <row r="292" spans="1:30" ht="24.95" customHeight="1" x14ac:dyDescent="0.25">
      <c r="A292" s="9"/>
      <c r="B292" s="9"/>
      <c r="C292" s="9" t="s">
        <v>87</v>
      </c>
      <c r="D292" s="9" t="s">
        <v>156</v>
      </c>
      <c r="E292" s="9" t="s">
        <v>157</v>
      </c>
      <c r="F292" s="15" t="str">
        <f t="shared" si="10"/>
        <v>Técnico</v>
      </c>
      <c r="G292" s="9"/>
      <c r="AC292" s="70" t="str">
        <f>IF(AND(Sheet1!O292="SIM",Sheet1!P292="SIM"),"Sim","")</f>
        <v/>
      </c>
      <c r="AD292" s="70" t="str">
        <f>IF(AC292="sim",Sheet1!I292,"")</f>
        <v/>
      </c>
    </row>
    <row r="293" spans="1:30" ht="24.95" customHeight="1" x14ac:dyDescent="0.25">
      <c r="A293" s="9"/>
      <c r="B293" s="9"/>
      <c r="C293" s="9" t="s">
        <v>87</v>
      </c>
      <c r="D293" s="9" t="s">
        <v>156</v>
      </c>
      <c r="E293" s="9" t="s">
        <v>157</v>
      </c>
      <c r="F293" s="15" t="str">
        <f t="shared" si="10"/>
        <v>Técnico</v>
      </c>
      <c r="G293" s="9"/>
      <c r="AC293" s="70" t="str">
        <f>IF(AND(Sheet1!O293="SIM",Sheet1!P293="SIM"),"Sim","")</f>
        <v/>
      </c>
      <c r="AD293" s="70" t="str">
        <f>IF(AC293="sim",Sheet1!I293,"")</f>
        <v/>
      </c>
    </row>
    <row r="294" spans="1:30" ht="24.95" customHeight="1" x14ac:dyDescent="0.25">
      <c r="A294" s="9"/>
      <c r="B294" s="9"/>
      <c r="C294" s="9" t="s">
        <v>87</v>
      </c>
      <c r="D294" s="9" t="s">
        <v>156</v>
      </c>
      <c r="E294" s="9" t="s">
        <v>157</v>
      </c>
      <c r="F294" s="15" t="str">
        <f t="shared" si="10"/>
        <v>Técnico</v>
      </c>
      <c r="G294" s="9"/>
      <c r="AC294" s="70" t="str">
        <f>IF(AND(Sheet1!O294="SIM",Sheet1!P294="SIM"),"Sim","")</f>
        <v/>
      </c>
      <c r="AD294" s="70" t="str">
        <f>IF(AC294="sim",Sheet1!I294,"")</f>
        <v/>
      </c>
    </row>
    <row r="295" spans="1:30" ht="24.95" customHeight="1" x14ac:dyDescent="0.25">
      <c r="A295" s="9"/>
      <c r="B295" s="9"/>
      <c r="C295" s="9" t="s">
        <v>87</v>
      </c>
      <c r="D295" s="9" t="s">
        <v>156</v>
      </c>
      <c r="E295" s="9" t="s">
        <v>157</v>
      </c>
      <c r="F295" s="15" t="str">
        <f t="shared" si="10"/>
        <v>Técnico</v>
      </c>
      <c r="G295" s="9"/>
      <c r="AC295" s="70" t="str">
        <f>IF(AND(Sheet1!O295="SIM",Sheet1!P295="SIM"),"Sim","")</f>
        <v/>
      </c>
      <c r="AD295" s="70" t="str">
        <f>IF(AC295="sim",Sheet1!I295,"")</f>
        <v/>
      </c>
    </row>
    <row r="296" spans="1:30" ht="24.95" customHeight="1" x14ac:dyDescent="0.25">
      <c r="A296" s="9"/>
      <c r="B296" s="9"/>
      <c r="C296" s="9" t="s">
        <v>87</v>
      </c>
      <c r="D296" s="9" t="s">
        <v>156</v>
      </c>
      <c r="E296" s="9" t="s">
        <v>157</v>
      </c>
      <c r="F296" s="15" t="str">
        <f t="shared" si="10"/>
        <v>Técnico</v>
      </c>
      <c r="G296" s="9"/>
      <c r="AC296" s="70" t="str">
        <f>IF(AND(Sheet1!O296="SIM",Sheet1!P296="SIM"),"Sim","")</f>
        <v/>
      </c>
      <c r="AD296" s="70" t="str">
        <f>IF(AC296="sim",Sheet1!I296,"")</f>
        <v/>
      </c>
    </row>
    <row r="297" spans="1:30" ht="24.95" customHeight="1" x14ac:dyDescent="0.25">
      <c r="A297" s="9"/>
      <c r="B297" s="9"/>
      <c r="C297" s="9" t="s">
        <v>103</v>
      </c>
      <c r="D297" s="9" t="s">
        <v>157</v>
      </c>
      <c r="E297" s="9" t="s">
        <v>157</v>
      </c>
      <c r="F297" s="15" t="str">
        <f t="shared" si="10"/>
        <v/>
      </c>
      <c r="G297" s="9"/>
      <c r="AC297" s="70" t="str">
        <f>IF(AND(Sheet1!O297="SIM",Sheet1!P297="SIM"),"Sim","")</f>
        <v/>
      </c>
      <c r="AD297" s="70" t="str">
        <f>IF(AC297="sim",Sheet1!I297,"")</f>
        <v/>
      </c>
    </row>
    <row r="298" spans="1:30" ht="24.95" customHeight="1" x14ac:dyDescent="0.25">
      <c r="A298" s="9"/>
      <c r="B298" s="9"/>
      <c r="C298" s="9" t="s">
        <v>82</v>
      </c>
      <c r="D298" s="9" t="s">
        <v>156</v>
      </c>
      <c r="E298" s="9" t="s">
        <v>156</v>
      </c>
      <c r="F298" s="15" t="str">
        <f t="shared" si="10"/>
        <v>Ambos</v>
      </c>
      <c r="G298" s="9"/>
      <c r="AC298" s="70" t="str">
        <f>IF(AND(Sheet1!O298="SIM",Sheet1!P298="SIM"),"Sim","")</f>
        <v/>
      </c>
      <c r="AD298" s="70" t="str">
        <f>IF(AC298="sim",Sheet1!I298,"")</f>
        <v/>
      </c>
    </row>
    <row r="299" spans="1:30" ht="24.95" customHeight="1" x14ac:dyDescent="0.25">
      <c r="A299" s="9"/>
      <c r="B299" s="9"/>
      <c r="C299" s="9" t="s">
        <v>78</v>
      </c>
      <c r="D299" s="9" t="s">
        <v>157</v>
      </c>
      <c r="E299" s="9" t="s">
        <v>157</v>
      </c>
      <c r="F299" s="15" t="str">
        <f t="shared" si="10"/>
        <v/>
      </c>
      <c r="G299" s="9"/>
      <c r="AC299" s="70" t="str">
        <f>IF(AND(Sheet1!O299="SIM",Sheet1!P299="SIM"),"Sim","")</f>
        <v/>
      </c>
      <c r="AD299" s="70" t="str">
        <f>IF(AC299="sim",Sheet1!I299,"")</f>
        <v/>
      </c>
    </row>
    <row r="300" spans="1:30" ht="24.95" customHeight="1" x14ac:dyDescent="0.25">
      <c r="A300" s="9"/>
      <c r="B300" s="9"/>
      <c r="C300" s="9" t="s">
        <v>82</v>
      </c>
      <c r="D300" s="9" t="s">
        <v>157</v>
      </c>
      <c r="E300" s="9" t="s">
        <v>157</v>
      </c>
      <c r="F300" s="15" t="str">
        <f t="shared" si="10"/>
        <v/>
      </c>
      <c r="G300" s="9"/>
      <c r="AC300" s="70" t="str">
        <f>IF(AND(Sheet1!O300="SIM",Sheet1!P300="SIM"),"Sim","")</f>
        <v>Sim</v>
      </c>
      <c r="AD300" s="70" t="str">
        <f>IF(AC300="sim",Sheet1!I300,"")</f>
        <v>LAB. QUÍMICO</v>
      </c>
    </row>
    <row r="301" spans="1:30" ht="24.95" customHeight="1" x14ac:dyDescent="0.25">
      <c r="A301" s="9"/>
      <c r="B301" s="9"/>
      <c r="C301" s="9" t="s">
        <v>94</v>
      </c>
      <c r="D301" s="9" t="s">
        <v>157</v>
      </c>
      <c r="E301" s="9" t="s">
        <v>157</v>
      </c>
      <c r="F301" s="15" t="str">
        <f t="shared" si="10"/>
        <v/>
      </c>
      <c r="G301" s="9"/>
      <c r="AC301" s="70" t="str">
        <f>IF(AND(Sheet1!O301="SIM",Sheet1!P301="SIM"),"Sim","")</f>
        <v/>
      </c>
      <c r="AD301" s="70" t="str">
        <f>IF(AC301="sim",Sheet1!I301,"")</f>
        <v/>
      </c>
    </row>
    <row r="302" spans="1:30" ht="24.95" customHeight="1" x14ac:dyDescent="0.25">
      <c r="A302" s="9"/>
      <c r="B302" s="9"/>
      <c r="C302" s="9" t="s">
        <v>101</v>
      </c>
      <c r="D302" s="9" t="s">
        <v>157</v>
      </c>
      <c r="E302" s="9" t="s">
        <v>157</v>
      </c>
      <c r="F302" s="15" t="str">
        <f t="shared" si="10"/>
        <v/>
      </c>
      <c r="G302" s="9"/>
      <c r="AC302" s="70" t="str">
        <f>IF(AND(Sheet1!O302="SIM",Sheet1!P302="SIM"),"Sim","")</f>
        <v/>
      </c>
      <c r="AD302" s="70" t="str">
        <f>IF(AC302="sim",Sheet1!I302,"")</f>
        <v/>
      </c>
    </row>
    <row r="303" spans="1:30" ht="24.95" customHeight="1" x14ac:dyDescent="0.25">
      <c r="A303" s="9"/>
      <c r="B303" s="9"/>
      <c r="C303" s="9" t="s">
        <v>78</v>
      </c>
      <c r="D303" s="9" t="s">
        <v>156</v>
      </c>
      <c r="E303" s="9" t="s">
        <v>157</v>
      </c>
      <c r="F303" s="15" t="str">
        <f t="shared" si="10"/>
        <v>Técnico</v>
      </c>
      <c r="G303" s="9"/>
      <c r="AC303" s="70" t="str">
        <f>IF(AND(Sheet1!O303="SIM",Sheet1!P303="SIM"),"Sim","")</f>
        <v/>
      </c>
      <c r="AD303" s="70" t="str">
        <f>IF(AC303="sim",Sheet1!I303,"")</f>
        <v/>
      </c>
    </row>
    <row r="304" spans="1:30" ht="24.95" customHeight="1" x14ac:dyDescent="0.25">
      <c r="A304" s="9"/>
      <c r="B304" s="9"/>
      <c r="C304" s="9" t="s">
        <v>78</v>
      </c>
      <c r="D304" s="9" t="s">
        <v>156</v>
      </c>
      <c r="E304" s="9" t="s">
        <v>157</v>
      </c>
      <c r="F304" s="15" t="str">
        <f t="shared" si="10"/>
        <v>Técnico</v>
      </c>
      <c r="G304" s="9"/>
      <c r="AC304" s="70" t="str">
        <f>IF(AND(Sheet1!O304="SIM",Sheet1!P304="SIM"),"Sim","")</f>
        <v/>
      </c>
      <c r="AD304" s="70" t="str">
        <f>IF(AC304="sim",Sheet1!I304,"")</f>
        <v/>
      </c>
    </row>
    <row r="305" spans="1:30" ht="24.95" customHeight="1" x14ac:dyDescent="0.25">
      <c r="A305" s="9"/>
      <c r="B305" s="9"/>
      <c r="C305" s="9" t="s">
        <v>78</v>
      </c>
      <c r="D305" s="9" t="s">
        <v>156</v>
      </c>
      <c r="E305" s="9" t="s">
        <v>157</v>
      </c>
      <c r="F305" s="15" t="str">
        <f t="shared" si="10"/>
        <v>Técnico</v>
      </c>
      <c r="G305" s="9"/>
      <c r="AC305" s="70" t="str">
        <f>IF(AND(Sheet1!O305="SIM",Sheet1!P305="SIM"),"Sim","")</f>
        <v/>
      </c>
      <c r="AD305" s="70" t="str">
        <f>IF(AC305="sim",Sheet1!I305,"")</f>
        <v/>
      </c>
    </row>
    <row r="306" spans="1:30" ht="24.95" customHeight="1" x14ac:dyDescent="0.25">
      <c r="A306" s="9"/>
      <c r="B306" s="9"/>
      <c r="C306" s="9" t="s">
        <v>87</v>
      </c>
      <c r="D306" s="9" t="s">
        <v>157</v>
      </c>
      <c r="E306" s="9" t="s">
        <v>157</v>
      </c>
      <c r="F306" s="15" t="str">
        <f t="shared" si="10"/>
        <v/>
      </c>
      <c r="G306" s="9"/>
      <c r="AC306" s="70" t="str">
        <f>IF(AND(Sheet1!O306="SIM",Sheet1!P306="SIM"),"Sim","")</f>
        <v/>
      </c>
      <c r="AD306" s="70" t="str">
        <f>IF(AC306="sim",Sheet1!I306,"")</f>
        <v/>
      </c>
    </row>
    <row r="307" spans="1:30" ht="24.95" customHeight="1" x14ac:dyDescent="0.25">
      <c r="A307" s="9"/>
      <c r="B307" s="9"/>
      <c r="C307" s="9" t="s">
        <v>82</v>
      </c>
      <c r="D307" s="9" t="s">
        <v>157</v>
      </c>
      <c r="E307" s="9" t="s">
        <v>157</v>
      </c>
      <c r="F307" s="15" t="str">
        <f t="shared" si="10"/>
        <v/>
      </c>
      <c r="G307" s="9"/>
      <c r="AC307" s="70" t="str">
        <f>IF(AND(Sheet1!O307="SIM",Sheet1!P307="SIM"),"Sim","")</f>
        <v/>
      </c>
      <c r="AD307" s="70" t="str">
        <f>IF(AC307="sim",Sheet1!I307,"")</f>
        <v/>
      </c>
    </row>
    <row r="308" spans="1:30" ht="24.95" customHeight="1" x14ac:dyDescent="0.25">
      <c r="A308" s="9"/>
      <c r="B308" s="9"/>
      <c r="C308" s="9" t="s">
        <v>87</v>
      </c>
      <c r="D308" s="9" t="s">
        <v>156</v>
      </c>
      <c r="E308" s="9" t="s">
        <v>157</v>
      </c>
      <c r="F308" s="15" t="str">
        <f t="shared" si="10"/>
        <v>Técnico</v>
      </c>
      <c r="G308" s="9"/>
      <c r="AC308" s="70" t="str">
        <f>IF(AND(Sheet1!O308="SIM",Sheet1!P308="SIM"),"Sim","")</f>
        <v/>
      </c>
      <c r="AD308" s="70" t="str">
        <f>IF(AC308="sim",Sheet1!I308,"")</f>
        <v/>
      </c>
    </row>
    <row r="309" spans="1:30" ht="24.95" customHeight="1" x14ac:dyDescent="0.25">
      <c r="A309" s="9"/>
      <c r="B309" s="9"/>
      <c r="C309" s="9" t="s">
        <v>87</v>
      </c>
      <c r="D309" s="9" t="s">
        <v>156</v>
      </c>
      <c r="E309" s="9" t="s">
        <v>157</v>
      </c>
      <c r="F309" s="15" t="str">
        <f t="shared" si="10"/>
        <v>Técnico</v>
      </c>
      <c r="G309" s="9"/>
      <c r="AC309" s="70" t="str">
        <f>IF(AND(Sheet1!O309="SIM",Sheet1!P309="SIM"),"Sim","")</f>
        <v/>
      </c>
      <c r="AD309" s="70" t="str">
        <f>IF(AC309="sim",Sheet1!I309,"")</f>
        <v/>
      </c>
    </row>
    <row r="310" spans="1:30" ht="24.95" customHeight="1" x14ac:dyDescent="0.25">
      <c r="A310" s="9"/>
      <c r="B310" s="9"/>
      <c r="C310" s="9" t="s">
        <v>87</v>
      </c>
      <c r="D310" s="9" t="s">
        <v>156</v>
      </c>
      <c r="E310" s="9" t="s">
        <v>157</v>
      </c>
      <c r="F310" s="15" t="str">
        <f t="shared" si="10"/>
        <v>Técnico</v>
      </c>
      <c r="G310" s="9"/>
      <c r="AC310" s="70" t="str">
        <f>IF(AND(Sheet1!O310="SIM",Sheet1!P310="SIM"),"Sim","")</f>
        <v/>
      </c>
      <c r="AD310" s="70" t="str">
        <f>IF(AC310="sim",Sheet1!I310,"")</f>
        <v/>
      </c>
    </row>
    <row r="311" spans="1:30" ht="24.95" customHeight="1" x14ac:dyDescent="0.25">
      <c r="A311" s="9"/>
      <c r="B311" s="9"/>
      <c r="C311" s="9" t="s">
        <v>87</v>
      </c>
      <c r="D311" s="9" t="s">
        <v>156</v>
      </c>
      <c r="E311" s="9" t="s">
        <v>157</v>
      </c>
      <c r="F311" s="15" t="str">
        <f t="shared" si="10"/>
        <v>Técnico</v>
      </c>
      <c r="G311" s="9"/>
      <c r="AC311" s="70" t="str">
        <f>IF(AND(Sheet1!O311="SIM",Sheet1!P311="SIM"),"Sim","")</f>
        <v/>
      </c>
      <c r="AD311" s="70" t="str">
        <f>IF(AC311="sim",Sheet1!I311,"")</f>
        <v/>
      </c>
    </row>
    <row r="312" spans="1:30" ht="24.95" customHeight="1" x14ac:dyDescent="0.25">
      <c r="A312" s="9"/>
      <c r="B312" s="9"/>
      <c r="C312" s="9" t="s">
        <v>87</v>
      </c>
      <c r="D312" s="9" t="s">
        <v>156</v>
      </c>
      <c r="E312" s="9" t="s">
        <v>157</v>
      </c>
      <c r="F312" s="15" t="str">
        <f t="shared" si="10"/>
        <v>Técnico</v>
      </c>
      <c r="G312" s="9"/>
      <c r="AC312" s="70" t="str">
        <f>IF(AND(Sheet1!O312="SIM",Sheet1!P312="SIM"),"Sim","")</f>
        <v/>
      </c>
      <c r="AD312" s="70" t="str">
        <f>IF(AC312="sim",Sheet1!I312,"")</f>
        <v/>
      </c>
    </row>
    <row r="313" spans="1:30" ht="24.95" customHeight="1" x14ac:dyDescent="0.25">
      <c r="A313" s="9"/>
      <c r="B313" s="9"/>
      <c r="C313" s="9" t="s">
        <v>87</v>
      </c>
      <c r="D313" s="9" t="s">
        <v>156</v>
      </c>
      <c r="E313" s="9" t="s">
        <v>157</v>
      </c>
      <c r="F313" s="15" t="str">
        <f t="shared" si="10"/>
        <v>Técnico</v>
      </c>
      <c r="G313" s="9"/>
      <c r="AC313" s="70" t="str">
        <f>IF(AND(Sheet1!O313="SIM",Sheet1!P313="SIM"),"Sim","")</f>
        <v/>
      </c>
      <c r="AD313" s="70" t="str">
        <f>IF(AC313="sim",Sheet1!I313,"")</f>
        <v/>
      </c>
    </row>
    <row r="314" spans="1:30" ht="24.95" customHeight="1" x14ac:dyDescent="0.25">
      <c r="A314" s="9"/>
      <c r="B314" s="9"/>
      <c r="C314" s="9" t="s">
        <v>87</v>
      </c>
      <c r="D314" s="9" t="s">
        <v>156</v>
      </c>
      <c r="E314" s="9" t="s">
        <v>157</v>
      </c>
      <c r="F314" s="15" t="str">
        <f t="shared" si="10"/>
        <v>Técnico</v>
      </c>
      <c r="G314" s="9"/>
      <c r="AC314" s="70" t="str">
        <f>IF(AND(Sheet1!O314="SIM",Sheet1!P314="SIM"),"Sim","")</f>
        <v/>
      </c>
      <c r="AD314" s="70" t="str">
        <f>IF(AC314="sim",Sheet1!I314,"")</f>
        <v/>
      </c>
    </row>
    <row r="315" spans="1:30" ht="24.95" customHeight="1" x14ac:dyDescent="0.25">
      <c r="A315" s="9"/>
      <c r="B315" s="9"/>
      <c r="C315" s="9" t="s">
        <v>87</v>
      </c>
      <c r="D315" s="9" t="s">
        <v>156</v>
      </c>
      <c r="E315" s="9" t="s">
        <v>157</v>
      </c>
      <c r="F315" s="15" t="str">
        <f t="shared" si="10"/>
        <v>Técnico</v>
      </c>
      <c r="G315" s="9"/>
      <c r="AC315" s="70" t="str">
        <f>IF(AND(Sheet1!O315="SIM",Sheet1!P315="SIM"),"Sim","")</f>
        <v/>
      </c>
      <c r="AD315" s="70" t="str">
        <f>IF(AC315="sim",Sheet1!I315,"")</f>
        <v/>
      </c>
    </row>
    <row r="316" spans="1:30" ht="24.95" customHeight="1" x14ac:dyDescent="0.25">
      <c r="A316" s="9"/>
      <c r="B316" s="9"/>
      <c r="C316" s="9" t="s">
        <v>78</v>
      </c>
      <c r="D316" s="9" t="s">
        <v>157</v>
      </c>
      <c r="E316" s="9" t="s">
        <v>156</v>
      </c>
      <c r="F316" s="15" t="str">
        <f t="shared" si="10"/>
        <v>REP</v>
      </c>
      <c r="G316" s="9"/>
      <c r="AC316" s="70" t="str">
        <f>IF(AND(Sheet1!O316="SIM",Sheet1!P316="SIM"),"Sim","")</f>
        <v/>
      </c>
      <c r="AD316" s="70" t="str">
        <f>IF(AC316="sim",Sheet1!I316,"")</f>
        <v/>
      </c>
    </row>
    <row r="317" spans="1:30" ht="24.95" customHeight="1" x14ac:dyDescent="0.25">
      <c r="A317" s="9"/>
      <c r="B317" s="9"/>
      <c r="C317" s="9" t="s">
        <v>78</v>
      </c>
      <c r="D317" s="9" t="s">
        <v>157</v>
      </c>
      <c r="E317" s="9" t="s">
        <v>157</v>
      </c>
      <c r="F317" s="15" t="str">
        <f t="shared" si="10"/>
        <v/>
      </c>
      <c r="G317" s="9"/>
      <c r="AC317" s="70" t="str">
        <f>IF(AND(Sheet1!O317="SIM",Sheet1!P317="SIM"),"Sim","")</f>
        <v/>
      </c>
      <c r="AD317" s="70" t="str">
        <f>IF(AC317="sim",Sheet1!I317,"")</f>
        <v/>
      </c>
    </row>
    <row r="318" spans="1:30" ht="24.95" customHeight="1" x14ac:dyDescent="0.25">
      <c r="A318" s="9"/>
      <c r="B318" s="9"/>
      <c r="C318" s="9" t="s">
        <v>129</v>
      </c>
      <c r="D318" s="9" t="s">
        <v>157</v>
      </c>
      <c r="E318" s="9" t="s">
        <v>157</v>
      </c>
      <c r="F318" s="15" t="str">
        <f t="shared" si="10"/>
        <v/>
      </c>
      <c r="G318" s="9"/>
      <c r="AC318" s="70" t="str">
        <f>IF(AND(Sheet1!O318="SIM",Sheet1!P318="SIM"),"Sim","")</f>
        <v/>
      </c>
      <c r="AD318" s="70" t="str">
        <f>IF(AC318="sim",Sheet1!I318,"")</f>
        <v/>
      </c>
    </row>
    <row r="319" spans="1:30" ht="24.95" customHeight="1" x14ac:dyDescent="0.25">
      <c r="A319" s="9"/>
      <c r="B319" s="9"/>
      <c r="C319" s="9" t="s">
        <v>129</v>
      </c>
      <c r="D319" s="9" t="s">
        <v>157</v>
      </c>
      <c r="E319" s="9" t="s">
        <v>157</v>
      </c>
      <c r="F319" s="15" t="str">
        <f t="shared" si="10"/>
        <v/>
      </c>
      <c r="G319" s="9"/>
      <c r="AC319" s="70" t="str">
        <f>IF(AND(Sheet1!O319="SIM",Sheet1!P319="SIM"),"Sim","")</f>
        <v/>
      </c>
      <c r="AD319" s="70" t="str">
        <f>IF(AC319="sim",Sheet1!I319,"")</f>
        <v/>
      </c>
    </row>
    <row r="320" spans="1:30" ht="24.95" customHeight="1" x14ac:dyDescent="0.25">
      <c r="A320" s="9"/>
      <c r="B320" s="9"/>
      <c r="C320" s="9" t="s">
        <v>78</v>
      </c>
      <c r="D320" s="9" t="s">
        <v>157</v>
      </c>
      <c r="E320" s="9" t="s">
        <v>157</v>
      </c>
      <c r="F320" s="15" t="str">
        <f t="shared" si="10"/>
        <v/>
      </c>
      <c r="G320" s="9"/>
      <c r="AC320" s="70" t="str">
        <f>IF(AND(Sheet1!O320="SIM",Sheet1!P320="SIM"),"Sim","")</f>
        <v/>
      </c>
      <c r="AD320" s="70" t="str">
        <f>IF(AC320="sim",Sheet1!I320,"")</f>
        <v/>
      </c>
    </row>
    <row r="321" spans="1:30" ht="24.95" customHeight="1" x14ac:dyDescent="0.25">
      <c r="A321" s="9"/>
      <c r="B321" s="9"/>
      <c r="C321" s="9" t="s">
        <v>78</v>
      </c>
      <c r="D321" s="9" t="s">
        <v>157</v>
      </c>
      <c r="E321" s="9" t="s">
        <v>157</v>
      </c>
      <c r="F321" s="15" t="str">
        <f t="shared" si="10"/>
        <v/>
      </c>
      <c r="G321" s="9"/>
      <c r="AC321" s="70" t="str">
        <f>IF(AND(Sheet1!O321="SIM",Sheet1!P321="SIM"),"Sim","")</f>
        <v/>
      </c>
      <c r="AD321" s="70" t="str">
        <f>IF(AC321="sim",Sheet1!I321,"")</f>
        <v/>
      </c>
    </row>
    <row r="322" spans="1:30" ht="24.95" customHeight="1" x14ac:dyDescent="0.25">
      <c r="A322" s="9"/>
      <c r="B322" s="9"/>
      <c r="C322" s="9" t="s">
        <v>129</v>
      </c>
      <c r="D322" s="9" t="s">
        <v>157</v>
      </c>
      <c r="E322" s="9" t="s">
        <v>157</v>
      </c>
      <c r="F322" s="15" t="str">
        <f t="shared" si="10"/>
        <v/>
      </c>
      <c r="G322" s="9"/>
      <c r="AC322" s="70" t="str">
        <f>IF(AND(Sheet1!O322="SIM",Sheet1!P322="SIM"),"Sim","")</f>
        <v/>
      </c>
      <c r="AD322" s="70" t="str">
        <f>IF(AC322="sim",Sheet1!I322,"")</f>
        <v/>
      </c>
    </row>
    <row r="323" spans="1:30" ht="24.95" customHeight="1" x14ac:dyDescent="0.25">
      <c r="A323" s="9"/>
      <c r="B323" s="9"/>
      <c r="C323" s="9" t="s">
        <v>82</v>
      </c>
      <c r="D323" s="9" t="s">
        <v>156</v>
      </c>
      <c r="E323" s="9" t="s">
        <v>157</v>
      </c>
      <c r="F323" s="15" t="str">
        <f t="shared" ref="F323:F386" si="11">IFERROR(IF(AND(D323="Não",E323="Sim"),"REP",
IF(AND(D323="Sim",E323="Não"),"Técnico",
IF(AND(D323="Sim",E323="Sim"),"Ambos",""))),"")</f>
        <v>Técnico</v>
      </c>
      <c r="G323" s="9"/>
      <c r="AC323" s="70" t="str">
        <f>IF(AND(Sheet1!O323="SIM",Sheet1!P323="SIM"),"Sim","")</f>
        <v/>
      </c>
      <c r="AD323" s="70" t="str">
        <f>IF(AC323="sim",Sheet1!I323,"")</f>
        <v/>
      </c>
    </row>
    <row r="324" spans="1:30" ht="24.95" customHeight="1" x14ac:dyDescent="0.25">
      <c r="A324" s="9"/>
      <c r="B324" s="9"/>
      <c r="C324" s="9" t="s">
        <v>94</v>
      </c>
      <c r="D324" s="9" t="s">
        <v>156</v>
      </c>
      <c r="E324" s="9" t="s">
        <v>157</v>
      </c>
      <c r="F324" s="15" t="str">
        <f t="shared" si="11"/>
        <v>Técnico</v>
      </c>
      <c r="G324" s="9"/>
      <c r="AC324" s="70" t="str">
        <f>IF(AND(Sheet1!O324="SIM",Sheet1!P324="SIM"),"Sim","")</f>
        <v/>
      </c>
      <c r="AD324" s="70" t="str">
        <f>IF(AC324="sim",Sheet1!I324,"")</f>
        <v/>
      </c>
    </row>
    <row r="325" spans="1:30" ht="24.95" customHeight="1" x14ac:dyDescent="0.25">
      <c r="A325" s="9"/>
      <c r="B325" s="9"/>
      <c r="C325" s="9" t="s">
        <v>103</v>
      </c>
      <c r="D325" s="9" t="s">
        <v>157</v>
      </c>
      <c r="E325" s="9" t="s">
        <v>156</v>
      </c>
      <c r="F325" s="15" t="str">
        <f t="shared" si="11"/>
        <v>REP</v>
      </c>
      <c r="G325" s="9"/>
      <c r="AC325" s="70" t="str">
        <f>IF(AND(Sheet1!O325="SIM",Sheet1!P325="SIM"),"Sim","")</f>
        <v/>
      </c>
      <c r="AD325" s="70" t="str">
        <f>IF(AC325="sim",Sheet1!I325,"")</f>
        <v/>
      </c>
    </row>
    <row r="326" spans="1:30" ht="24.95" customHeight="1" x14ac:dyDescent="0.25">
      <c r="A326" s="9"/>
      <c r="B326" s="9"/>
      <c r="C326" s="9" t="s">
        <v>94</v>
      </c>
      <c r="D326" s="9" t="s">
        <v>156</v>
      </c>
      <c r="E326" s="9" t="s">
        <v>156</v>
      </c>
      <c r="F326" s="15" t="str">
        <f t="shared" si="11"/>
        <v>Ambos</v>
      </c>
      <c r="G326" s="9"/>
      <c r="AC326" s="70" t="str">
        <f>IF(AND(Sheet1!O326="SIM",Sheet1!P326="SIM"),"Sim","")</f>
        <v/>
      </c>
      <c r="AD326" s="70" t="str">
        <f>IF(AC326="sim",Sheet1!I326,"")</f>
        <v/>
      </c>
    </row>
    <row r="327" spans="1:30" ht="24.95" customHeight="1" x14ac:dyDescent="0.25">
      <c r="A327" s="9"/>
      <c r="B327" s="9"/>
      <c r="C327" s="9" t="s">
        <v>82</v>
      </c>
      <c r="D327" s="9" t="s">
        <v>157</v>
      </c>
      <c r="E327" s="9" t="s">
        <v>157</v>
      </c>
      <c r="F327" s="15" t="str">
        <f t="shared" si="11"/>
        <v/>
      </c>
      <c r="G327" s="9"/>
      <c r="AC327" s="70" t="str">
        <f>IF(AND(Sheet1!O327="SIM",Sheet1!P327="SIM"),"Sim","")</f>
        <v/>
      </c>
      <c r="AD327" s="70" t="str">
        <f>IF(AC327="sim",Sheet1!I327,"")</f>
        <v/>
      </c>
    </row>
    <row r="328" spans="1:30" ht="24.95" customHeight="1" x14ac:dyDescent="0.25">
      <c r="A328" s="9"/>
      <c r="B328" s="9"/>
      <c r="C328" s="9" t="s">
        <v>129</v>
      </c>
      <c r="D328" s="9" t="s">
        <v>157</v>
      </c>
      <c r="E328" s="9" t="s">
        <v>157</v>
      </c>
      <c r="F328" s="15" t="str">
        <f t="shared" si="11"/>
        <v/>
      </c>
      <c r="G328" s="9"/>
      <c r="AC328" s="70" t="str">
        <f>IF(AND(Sheet1!O328="SIM",Sheet1!P328="SIM"),"Sim","")</f>
        <v>Sim</v>
      </c>
      <c r="AD328" s="70" t="str">
        <f>IF(AC328="sim",Sheet1!I328,"")</f>
        <v>LAB. FOGO-DIV</v>
      </c>
    </row>
    <row r="329" spans="1:30" ht="24.95" customHeight="1" x14ac:dyDescent="0.25">
      <c r="A329" s="9"/>
      <c r="B329" s="9"/>
      <c r="C329" s="9" t="s">
        <v>129</v>
      </c>
      <c r="D329" s="9" t="s">
        <v>157</v>
      </c>
      <c r="E329" s="9" t="s">
        <v>157</v>
      </c>
      <c r="F329" s="15" t="str">
        <f t="shared" si="11"/>
        <v/>
      </c>
      <c r="G329" s="9"/>
      <c r="AC329" s="70" t="str">
        <f>IF(AND(Sheet1!O329="SIM",Sheet1!P329="SIM"),"Sim","")</f>
        <v/>
      </c>
      <c r="AD329" s="70" t="str">
        <f>IF(AC329="sim",Sheet1!I329,"")</f>
        <v/>
      </c>
    </row>
    <row r="330" spans="1:30" ht="24.95" customHeight="1" x14ac:dyDescent="0.25">
      <c r="A330" s="9"/>
      <c r="B330" s="9"/>
      <c r="C330" s="9" t="s">
        <v>129</v>
      </c>
      <c r="D330" s="9" t="s">
        <v>157</v>
      </c>
      <c r="E330" s="9" t="s">
        <v>157</v>
      </c>
      <c r="F330" s="15" t="str">
        <f t="shared" si="11"/>
        <v/>
      </c>
      <c r="G330" s="9"/>
      <c r="AC330" s="70" t="str">
        <f>IF(AND(Sheet1!O330="SIM",Sheet1!P330="SIM"),"Sim","")</f>
        <v/>
      </c>
      <c r="AD330" s="70" t="str">
        <f>IF(AC330="sim",Sheet1!I330,"")</f>
        <v/>
      </c>
    </row>
    <row r="331" spans="1:30" ht="24.95" customHeight="1" x14ac:dyDescent="0.25">
      <c r="A331" s="9"/>
      <c r="B331" s="9"/>
      <c r="C331" s="9" t="s">
        <v>129</v>
      </c>
      <c r="D331" s="9" t="s">
        <v>157</v>
      </c>
      <c r="E331" s="9" t="s">
        <v>157</v>
      </c>
      <c r="F331" s="15" t="str">
        <f t="shared" si="11"/>
        <v/>
      </c>
      <c r="G331" s="9"/>
      <c r="AC331" s="70" t="str">
        <f>IF(AND(Sheet1!O331="SIM",Sheet1!P331="SIM"),"Sim","")</f>
        <v/>
      </c>
      <c r="AD331" s="70" t="str">
        <f>IF(AC331="sim",Sheet1!I331,"")</f>
        <v/>
      </c>
    </row>
    <row r="332" spans="1:30" ht="24.95" customHeight="1" x14ac:dyDescent="0.25">
      <c r="A332" s="9"/>
      <c r="B332" s="9"/>
      <c r="C332" s="9" t="s">
        <v>129</v>
      </c>
      <c r="D332" s="9" t="s">
        <v>157</v>
      </c>
      <c r="E332" s="9" t="s">
        <v>157</v>
      </c>
      <c r="F332" s="15" t="str">
        <f t="shared" si="11"/>
        <v/>
      </c>
      <c r="G332" s="9"/>
      <c r="AC332" s="70" t="str">
        <f>IF(AND(Sheet1!O332="SIM",Sheet1!P332="SIM"),"Sim","")</f>
        <v/>
      </c>
      <c r="AD332" s="70" t="str">
        <f>IF(AC332="sim",Sheet1!I332,"")</f>
        <v/>
      </c>
    </row>
    <row r="333" spans="1:30" ht="24.95" customHeight="1" x14ac:dyDescent="0.25">
      <c r="A333" s="9"/>
      <c r="B333" s="9"/>
      <c r="C333" s="9" t="s">
        <v>129</v>
      </c>
      <c r="D333" s="9" t="s">
        <v>157</v>
      </c>
      <c r="E333" s="9" t="s">
        <v>157</v>
      </c>
      <c r="F333" s="15" t="str">
        <f t="shared" si="11"/>
        <v/>
      </c>
      <c r="G333" s="9"/>
      <c r="AC333" s="70" t="str">
        <f>IF(AND(Sheet1!O333="SIM",Sheet1!P333="SIM"),"Sim","")</f>
        <v/>
      </c>
      <c r="AD333" s="70" t="str">
        <f>IF(AC333="sim",Sheet1!I333,"")</f>
        <v/>
      </c>
    </row>
    <row r="334" spans="1:30" ht="24.95" customHeight="1" x14ac:dyDescent="0.25">
      <c r="A334" s="9"/>
      <c r="B334" s="9"/>
      <c r="C334" s="9" t="s">
        <v>78</v>
      </c>
      <c r="D334" s="9" t="s">
        <v>156</v>
      </c>
      <c r="E334" s="9" t="s">
        <v>157</v>
      </c>
      <c r="F334" s="15" t="str">
        <f t="shared" si="11"/>
        <v>Técnico</v>
      </c>
      <c r="G334" s="9"/>
      <c r="AC334" s="70" t="str">
        <f>IF(AND(Sheet1!O334="SIM",Sheet1!P334="SIM"),"Sim","")</f>
        <v/>
      </c>
      <c r="AD334" s="70" t="str">
        <f>IF(AC334="sim",Sheet1!I334,"")</f>
        <v/>
      </c>
    </row>
    <row r="335" spans="1:30" ht="24.95" customHeight="1" x14ac:dyDescent="0.25">
      <c r="A335" s="9"/>
      <c r="B335" s="9"/>
      <c r="C335" s="9" t="s">
        <v>129</v>
      </c>
      <c r="D335" s="9" t="s">
        <v>157</v>
      </c>
      <c r="E335" s="9" t="s">
        <v>157</v>
      </c>
      <c r="F335" s="15" t="str">
        <f t="shared" si="11"/>
        <v/>
      </c>
      <c r="G335" s="9"/>
      <c r="AC335" s="70" t="str">
        <f>IF(AND(Sheet1!O335="SIM",Sheet1!P335="SIM"),"Sim","")</f>
        <v/>
      </c>
      <c r="AD335" s="70" t="str">
        <f>IF(AC335="sim",Sheet1!I335,"")</f>
        <v/>
      </c>
    </row>
    <row r="336" spans="1:30" ht="24.95" customHeight="1" x14ac:dyDescent="0.25">
      <c r="A336" s="9"/>
      <c r="B336" s="9"/>
      <c r="C336" s="9" t="s">
        <v>78</v>
      </c>
      <c r="D336" s="9" t="s">
        <v>156</v>
      </c>
      <c r="E336" s="9" t="s">
        <v>157</v>
      </c>
      <c r="F336" s="15" t="str">
        <f t="shared" si="11"/>
        <v>Técnico</v>
      </c>
      <c r="G336" s="9"/>
      <c r="AC336" s="70" t="str">
        <f>IF(AND(Sheet1!O336="SIM",Sheet1!P336="SIM"),"Sim","")</f>
        <v/>
      </c>
      <c r="AD336" s="70" t="str">
        <f>IF(AC336="sim",Sheet1!I336,"")</f>
        <v/>
      </c>
    </row>
    <row r="337" spans="1:30" ht="24.95" customHeight="1" x14ac:dyDescent="0.25">
      <c r="A337" s="9"/>
      <c r="B337" s="9"/>
      <c r="C337" s="9" t="s">
        <v>78</v>
      </c>
      <c r="D337" s="9" t="s">
        <v>156</v>
      </c>
      <c r="E337" s="9" t="s">
        <v>157</v>
      </c>
      <c r="F337" s="15" t="str">
        <f t="shared" si="11"/>
        <v>Técnico</v>
      </c>
      <c r="G337" s="9"/>
      <c r="AC337" s="70" t="str">
        <f>IF(AND(Sheet1!O337="SIM",Sheet1!P337="SIM"),"Sim","")</f>
        <v/>
      </c>
      <c r="AD337" s="70" t="str">
        <f>IF(AC337="sim",Sheet1!I337,"")</f>
        <v/>
      </c>
    </row>
    <row r="338" spans="1:30" ht="24.95" customHeight="1" x14ac:dyDescent="0.25">
      <c r="A338" s="9"/>
      <c r="B338" s="9"/>
      <c r="C338" s="9" t="s">
        <v>78</v>
      </c>
      <c r="D338" s="9" t="s">
        <v>156</v>
      </c>
      <c r="E338" s="9" t="s">
        <v>157</v>
      </c>
      <c r="F338" s="15" t="str">
        <f t="shared" si="11"/>
        <v>Técnico</v>
      </c>
      <c r="G338" s="9"/>
      <c r="AC338" s="70" t="str">
        <f>IF(AND(Sheet1!O338="SIM",Sheet1!P338="SIM"),"Sim","")</f>
        <v/>
      </c>
      <c r="AD338" s="70" t="str">
        <f>IF(AC338="sim",Sheet1!I338,"")</f>
        <v/>
      </c>
    </row>
    <row r="339" spans="1:30" ht="24.95" customHeight="1" x14ac:dyDescent="0.25">
      <c r="A339" s="9"/>
      <c r="B339" s="9"/>
      <c r="C339" s="9" t="s">
        <v>78</v>
      </c>
      <c r="D339" s="9" t="s">
        <v>156</v>
      </c>
      <c r="E339" s="9" t="s">
        <v>157</v>
      </c>
      <c r="F339" s="15" t="str">
        <f t="shared" si="11"/>
        <v>Técnico</v>
      </c>
      <c r="G339" s="9"/>
      <c r="AC339" s="70" t="str">
        <f>IF(AND(Sheet1!O339="SIM",Sheet1!P339="SIM"),"Sim","")</f>
        <v/>
      </c>
      <c r="AD339" s="70" t="str">
        <f>IF(AC339="sim",Sheet1!I339,"")</f>
        <v/>
      </c>
    </row>
    <row r="340" spans="1:30" ht="24.95" customHeight="1" x14ac:dyDescent="0.25">
      <c r="A340" s="9"/>
      <c r="B340" s="9"/>
      <c r="C340" s="9" t="s">
        <v>78</v>
      </c>
      <c r="D340" s="9" t="s">
        <v>156</v>
      </c>
      <c r="E340" s="9" t="s">
        <v>157</v>
      </c>
      <c r="F340" s="15" t="str">
        <f t="shared" si="11"/>
        <v>Técnico</v>
      </c>
      <c r="G340" s="9"/>
      <c r="AC340" s="70" t="str">
        <f>IF(AND(Sheet1!O340="SIM",Sheet1!P340="SIM"),"Sim","")</f>
        <v/>
      </c>
      <c r="AD340" s="70" t="str">
        <f>IF(AC340="sim",Sheet1!I340,"")</f>
        <v/>
      </c>
    </row>
    <row r="341" spans="1:30" ht="24.95" customHeight="1" x14ac:dyDescent="0.25">
      <c r="A341" s="9"/>
      <c r="B341" s="9"/>
      <c r="C341" s="9" t="s">
        <v>78</v>
      </c>
      <c r="D341" s="9" t="s">
        <v>156</v>
      </c>
      <c r="E341" s="9" t="s">
        <v>157</v>
      </c>
      <c r="F341" s="15" t="str">
        <f t="shared" si="11"/>
        <v>Técnico</v>
      </c>
      <c r="G341" s="9"/>
      <c r="AC341" s="70" t="str">
        <f>IF(AND(Sheet1!O341="SIM",Sheet1!P341="SIM"),"Sim","")</f>
        <v/>
      </c>
      <c r="AD341" s="70" t="str">
        <f>IF(AC341="sim",Sheet1!I341,"")</f>
        <v/>
      </c>
    </row>
    <row r="342" spans="1:30" ht="24.95" customHeight="1" x14ac:dyDescent="0.25">
      <c r="A342" s="9"/>
      <c r="B342" s="9"/>
      <c r="C342" s="9" t="s">
        <v>78</v>
      </c>
      <c r="D342" s="9" t="s">
        <v>156</v>
      </c>
      <c r="E342" s="9" t="s">
        <v>157</v>
      </c>
      <c r="F342" s="15" t="str">
        <f t="shared" si="11"/>
        <v>Técnico</v>
      </c>
      <c r="G342" s="9"/>
      <c r="AC342" s="70" t="str">
        <f>IF(AND(Sheet1!O342="SIM",Sheet1!P342="SIM"),"Sim","")</f>
        <v/>
      </c>
      <c r="AD342" s="70" t="str">
        <f>IF(AC342="sim",Sheet1!I342,"")</f>
        <v/>
      </c>
    </row>
    <row r="343" spans="1:30" ht="24.95" customHeight="1" x14ac:dyDescent="0.25">
      <c r="A343" s="9"/>
      <c r="B343" s="9"/>
      <c r="C343" s="9" t="s">
        <v>78</v>
      </c>
      <c r="D343" s="9" t="s">
        <v>157</v>
      </c>
      <c r="E343" s="9" t="s">
        <v>157</v>
      </c>
      <c r="F343" s="15" t="str">
        <f t="shared" si="11"/>
        <v/>
      </c>
      <c r="G343" s="9"/>
      <c r="AC343" s="70" t="str">
        <f>IF(AND(Sheet1!O343="SIM",Sheet1!P343="SIM"),"Sim","")</f>
        <v/>
      </c>
      <c r="AD343" s="70" t="str">
        <f>IF(AC343="sim",Sheet1!I343,"")</f>
        <v/>
      </c>
    </row>
    <row r="344" spans="1:30" ht="24.95" customHeight="1" x14ac:dyDescent="0.25">
      <c r="A344" s="9"/>
      <c r="B344" s="9"/>
      <c r="C344" s="9" t="s">
        <v>78</v>
      </c>
      <c r="D344" s="9" t="s">
        <v>157</v>
      </c>
      <c r="E344" s="9" t="s">
        <v>157</v>
      </c>
      <c r="F344" s="15" t="str">
        <f t="shared" si="11"/>
        <v/>
      </c>
      <c r="G344" s="9"/>
      <c r="AC344" s="70" t="str">
        <f>IF(AND(Sheet1!O344="SIM",Sheet1!P344="SIM"),"Sim","")</f>
        <v/>
      </c>
      <c r="AD344" s="70" t="str">
        <f>IF(AC344="sim",Sheet1!I344,"")</f>
        <v/>
      </c>
    </row>
    <row r="345" spans="1:30" ht="24.95" customHeight="1" x14ac:dyDescent="0.25">
      <c r="A345" s="9"/>
      <c r="B345" s="9"/>
      <c r="C345" s="9" t="s">
        <v>78</v>
      </c>
      <c r="D345" s="9" t="s">
        <v>157</v>
      </c>
      <c r="E345" s="9" t="s">
        <v>157</v>
      </c>
      <c r="F345" s="15" t="str">
        <f t="shared" si="11"/>
        <v/>
      </c>
      <c r="G345" s="9"/>
      <c r="AC345" s="70" t="str">
        <f>IF(AND(Sheet1!O345="SIM",Sheet1!P345="SIM"),"Sim","")</f>
        <v/>
      </c>
      <c r="AD345" s="70" t="str">
        <f>IF(AC345="sim",Sheet1!I345,"")</f>
        <v/>
      </c>
    </row>
    <row r="346" spans="1:30" ht="24.95" customHeight="1" x14ac:dyDescent="0.25">
      <c r="A346" s="9"/>
      <c r="B346" s="9"/>
      <c r="C346" s="9" t="s">
        <v>78</v>
      </c>
      <c r="D346" s="9" t="s">
        <v>157</v>
      </c>
      <c r="E346" s="9" t="s">
        <v>157</v>
      </c>
      <c r="F346" s="15" t="str">
        <f t="shared" si="11"/>
        <v/>
      </c>
      <c r="G346" s="9"/>
      <c r="AC346" s="70" t="str">
        <f>IF(AND(Sheet1!O346="SIM",Sheet1!P346="SIM"),"Sim","")</f>
        <v/>
      </c>
      <c r="AD346" s="70" t="str">
        <f>IF(AC346="sim",Sheet1!I346,"")</f>
        <v/>
      </c>
    </row>
    <row r="347" spans="1:30" ht="24.95" customHeight="1" x14ac:dyDescent="0.25">
      <c r="A347" s="9"/>
      <c r="B347" s="9"/>
      <c r="C347" s="9" t="s">
        <v>78</v>
      </c>
      <c r="D347" s="9" t="s">
        <v>157</v>
      </c>
      <c r="E347" s="9" t="s">
        <v>157</v>
      </c>
      <c r="F347" s="15" t="str">
        <f t="shared" si="11"/>
        <v/>
      </c>
      <c r="G347" s="9"/>
      <c r="AC347" s="70" t="str">
        <f>IF(AND(Sheet1!O347="SIM",Sheet1!P347="SIM"),"Sim","")</f>
        <v/>
      </c>
      <c r="AD347" s="70" t="str">
        <f>IF(AC347="sim",Sheet1!I347,"")</f>
        <v/>
      </c>
    </row>
    <row r="348" spans="1:30" ht="24.95" customHeight="1" x14ac:dyDescent="0.25">
      <c r="A348" s="9"/>
      <c r="B348" s="9"/>
      <c r="C348" s="9" t="s">
        <v>78</v>
      </c>
      <c r="D348" s="9" t="s">
        <v>157</v>
      </c>
      <c r="E348" s="9" t="s">
        <v>157</v>
      </c>
      <c r="F348" s="15" t="str">
        <f t="shared" si="11"/>
        <v/>
      </c>
      <c r="G348" s="9"/>
      <c r="AC348" s="70" t="str">
        <f>IF(AND(Sheet1!O348="SIM",Sheet1!P348="SIM"),"Sim","")</f>
        <v/>
      </c>
      <c r="AD348" s="70" t="str">
        <f>IF(AC348="sim",Sheet1!I348,"")</f>
        <v/>
      </c>
    </row>
    <row r="349" spans="1:30" ht="24.95" customHeight="1" x14ac:dyDescent="0.25">
      <c r="A349" s="9"/>
      <c r="B349" s="9"/>
      <c r="C349" s="9" t="s">
        <v>78</v>
      </c>
      <c r="D349" s="9" t="s">
        <v>157</v>
      </c>
      <c r="E349" s="9" t="s">
        <v>157</v>
      </c>
      <c r="F349" s="15" t="str">
        <f t="shared" si="11"/>
        <v/>
      </c>
      <c r="G349" s="9"/>
      <c r="AC349" s="70" t="str">
        <f>IF(AND(Sheet1!O349="SIM",Sheet1!P349="SIM"),"Sim","")</f>
        <v/>
      </c>
      <c r="AD349" s="70" t="str">
        <f>IF(AC349="sim",Sheet1!I349,"")</f>
        <v/>
      </c>
    </row>
    <row r="350" spans="1:30" ht="24.95" customHeight="1" x14ac:dyDescent="0.25">
      <c r="A350" s="9"/>
      <c r="B350" s="9"/>
      <c r="C350" s="9" t="s">
        <v>82</v>
      </c>
      <c r="D350" s="9" t="s">
        <v>157</v>
      </c>
      <c r="E350" s="9" t="s">
        <v>157</v>
      </c>
      <c r="F350" s="15" t="str">
        <f t="shared" si="11"/>
        <v/>
      </c>
      <c r="G350" s="9"/>
      <c r="AC350" s="70" t="str">
        <f>IF(AND(Sheet1!O350="SIM",Sheet1!P350="SIM"),"Sim","")</f>
        <v/>
      </c>
      <c r="AD350" s="70" t="str">
        <f>IF(AC350="sim",Sheet1!I350,"")</f>
        <v/>
      </c>
    </row>
    <row r="351" spans="1:30" ht="24.95" customHeight="1" x14ac:dyDescent="0.25">
      <c r="A351" s="9"/>
      <c r="B351" s="9"/>
      <c r="C351" s="9" t="s">
        <v>94</v>
      </c>
      <c r="D351" s="9" t="s">
        <v>156</v>
      </c>
      <c r="E351" s="9" t="s">
        <v>157</v>
      </c>
      <c r="F351" s="15" t="str">
        <f t="shared" si="11"/>
        <v>Técnico</v>
      </c>
      <c r="G351" s="9"/>
      <c r="AC351" s="70" t="str">
        <f>IF(AND(Sheet1!O351="SIM",Sheet1!P351="SIM"),"Sim","")</f>
        <v/>
      </c>
      <c r="AD351" s="70" t="str">
        <f>IF(AC351="sim",Sheet1!I351,"")</f>
        <v/>
      </c>
    </row>
    <row r="352" spans="1:30" ht="24.95" customHeight="1" x14ac:dyDescent="0.25">
      <c r="A352" s="9"/>
      <c r="B352" s="9"/>
      <c r="C352" s="9" t="s">
        <v>78</v>
      </c>
      <c r="D352" s="9" t="s">
        <v>157</v>
      </c>
      <c r="E352" s="9" t="s">
        <v>157</v>
      </c>
      <c r="F352" s="15" t="str">
        <f t="shared" si="11"/>
        <v/>
      </c>
      <c r="G352" s="9"/>
      <c r="AC352" s="70" t="str">
        <f>IF(AND(Sheet1!O352="SIM",Sheet1!P352="SIM"),"Sim","")</f>
        <v/>
      </c>
      <c r="AD352" s="70" t="str">
        <f>IF(AC352="sim",Sheet1!I352,"")</f>
        <v/>
      </c>
    </row>
    <row r="353" spans="1:30" ht="24.95" customHeight="1" x14ac:dyDescent="0.25">
      <c r="A353" s="9"/>
      <c r="B353" s="9"/>
      <c r="C353" s="9" t="s">
        <v>78</v>
      </c>
      <c r="D353" s="9" t="s">
        <v>156</v>
      </c>
      <c r="E353" s="9" t="s">
        <v>157</v>
      </c>
      <c r="F353" s="15" t="str">
        <f t="shared" si="11"/>
        <v>Técnico</v>
      </c>
      <c r="G353" s="9"/>
      <c r="AC353" s="70" t="str">
        <f>IF(AND(Sheet1!O353="SIM",Sheet1!P353="SIM"),"Sim","")</f>
        <v/>
      </c>
      <c r="AD353" s="70" t="str">
        <f>IF(AC353="sim",Sheet1!I353,"")</f>
        <v/>
      </c>
    </row>
    <row r="354" spans="1:30" ht="24.95" customHeight="1" x14ac:dyDescent="0.25">
      <c r="A354" s="9"/>
      <c r="B354" s="9"/>
      <c r="C354" s="9" t="s">
        <v>82</v>
      </c>
      <c r="D354" s="9" t="s">
        <v>157</v>
      </c>
      <c r="E354" s="9" t="s">
        <v>157</v>
      </c>
      <c r="F354" s="15" t="str">
        <f t="shared" si="11"/>
        <v/>
      </c>
      <c r="G354" s="9"/>
      <c r="AC354" s="70" t="str">
        <f>IF(AND(Sheet1!O354="SIM",Sheet1!P354="SIM"),"Sim","")</f>
        <v/>
      </c>
      <c r="AD354" s="70" t="str">
        <f>IF(AC354="sim",Sheet1!I354,"")</f>
        <v/>
      </c>
    </row>
    <row r="355" spans="1:30" ht="24.95" customHeight="1" x14ac:dyDescent="0.25">
      <c r="A355" s="9"/>
      <c r="B355" s="9"/>
      <c r="C355" s="9" t="s">
        <v>129</v>
      </c>
      <c r="D355" s="9" t="s">
        <v>157</v>
      </c>
      <c r="E355" s="9" t="s">
        <v>157</v>
      </c>
      <c r="F355" s="15" t="str">
        <f t="shared" si="11"/>
        <v/>
      </c>
      <c r="G355" s="9"/>
      <c r="AC355" s="70" t="str">
        <f>IF(AND(Sheet1!O355="SIM",Sheet1!P355="SIM"),"Sim","")</f>
        <v/>
      </c>
      <c r="AD355" s="70" t="str">
        <f>IF(AC355="sim",Sheet1!I355,"")</f>
        <v/>
      </c>
    </row>
    <row r="356" spans="1:30" ht="24.95" customHeight="1" x14ac:dyDescent="0.25">
      <c r="A356" s="9"/>
      <c r="B356" s="9"/>
      <c r="C356" s="9" t="s">
        <v>129</v>
      </c>
      <c r="D356" s="9" t="s">
        <v>157</v>
      </c>
      <c r="E356" s="9" t="s">
        <v>157</v>
      </c>
      <c r="F356" s="15" t="str">
        <f t="shared" si="11"/>
        <v/>
      </c>
      <c r="G356" s="9"/>
      <c r="AC356" s="70" t="str">
        <f>IF(AND(Sheet1!O356="SIM",Sheet1!P356="SIM"),"Sim","")</f>
        <v/>
      </c>
      <c r="AD356" s="70" t="str">
        <f>IF(AC356="sim",Sheet1!I356,"")</f>
        <v/>
      </c>
    </row>
    <row r="357" spans="1:30" ht="24.95" customHeight="1" x14ac:dyDescent="0.25">
      <c r="A357" s="9"/>
      <c r="B357" s="9"/>
      <c r="C357" s="9" t="s">
        <v>78</v>
      </c>
      <c r="D357" s="9" t="s">
        <v>156</v>
      </c>
      <c r="E357" s="9" t="s">
        <v>157</v>
      </c>
      <c r="F357" s="15" t="str">
        <f t="shared" si="11"/>
        <v>Técnico</v>
      </c>
      <c r="G357" s="9"/>
      <c r="AC357" s="70" t="str">
        <f>IF(AND(Sheet1!O357="SIM",Sheet1!P357="SIM"),"Sim","")</f>
        <v/>
      </c>
      <c r="AD357" s="70" t="str">
        <f>IF(AC357="sim",Sheet1!I357,"")</f>
        <v/>
      </c>
    </row>
    <row r="358" spans="1:30" ht="24.95" customHeight="1" x14ac:dyDescent="0.25">
      <c r="A358" s="9"/>
      <c r="B358" s="9"/>
      <c r="C358" s="9" t="s">
        <v>78</v>
      </c>
      <c r="D358" s="9" t="s">
        <v>156</v>
      </c>
      <c r="E358" s="9" t="s">
        <v>157</v>
      </c>
      <c r="F358" s="15" t="str">
        <f t="shared" si="11"/>
        <v>Técnico</v>
      </c>
      <c r="G358" s="9"/>
      <c r="AC358" s="70" t="str">
        <f>IF(AND(Sheet1!O358="SIM",Sheet1!P358="SIM"),"Sim","")</f>
        <v/>
      </c>
      <c r="AD358" s="70" t="str">
        <f>IF(AC358="sim",Sheet1!I358,"")</f>
        <v/>
      </c>
    </row>
    <row r="359" spans="1:30" ht="24.95" customHeight="1" x14ac:dyDescent="0.25">
      <c r="A359" s="9"/>
      <c r="B359" s="9"/>
      <c r="C359" s="9" t="s">
        <v>78</v>
      </c>
      <c r="D359" s="9" t="s">
        <v>156</v>
      </c>
      <c r="E359" s="9" t="s">
        <v>157</v>
      </c>
      <c r="F359" s="15" t="str">
        <f t="shared" si="11"/>
        <v>Técnico</v>
      </c>
      <c r="G359" s="9"/>
      <c r="AC359" s="70" t="str">
        <f>IF(AND(Sheet1!O359="SIM",Sheet1!P359="SIM"),"Sim","")</f>
        <v/>
      </c>
      <c r="AD359" s="70" t="str">
        <f>IF(AC359="sim",Sheet1!I359,"")</f>
        <v/>
      </c>
    </row>
    <row r="360" spans="1:30" ht="24.95" customHeight="1" x14ac:dyDescent="0.25">
      <c r="A360" s="9"/>
      <c r="B360" s="9"/>
      <c r="C360" s="9" t="s">
        <v>78</v>
      </c>
      <c r="D360" s="9" t="s">
        <v>156</v>
      </c>
      <c r="E360" s="9" t="s">
        <v>157</v>
      </c>
      <c r="F360" s="15" t="str">
        <f t="shared" si="11"/>
        <v>Técnico</v>
      </c>
      <c r="G360" s="9"/>
      <c r="AC360" s="70" t="str">
        <f>IF(AND(Sheet1!O360="SIM",Sheet1!P360="SIM"),"Sim","")</f>
        <v/>
      </c>
      <c r="AD360" s="70" t="str">
        <f>IF(AC360="sim",Sheet1!I360,"")</f>
        <v/>
      </c>
    </row>
    <row r="361" spans="1:30" ht="24.95" customHeight="1" x14ac:dyDescent="0.25">
      <c r="A361" s="9"/>
      <c r="B361" s="9"/>
      <c r="C361" s="9" t="s">
        <v>78</v>
      </c>
      <c r="D361" s="9" t="s">
        <v>157</v>
      </c>
      <c r="E361" s="9" t="s">
        <v>157</v>
      </c>
      <c r="F361" s="15" t="str">
        <f t="shared" si="11"/>
        <v/>
      </c>
      <c r="G361" s="9"/>
      <c r="AC361" s="70" t="str">
        <f>IF(AND(Sheet1!O361="SIM",Sheet1!P361="SIM"),"Sim","")</f>
        <v/>
      </c>
      <c r="AD361" s="70" t="str">
        <f>IF(AC361="sim",Sheet1!I361,"")</f>
        <v/>
      </c>
    </row>
    <row r="362" spans="1:30" ht="24.95" customHeight="1" x14ac:dyDescent="0.25">
      <c r="A362" s="9"/>
      <c r="B362" s="9"/>
      <c r="C362" s="9" t="s">
        <v>101</v>
      </c>
      <c r="D362" s="9" t="s">
        <v>157</v>
      </c>
      <c r="E362" s="9" t="s">
        <v>157</v>
      </c>
      <c r="F362" s="15" t="str">
        <f t="shared" si="11"/>
        <v/>
      </c>
      <c r="G362" s="9"/>
      <c r="AC362" s="70" t="str">
        <f>IF(AND(Sheet1!O362="SIM",Sheet1!P362="SIM"),"Sim","")</f>
        <v/>
      </c>
      <c r="AD362" s="70" t="str">
        <f>IF(AC362="sim",Sheet1!I362,"")</f>
        <v/>
      </c>
    </row>
    <row r="363" spans="1:30" ht="24.95" customHeight="1" x14ac:dyDescent="0.25">
      <c r="A363" s="9"/>
      <c r="B363" s="9"/>
      <c r="C363" s="9" t="s">
        <v>78</v>
      </c>
      <c r="D363" s="9" t="s">
        <v>157</v>
      </c>
      <c r="E363" s="9" t="s">
        <v>157</v>
      </c>
      <c r="F363" s="15" t="str">
        <f t="shared" si="11"/>
        <v/>
      </c>
      <c r="G363" s="9"/>
      <c r="AC363" s="70" t="str">
        <f>IF(AND(Sheet1!O363="SIM",Sheet1!P363="SIM"),"Sim","")</f>
        <v/>
      </c>
      <c r="AD363" s="70" t="str">
        <f>IF(AC363="sim",Sheet1!I363,"")</f>
        <v/>
      </c>
    </row>
    <row r="364" spans="1:30" ht="24.95" customHeight="1" x14ac:dyDescent="0.25">
      <c r="A364" s="9"/>
      <c r="B364" s="9"/>
      <c r="C364" s="9"/>
      <c r="D364" s="9"/>
      <c r="E364" s="9"/>
      <c r="F364" s="15" t="str">
        <f t="shared" si="11"/>
        <v/>
      </c>
      <c r="G364" s="9"/>
      <c r="AC364" s="70" t="str">
        <f>IF(AND(Sheet1!O364="SIM",Sheet1!P364="SIM"),"Sim","")</f>
        <v/>
      </c>
      <c r="AD364" s="70" t="str">
        <f>IF(AC364="sim",Sheet1!I364,"")</f>
        <v/>
      </c>
    </row>
    <row r="365" spans="1:30" ht="24.95" customHeight="1" x14ac:dyDescent="0.25">
      <c r="A365" s="9"/>
      <c r="B365" s="9"/>
      <c r="C365" s="9"/>
      <c r="D365" s="9"/>
      <c r="E365" s="9"/>
      <c r="F365" s="15" t="str">
        <f t="shared" si="11"/>
        <v/>
      </c>
      <c r="G365" s="9"/>
      <c r="AC365" s="70" t="str">
        <f>IF(AND(Sheet1!O365="SIM",Sheet1!P365="SIM"),"Sim","")</f>
        <v/>
      </c>
      <c r="AD365" s="70" t="str">
        <f>IF(AC365="sim",Sheet1!I365,"")</f>
        <v/>
      </c>
    </row>
    <row r="366" spans="1:30" ht="24.95" customHeight="1" x14ac:dyDescent="0.25">
      <c r="A366" s="9"/>
      <c r="B366" s="9"/>
      <c r="C366" s="9"/>
      <c r="D366" s="9"/>
      <c r="E366" s="9"/>
      <c r="F366" s="15" t="str">
        <f t="shared" si="11"/>
        <v/>
      </c>
      <c r="G366" s="9"/>
      <c r="AC366" s="70" t="str">
        <f>IF(AND(Sheet1!O366="SIM",Sheet1!P366="SIM"),"Sim","")</f>
        <v/>
      </c>
      <c r="AD366" s="70" t="str">
        <f>IF(AC366="sim",Sheet1!I366,"")</f>
        <v/>
      </c>
    </row>
    <row r="367" spans="1:30" ht="24.95" customHeight="1" x14ac:dyDescent="0.25">
      <c r="A367" s="9"/>
      <c r="B367" s="9"/>
      <c r="C367" s="9"/>
      <c r="D367" s="9"/>
      <c r="E367" s="9"/>
      <c r="F367" s="15" t="str">
        <f t="shared" si="11"/>
        <v/>
      </c>
      <c r="G367" s="9"/>
      <c r="AC367" s="70" t="str">
        <f>IF(AND(Sheet1!O367="SIM",Sheet1!P367="SIM"),"Sim","")</f>
        <v/>
      </c>
      <c r="AD367" s="70" t="str">
        <f>IF(AC367="sim",Sheet1!I367,"")</f>
        <v/>
      </c>
    </row>
    <row r="368" spans="1:30" ht="24.95" customHeight="1" x14ac:dyDescent="0.25">
      <c r="A368" s="9"/>
      <c r="B368" s="9"/>
      <c r="C368" s="9"/>
      <c r="D368" s="9"/>
      <c r="E368" s="9"/>
      <c r="F368" s="15" t="str">
        <f t="shared" si="11"/>
        <v/>
      </c>
      <c r="G368" s="9"/>
      <c r="AC368" s="70" t="str">
        <f>IF(AND(Sheet1!O368="SIM",Sheet1!P368="SIM"),"Sim","")</f>
        <v/>
      </c>
      <c r="AD368" s="70" t="str">
        <f>IF(AC368="sim",Sheet1!I368,"")</f>
        <v/>
      </c>
    </row>
    <row r="369" spans="1:30" ht="24.95" customHeight="1" x14ac:dyDescent="0.25">
      <c r="A369" s="9"/>
      <c r="B369" s="9"/>
      <c r="C369" s="9"/>
      <c r="D369" s="9"/>
      <c r="E369" s="9"/>
      <c r="F369" s="15" t="str">
        <f t="shared" si="11"/>
        <v/>
      </c>
      <c r="G369" s="9"/>
      <c r="AC369" s="70" t="str">
        <f>IF(AND(Sheet1!O369="SIM",Sheet1!P369="SIM"),"Sim","")</f>
        <v/>
      </c>
      <c r="AD369" s="70" t="str">
        <f>IF(AC369="sim",Sheet1!I369,"")</f>
        <v/>
      </c>
    </row>
    <row r="370" spans="1:30" ht="24.95" customHeight="1" x14ac:dyDescent="0.25">
      <c r="A370" s="9"/>
      <c r="B370" s="9"/>
      <c r="C370" s="9"/>
      <c r="D370" s="9"/>
      <c r="E370" s="9"/>
      <c r="F370" s="15" t="str">
        <f t="shared" si="11"/>
        <v/>
      </c>
      <c r="G370" s="9"/>
      <c r="AC370" s="70" t="str">
        <f>IF(AND(Sheet1!O370="SIM",Sheet1!P370="SIM"),"Sim","")</f>
        <v/>
      </c>
      <c r="AD370" s="70" t="str">
        <f>IF(AC370="sim",Sheet1!I370,"")</f>
        <v/>
      </c>
    </row>
    <row r="371" spans="1:30" ht="24.95" customHeight="1" x14ac:dyDescent="0.25">
      <c r="A371" s="9"/>
      <c r="B371" s="9"/>
      <c r="C371" s="9"/>
      <c r="D371" s="9"/>
      <c r="E371" s="9"/>
      <c r="F371" s="15" t="str">
        <f t="shared" si="11"/>
        <v/>
      </c>
      <c r="G371" s="9"/>
      <c r="AC371" s="70" t="str">
        <f>IF(AND(Sheet1!O371="SIM",Sheet1!P371="SIM"),"Sim","")</f>
        <v/>
      </c>
      <c r="AD371" s="70" t="str">
        <f>IF(AC371="sim",Sheet1!I371,"")</f>
        <v/>
      </c>
    </row>
    <row r="372" spans="1:30" ht="24.95" customHeight="1" x14ac:dyDescent="0.25">
      <c r="A372" s="9"/>
      <c r="B372" s="9"/>
      <c r="C372" s="9"/>
      <c r="D372" s="9"/>
      <c r="E372" s="9"/>
      <c r="F372" s="15" t="str">
        <f t="shared" si="11"/>
        <v/>
      </c>
      <c r="G372" s="9"/>
      <c r="AC372" s="70" t="str">
        <f>IF(AND(Sheet1!O372="SIM",Sheet1!P372="SIM"),"Sim","")</f>
        <v/>
      </c>
      <c r="AD372" s="70" t="str">
        <f>IF(AC372="sim",Sheet1!I372,"")</f>
        <v/>
      </c>
    </row>
    <row r="373" spans="1:30" ht="24.95" customHeight="1" x14ac:dyDescent="0.25">
      <c r="A373" s="9"/>
      <c r="B373" s="9"/>
      <c r="C373" s="9"/>
      <c r="D373" s="9"/>
      <c r="E373" s="9"/>
      <c r="F373" s="15" t="str">
        <f t="shared" si="11"/>
        <v/>
      </c>
      <c r="G373" s="9"/>
      <c r="AC373" s="70" t="str">
        <f>IF(AND(Sheet1!O373="SIM",Sheet1!P373="SIM"),"Sim","")</f>
        <v/>
      </c>
      <c r="AD373" s="70" t="str">
        <f>IF(AC373="sim",Sheet1!I373,"")</f>
        <v/>
      </c>
    </row>
    <row r="374" spans="1:30" ht="24.95" customHeight="1" x14ac:dyDescent="0.25">
      <c r="A374" s="9"/>
      <c r="B374" s="9"/>
      <c r="C374" s="9"/>
      <c r="D374" s="9"/>
      <c r="E374" s="9"/>
      <c r="F374" s="15" t="str">
        <f t="shared" si="11"/>
        <v/>
      </c>
      <c r="G374" s="9"/>
      <c r="AC374" s="70" t="str">
        <f>IF(AND(Sheet1!O374="SIM",Sheet1!P374="SIM"),"Sim","")</f>
        <v/>
      </c>
      <c r="AD374" s="70" t="str">
        <f>IF(AC374="sim",Sheet1!I374,"")</f>
        <v/>
      </c>
    </row>
    <row r="375" spans="1:30" ht="24.95" customHeight="1" x14ac:dyDescent="0.25">
      <c r="A375" s="9"/>
      <c r="B375" s="9"/>
      <c r="C375" s="9"/>
      <c r="D375" s="9"/>
      <c r="E375" s="9"/>
      <c r="F375" s="15" t="str">
        <f t="shared" si="11"/>
        <v/>
      </c>
      <c r="G375" s="9"/>
      <c r="AC375" s="70" t="str">
        <f>IF(AND(Sheet1!O375="SIM",Sheet1!P375="SIM"),"Sim","")</f>
        <v/>
      </c>
      <c r="AD375" s="70" t="str">
        <f>IF(AC375="sim",Sheet1!I375,"")</f>
        <v/>
      </c>
    </row>
    <row r="376" spans="1:30" ht="24.95" customHeight="1" x14ac:dyDescent="0.25">
      <c r="A376" s="9"/>
      <c r="B376" s="9"/>
      <c r="C376" s="9"/>
      <c r="D376" s="9"/>
      <c r="E376" s="9"/>
      <c r="F376" s="15" t="str">
        <f t="shared" si="11"/>
        <v/>
      </c>
      <c r="G376" s="9"/>
      <c r="AC376" s="70" t="str">
        <f>IF(AND(Sheet1!O376="SIM",Sheet1!P376="SIM"),"Sim","")</f>
        <v/>
      </c>
      <c r="AD376" s="70" t="str">
        <f>IF(AC376="sim",Sheet1!I376,"")</f>
        <v/>
      </c>
    </row>
    <row r="377" spans="1:30" ht="24.95" customHeight="1" x14ac:dyDescent="0.25">
      <c r="A377" s="9"/>
      <c r="B377" s="9"/>
      <c r="C377" s="9"/>
      <c r="D377" s="9"/>
      <c r="E377" s="9"/>
      <c r="F377" s="15" t="str">
        <f t="shared" si="11"/>
        <v/>
      </c>
      <c r="G377" s="9"/>
      <c r="AC377" s="70" t="str">
        <f>IF(AND(Sheet1!O377="SIM",Sheet1!P377="SIM"),"Sim","")</f>
        <v/>
      </c>
      <c r="AD377" s="70" t="str">
        <f>IF(AC377="sim",Sheet1!I377,"")</f>
        <v/>
      </c>
    </row>
    <row r="378" spans="1:30" ht="24.95" customHeight="1" x14ac:dyDescent="0.25">
      <c r="A378" s="9"/>
      <c r="B378" s="9"/>
      <c r="C378" s="9"/>
      <c r="D378" s="9"/>
      <c r="E378" s="9"/>
      <c r="F378" s="15" t="str">
        <f t="shared" si="11"/>
        <v/>
      </c>
      <c r="G378" s="9"/>
      <c r="AC378" s="70" t="str">
        <f>IF(AND(Sheet1!O378="SIM",Sheet1!P378="SIM"),"Sim","")</f>
        <v/>
      </c>
      <c r="AD378" s="70" t="str">
        <f>IF(AC378="sim",Sheet1!I378,"")</f>
        <v/>
      </c>
    </row>
    <row r="379" spans="1:30" ht="24.95" customHeight="1" x14ac:dyDescent="0.25">
      <c r="A379" s="9"/>
      <c r="B379" s="9"/>
      <c r="C379" s="9"/>
      <c r="D379" s="9"/>
      <c r="E379" s="9"/>
      <c r="F379" s="15" t="str">
        <f t="shared" si="11"/>
        <v/>
      </c>
      <c r="G379" s="9"/>
      <c r="AC379" s="70" t="str">
        <f>IF(AND(Sheet1!O379="SIM",Sheet1!P379="SIM"),"Sim","")</f>
        <v/>
      </c>
      <c r="AD379" s="70" t="str">
        <f>IF(AC379="sim",Sheet1!I379,"")</f>
        <v/>
      </c>
    </row>
    <row r="380" spans="1:30" ht="24.95" customHeight="1" x14ac:dyDescent="0.25">
      <c r="A380" s="9"/>
      <c r="B380" s="9"/>
      <c r="C380" s="9"/>
      <c r="D380" s="9"/>
      <c r="E380" s="9"/>
      <c r="F380" s="15" t="str">
        <f t="shared" si="11"/>
        <v/>
      </c>
      <c r="G380" s="9"/>
      <c r="AC380" s="70" t="str">
        <f>IF(AND(Sheet1!O380="SIM",Sheet1!P380="SIM"),"Sim","")</f>
        <v/>
      </c>
      <c r="AD380" s="70" t="str">
        <f>IF(AC380="sim",Sheet1!I380,"")</f>
        <v/>
      </c>
    </row>
    <row r="381" spans="1:30" ht="24.95" customHeight="1" x14ac:dyDescent="0.25">
      <c r="A381" s="9"/>
      <c r="B381" s="9"/>
      <c r="C381" s="9"/>
      <c r="D381" s="9"/>
      <c r="E381" s="9"/>
      <c r="F381" s="15" t="str">
        <f t="shared" si="11"/>
        <v/>
      </c>
      <c r="G381" s="9"/>
      <c r="AC381" s="70" t="str">
        <f>IF(AND(Sheet1!O381="SIM",Sheet1!P381="SIM"),"Sim","")</f>
        <v/>
      </c>
      <c r="AD381" s="70" t="str">
        <f>IF(AC381="sim",Sheet1!I381,"")</f>
        <v/>
      </c>
    </row>
    <row r="382" spans="1:30" ht="24.95" customHeight="1" x14ac:dyDescent="0.25">
      <c r="A382" s="9"/>
      <c r="B382" s="9"/>
      <c r="C382" s="9"/>
      <c r="D382" s="9"/>
      <c r="E382" s="9"/>
      <c r="F382" s="15" t="str">
        <f t="shared" si="11"/>
        <v/>
      </c>
      <c r="G382" s="9"/>
      <c r="AC382" s="70" t="str">
        <f>IF(AND(Sheet1!O382="SIM",Sheet1!P382="SIM"),"Sim","")</f>
        <v/>
      </c>
      <c r="AD382" s="70" t="str">
        <f>IF(AC382="sim",Sheet1!I382,"")</f>
        <v/>
      </c>
    </row>
    <row r="383" spans="1:30" ht="24.95" customHeight="1" x14ac:dyDescent="0.25">
      <c r="A383" s="9"/>
      <c r="B383" s="9"/>
      <c r="C383" s="9"/>
      <c r="D383" s="9"/>
      <c r="E383" s="9"/>
      <c r="F383" s="15" t="str">
        <f t="shared" si="11"/>
        <v/>
      </c>
      <c r="G383" s="9"/>
      <c r="AC383" s="70" t="str">
        <f>IF(AND(Sheet1!O383="SIM",Sheet1!P383="SIM"),"Sim","")</f>
        <v/>
      </c>
      <c r="AD383" s="70" t="str">
        <f>IF(AC383="sim",Sheet1!I383,"")</f>
        <v/>
      </c>
    </row>
    <row r="384" spans="1:30" ht="24.95" customHeight="1" x14ac:dyDescent="0.25">
      <c r="A384" s="9"/>
      <c r="B384" s="9"/>
      <c r="C384" s="9"/>
      <c r="D384" s="9"/>
      <c r="E384" s="9"/>
      <c r="F384" s="15" t="str">
        <f t="shared" si="11"/>
        <v/>
      </c>
      <c r="G384" s="9"/>
      <c r="AC384" s="70" t="str">
        <f>IF(AND(Sheet1!O384="SIM",Sheet1!P384="SIM"),"Sim","")</f>
        <v/>
      </c>
      <c r="AD384" s="70" t="str">
        <f>IF(AC384="sim",Sheet1!I384,"")</f>
        <v/>
      </c>
    </row>
    <row r="385" spans="1:30" ht="24.95" customHeight="1" x14ac:dyDescent="0.25">
      <c r="A385" s="9"/>
      <c r="B385" s="9"/>
      <c r="C385" s="9"/>
      <c r="D385" s="9"/>
      <c r="E385" s="9"/>
      <c r="F385" s="15" t="str">
        <f t="shared" si="11"/>
        <v/>
      </c>
      <c r="G385" s="9"/>
      <c r="AC385" s="70" t="str">
        <f>IF(AND(Sheet1!O385="SIM",Sheet1!P385="SIM"),"Sim","")</f>
        <v/>
      </c>
      <c r="AD385" s="70" t="str">
        <f>IF(AC385="sim",Sheet1!I385,"")</f>
        <v/>
      </c>
    </row>
    <row r="386" spans="1:30" ht="24.95" customHeight="1" x14ac:dyDescent="0.25">
      <c r="A386" s="9"/>
      <c r="B386" s="9"/>
      <c r="C386" s="9"/>
      <c r="D386" s="9"/>
      <c r="E386" s="9"/>
      <c r="F386" s="15" t="str">
        <f t="shared" si="11"/>
        <v/>
      </c>
      <c r="G386" s="9"/>
      <c r="AC386" s="70" t="str">
        <f>IF(AND(Sheet1!O386="SIM",Sheet1!P386="SIM"),"Sim","")</f>
        <v/>
      </c>
      <c r="AD386" s="70" t="str">
        <f>IF(AC386="sim",Sheet1!I386,"")</f>
        <v/>
      </c>
    </row>
    <row r="387" spans="1:30" ht="24.95" customHeight="1" x14ac:dyDescent="0.25">
      <c r="A387" s="9"/>
      <c r="B387" s="9"/>
      <c r="C387" s="9"/>
      <c r="D387" s="9"/>
      <c r="E387" s="9"/>
      <c r="F387" s="15" t="str">
        <f t="shared" ref="F387:F450" si="12">IFERROR(IF(AND(D387="Não",E387="Sim"),"REP",
IF(AND(D387="Sim",E387="Não"),"Técnico",
IF(AND(D387="Sim",E387="Sim"),"Ambos",""))),"")</f>
        <v/>
      </c>
      <c r="G387" s="9"/>
      <c r="AC387" s="70" t="str">
        <f>IF(AND(Sheet1!O387="SIM",Sheet1!P387="SIM"),"Sim","")</f>
        <v/>
      </c>
      <c r="AD387" s="70" t="str">
        <f>IF(AC387="sim",Sheet1!I387,"")</f>
        <v/>
      </c>
    </row>
    <row r="388" spans="1:30" ht="24.95" customHeight="1" x14ac:dyDescent="0.25">
      <c r="A388" s="9"/>
      <c r="B388" s="9"/>
      <c r="C388" s="9"/>
      <c r="D388" s="9"/>
      <c r="E388" s="9"/>
      <c r="F388" s="15" t="str">
        <f t="shared" si="12"/>
        <v/>
      </c>
      <c r="G388" s="9"/>
      <c r="AC388" s="70" t="str">
        <f>IF(AND(Sheet1!O388="SIM",Sheet1!P388="SIM"),"Sim","")</f>
        <v/>
      </c>
      <c r="AD388" s="70" t="str">
        <f>IF(AC388="sim",Sheet1!I388,"")</f>
        <v/>
      </c>
    </row>
    <row r="389" spans="1:30" ht="24.95" customHeight="1" x14ac:dyDescent="0.25">
      <c r="A389" s="9"/>
      <c r="B389" s="9"/>
      <c r="C389" s="9"/>
      <c r="D389" s="9"/>
      <c r="E389" s="9"/>
      <c r="F389" s="15" t="str">
        <f t="shared" si="12"/>
        <v/>
      </c>
      <c r="G389" s="9"/>
      <c r="AC389" s="70" t="str">
        <f>IF(AND(Sheet1!O389="SIM",Sheet1!P389="SIM"),"Sim","")</f>
        <v/>
      </c>
      <c r="AD389" s="70" t="str">
        <f>IF(AC389="sim",Sheet1!I389,"")</f>
        <v/>
      </c>
    </row>
    <row r="390" spans="1:30" ht="24.95" customHeight="1" x14ac:dyDescent="0.25">
      <c r="A390" s="9"/>
      <c r="B390" s="9"/>
      <c r="C390" s="9"/>
      <c r="D390" s="9"/>
      <c r="E390" s="9"/>
      <c r="F390" s="15" t="str">
        <f t="shared" si="12"/>
        <v/>
      </c>
      <c r="G390" s="9"/>
      <c r="AC390" s="70" t="str">
        <f>IF(AND(Sheet1!O390="SIM",Sheet1!P390="SIM"),"Sim","")</f>
        <v/>
      </c>
      <c r="AD390" s="70" t="str">
        <f>IF(AC390="sim",Sheet1!I390,"")</f>
        <v/>
      </c>
    </row>
    <row r="391" spans="1:30" ht="24.95" customHeight="1" x14ac:dyDescent="0.25">
      <c r="A391" s="9"/>
      <c r="B391" s="9"/>
      <c r="C391" s="9"/>
      <c r="D391" s="9"/>
      <c r="E391" s="9"/>
      <c r="F391" s="15" t="str">
        <f t="shared" si="12"/>
        <v/>
      </c>
      <c r="G391" s="9"/>
      <c r="AC391" s="70" t="str">
        <f>IF(AND(Sheet1!O391="SIM",Sheet1!P391="SIM"),"Sim","")</f>
        <v/>
      </c>
      <c r="AD391" s="70" t="str">
        <f>IF(AC391="sim",Sheet1!I391,"")</f>
        <v/>
      </c>
    </row>
    <row r="392" spans="1:30" ht="24.95" customHeight="1" x14ac:dyDescent="0.25">
      <c r="A392" s="9"/>
      <c r="B392" s="9"/>
      <c r="C392" s="9"/>
      <c r="D392" s="9"/>
      <c r="E392" s="9"/>
      <c r="F392" s="15" t="str">
        <f t="shared" si="12"/>
        <v/>
      </c>
      <c r="G392" s="9"/>
      <c r="AC392" s="70" t="str">
        <f>IF(AND(Sheet1!O392="SIM",Sheet1!P392="SIM"),"Sim","")</f>
        <v/>
      </c>
      <c r="AD392" s="70" t="str">
        <f>IF(AC392="sim",Sheet1!I392,"")</f>
        <v/>
      </c>
    </row>
    <row r="393" spans="1:30" ht="24.95" customHeight="1" x14ac:dyDescent="0.25">
      <c r="A393" s="9"/>
      <c r="B393" s="9"/>
      <c r="C393" s="9"/>
      <c r="D393" s="9"/>
      <c r="E393" s="9"/>
      <c r="F393" s="15" t="str">
        <f t="shared" si="12"/>
        <v/>
      </c>
      <c r="G393" s="9"/>
      <c r="AC393" s="70" t="str">
        <f>IF(AND(Sheet1!O393="SIM",Sheet1!P393="SIM"),"Sim","")</f>
        <v/>
      </c>
      <c r="AD393" s="70" t="str">
        <f>IF(AC393="sim",Sheet1!I393,"")</f>
        <v/>
      </c>
    </row>
    <row r="394" spans="1:30" ht="24.95" customHeight="1" x14ac:dyDescent="0.25">
      <c r="A394" s="9"/>
      <c r="B394" s="9"/>
      <c r="C394" s="9"/>
      <c r="D394" s="9"/>
      <c r="E394" s="9"/>
      <c r="F394" s="15" t="str">
        <f t="shared" si="12"/>
        <v/>
      </c>
      <c r="G394" s="9"/>
      <c r="AC394" s="70" t="str">
        <f>IF(AND(Sheet1!O394="SIM",Sheet1!P394="SIM"),"Sim","")</f>
        <v/>
      </c>
      <c r="AD394" s="70" t="str">
        <f>IF(AC394="sim",Sheet1!I394,"")</f>
        <v/>
      </c>
    </row>
    <row r="395" spans="1:30" ht="24.95" customHeight="1" x14ac:dyDescent="0.25">
      <c r="A395" s="9"/>
      <c r="B395" s="9"/>
      <c r="C395" s="9"/>
      <c r="D395" s="9"/>
      <c r="E395" s="9"/>
      <c r="F395" s="15" t="str">
        <f t="shared" si="12"/>
        <v/>
      </c>
      <c r="G395" s="9"/>
      <c r="AC395" s="70" t="str">
        <f>IF(AND(Sheet1!O395="SIM",Sheet1!P395="SIM"),"Sim","")</f>
        <v/>
      </c>
      <c r="AD395" s="70" t="str">
        <f>IF(AC395="sim",Sheet1!I395,"")</f>
        <v/>
      </c>
    </row>
    <row r="396" spans="1:30" ht="24.95" customHeight="1" x14ac:dyDescent="0.25">
      <c r="A396" s="9"/>
      <c r="B396" s="9"/>
      <c r="C396" s="9"/>
      <c r="D396" s="9"/>
      <c r="E396" s="9"/>
      <c r="F396" s="15" t="str">
        <f t="shared" si="12"/>
        <v/>
      </c>
      <c r="G396" s="9"/>
      <c r="AC396" s="70" t="str">
        <f>IF(AND(Sheet1!O396="SIM",Sheet1!P396="SIM"),"Sim","")</f>
        <v/>
      </c>
      <c r="AD396" s="70" t="str">
        <f>IF(AC396="sim",Sheet1!I396,"")</f>
        <v/>
      </c>
    </row>
    <row r="397" spans="1:30" ht="24.95" customHeight="1" x14ac:dyDescent="0.25">
      <c r="A397" s="9"/>
      <c r="B397" s="9"/>
      <c r="C397" s="9"/>
      <c r="D397" s="9"/>
      <c r="E397" s="9"/>
      <c r="F397" s="15" t="str">
        <f t="shared" si="12"/>
        <v/>
      </c>
      <c r="G397" s="9"/>
      <c r="AC397" s="70" t="str">
        <f>IF(AND(Sheet1!O397="SIM",Sheet1!P397="SIM"),"Sim","")</f>
        <v/>
      </c>
      <c r="AD397" s="70" t="str">
        <f>IF(AC397="sim",Sheet1!I397,"")</f>
        <v/>
      </c>
    </row>
    <row r="398" spans="1:30" ht="24.95" customHeight="1" x14ac:dyDescent="0.25">
      <c r="A398" s="9"/>
      <c r="B398" s="9"/>
      <c r="C398" s="9"/>
      <c r="D398" s="9"/>
      <c r="E398" s="9"/>
      <c r="F398" s="15" t="str">
        <f t="shared" si="12"/>
        <v/>
      </c>
      <c r="G398" s="9"/>
      <c r="AC398" s="70" t="str">
        <f>IF(AND(Sheet1!O398="SIM",Sheet1!P398="SIM"),"Sim","")</f>
        <v/>
      </c>
      <c r="AD398" s="70" t="str">
        <f>IF(AC398="sim",Sheet1!I398,"")</f>
        <v/>
      </c>
    </row>
    <row r="399" spans="1:30" ht="24.95" customHeight="1" x14ac:dyDescent="0.25">
      <c r="A399" s="9"/>
      <c r="B399" s="9"/>
      <c r="C399" s="9"/>
      <c r="D399" s="9"/>
      <c r="E399" s="9"/>
      <c r="F399" s="15" t="str">
        <f t="shared" si="12"/>
        <v/>
      </c>
      <c r="G399" s="9"/>
      <c r="AC399" s="70" t="str">
        <f>IF(AND(Sheet1!O399="SIM",Sheet1!P399="SIM"),"Sim","")</f>
        <v/>
      </c>
      <c r="AD399" s="70" t="str">
        <f>IF(AC399="sim",Sheet1!I399,"")</f>
        <v/>
      </c>
    </row>
    <row r="400" spans="1:30" ht="24.95" customHeight="1" x14ac:dyDescent="0.25">
      <c r="A400" s="9"/>
      <c r="B400" s="9"/>
      <c r="C400" s="9"/>
      <c r="D400" s="9"/>
      <c r="E400" s="9"/>
      <c r="F400" s="15" t="str">
        <f t="shared" si="12"/>
        <v/>
      </c>
      <c r="G400" s="9"/>
      <c r="AC400" s="70" t="str">
        <f>IF(AND(Sheet1!O400="SIM",Sheet1!P400="SIM"),"Sim","")</f>
        <v/>
      </c>
      <c r="AD400" s="70" t="str">
        <f>IF(AC400="sim",Sheet1!I400,"")</f>
        <v/>
      </c>
    </row>
    <row r="401" spans="1:30" ht="24.95" customHeight="1" x14ac:dyDescent="0.25">
      <c r="A401" s="9"/>
      <c r="B401" s="9"/>
      <c r="C401" s="9"/>
      <c r="D401" s="9"/>
      <c r="E401" s="9"/>
      <c r="F401" s="15" t="str">
        <f t="shared" si="12"/>
        <v/>
      </c>
      <c r="G401" s="9"/>
      <c r="AC401" s="70" t="str">
        <f>IF(AND(Sheet1!O401="SIM",Sheet1!P401="SIM"),"Sim","")</f>
        <v/>
      </c>
      <c r="AD401" s="70" t="str">
        <f>IF(AC401="sim",Sheet1!I401,"")</f>
        <v/>
      </c>
    </row>
    <row r="402" spans="1:30" ht="24.95" customHeight="1" x14ac:dyDescent="0.25">
      <c r="A402" s="9"/>
      <c r="B402" s="9"/>
      <c r="C402" s="9"/>
      <c r="D402" s="9"/>
      <c r="E402" s="9"/>
      <c r="F402" s="15" t="str">
        <f t="shared" si="12"/>
        <v/>
      </c>
      <c r="G402" s="9"/>
      <c r="AC402" s="70" t="str">
        <f>IF(AND(Sheet1!O402="SIM",Sheet1!P402="SIM"),"Sim","")</f>
        <v/>
      </c>
      <c r="AD402" s="70" t="str">
        <f>IF(AC402="sim",Sheet1!I402,"")</f>
        <v/>
      </c>
    </row>
    <row r="403" spans="1:30" ht="24.95" customHeight="1" x14ac:dyDescent="0.25">
      <c r="A403" s="9"/>
      <c r="B403" s="9"/>
      <c r="C403" s="9"/>
      <c r="D403" s="9"/>
      <c r="E403" s="9"/>
      <c r="F403" s="15" t="str">
        <f t="shared" si="12"/>
        <v/>
      </c>
      <c r="G403" s="9"/>
      <c r="AC403" s="70" t="str">
        <f>IF(AND(Sheet1!O403="SIM",Sheet1!P403="SIM"),"Sim","")</f>
        <v/>
      </c>
      <c r="AD403" s="70" t="str">
        <f>IF(AC403="sim",Sheet1!I403,"")</f>
        <v/>
      </c>
    </row>
    <row r="404" spans="1:30" ht="24.95" customHeight="1" x14ac:dyDescent="0.25">
      <c r="A404" s="9"/>
      <c r="B404" s="9"/>
      <c r="C404" s="9"/>
      <c r="D404" s="9"/>
      <c r="E404" s="9"/>
      <c r="F404" s="15" t="str">
        <f t="shared" si="12"/>
        <v/>
      </c>
      <c r="G404" s="9"/>
      <c r="AC404" s="70" t="str">
        <f>IF(AND(Sheet1!O404="SIM",Sheet1!P404="SIM"),"Sim","")</f>
        <v/>
      </c>
      <c r="AD404" s="70" t="str">
        <f>IF(AC404="sim",Sheet1!I404,"")</f>
        <v/>
      </c>
    </row>
    <row r="405" spans="1:30" ht="24.95" customHeight="1" x14ac:dyDescent="0.25">
      <c r="A405" s="9"/>
      <c r="B405" s="9"/>
      <c r="C405" s="9"/>
      <c r="D405" s="9"/>
      <c r="E405" s="9"/>
      <c r="F405" s="15" t="str">
        <f t="shared" si="12"/>
        <v/>
      </c>
      <c r="G405" s="9"/>
      <c r="AC405" s="70" t="str">
        <f>IF(AND(Sheet1!O405="SIM",Sheet1!P405="SIM"),"Sim","")</f>
        <v/>
      </c>
      <c r="AD405" s="70" t="str">
        <f>IF(AC405="sim",Sheet1!I405,"")</f>
        <v/>
      </c>
    </row>
    <row r="406" spans="1:30" ht="24.95" customHeight="1" x14ac:dyDescent="0.25">
      <c r="A406" s="9"/>
      <c r="B406" s="9"/>
      <c r="C406" s="9"/>
      <c r="D406" s="9"/>
      <c r="E406" s="9"/>
      <c r="F406" s="15" t="str">
        <f t="shared" si="12"/>
        <v/>
      </c>
      <c r="G406" s="9"/>
      <c r="AC406" s="70" t="str">
        <f>IF(AND(Sheet1!O406="SIM",Sheet1!P406="SIM"),"Sim","")</f>
        <v/>
      </c>
      <c r="AD406" s="70" t="str">
        <f>IF(AC406="sim",Sheet1!I406,"")</f>
        <v/>
      </c>
    </row>
    <row r="407" spans="1:30" ht="24.95" customHeight="1" x14ac:dyDescent="0.25">
      <c r="A407" s="9"/>
      <c r="B407" s="9"/>
      <c r="C407" s="9"/>
      <c r="D407" s="9"/>
      <c r="E407" s="9"/>
      <c r="F407" s="15" t="str">
        <f t="shared" si="12"/>
        <v/>
      </c>
      <c r="G407" s="9"/>
      <c r="AC407" s="70" t="str">
        <f>IF(AND(Sheet1!O407="SIM",Sheet1!P407="SIM"),"Sim","")</f>
        <v/>
      </c>
      <c r="AD407" s="70" t="str">
        <f>IF(AC407="sim",Sheet1!I407,"")</f>
        <v/>
      </c>
    </row>
    <row r="408" spans="1:30" ht="24.95" customHeight="1" x14ac:dyDescent="0.25">
      <c r="A408" s="9"/>
      <c r="B408" s="9"/>
      <c r="C408" s="9"/>
      <c r="D408" s="9"/>
      <c r="E408" s="9"/>
      <c r="F408" s="15" t="str">
        <f t="shared" si="12"/>
        <v/>
      </c>
      <c r="G408" s="9"/>
      <c r="AC408" s="70" t="str">
        <f>IF(AND(Sheet1!O408="SIM",Sheet1!P408="SIM"),"Sim","")</f>
        <v/>
      </c>
      <c r="AD408" s="70" t="str">
        <f>IF(AC408="sim",Sheet1!I408,"")</f>
        <v/>
      </c>
    </row>
    <row r="409" spans="1:30" ht="24.95" customHeight="1" x14ac:dyDescent="0.25">
      <c r="A409" s="9"/>
      <c r="B409" s="9"/>
      <c r="C409" s="9"/>
      <c r="D409" s="9"/>
      <c r="E409" s="9"/>
      <c r="F409" s="15" t="str">
        <f t="shared" si="12"/>
        <v/>
      </c>
      <c r="G409" s="9"/>
      <c r="AC409" s="70" t="str">
        <f>IF(AND(Sheet1!O409="SIM",Sheet1!P409="SIM"),"Sim","")</f>
        <v/>
      </c>
      <c r="AD409" s="70" t="str">
        <f>IF(AC409="sim",Sheet1!I409,"")</f>
        <v/>
      </c>
    </row>
    <row r="410" spans="1:30" ht="24.95" customHeight="1" x14ac:dyDescent="0.25">
      <c r="A410" s="9"/>
      <c r="B410" s="9"/>
      <c r="C410" s="9"/>
      <c r="D410" s="9"/>
      <c r="E410" s="9"/>
      <c r="F410" s="15" t="str">
        <f t="shared" si="12"/>
        <v/>
      </c>
      <c r="G410" s="9"/>
      <c r="AC410" s="70" t="str">
        <f>IF(AND(Sheet1!O410="SIM",Sheet1!P410="SIM"),"Sim","")</f>
        <v/>
      </c>
      <c r="AD410" s="70" t="str">
        <f>IF(AC410="sim",Sheet1!I410,"")</f>
        <v/>
      </c>
    </row>
    <row r="411" spans="1:30" ht="24.95" customHeight="1" x14ac:dyDescent="0.25">
      <c r="A411" s="9"/>
      <c r="B411" s="9"/>
      <c r="C411" s="9"/>
      <c r="D411" s="9"/>
      <c r="E411" s="9"/>
      <c r="F411" s="15" t="str">
        <f t="shared" si="12"/>
        <v/>
      </c>
      <c r="G411" s="9"/>
      <c r="AC411" s="70" t="str">
        <f>IF(AND(Sheet1!O411="SIM",Sheet1!P411="SIM"),"Sim","")</f>
        <v/>
      </c>
      <c r="AD411" s="70" t="str">
        <f>IF(AC411="sim",Sheet1!I411,"")</f>
        <v/>
      </c>
    </row>
    <row r="412" spans="1:30" ht="24.95" customHeight="1" x14ac:dyDescent="0.25">
      <c r="A412" s="9"/>
      <c r="B412" s="9"/>
      <c r="C412" s="9"/>
      <c r="D412" s="9"/>
      <c r="E412" s="9"/>
      <c r="F412" s="15" t="str">
        <f t="shared" si="12"/>
        <v/>
      </c>
      <c r="G412" s="9"/>
      <c r="AC412" s="70" t="str">
        <f>IF(AND(Sheet1!O412="SIM",Sheet1!P412="SIM"),"Sim","")</f>
        <v/>
      </c>
      <c r="AD412" s="70" t="str">
        <f>IF(AC412="sim",Sheet1!I412,"")</f>
        <v/>
      </c>
    </row>
    <row r="413" spans="1:30" ht="24.95" customHeight="1" x14ac:dyDescent="0.25">
      <c r="A413" s="9"/>
      <c r="B413" s="9"/>
      <c r="C413" s="9"/>
      <c r="D413" s="9"/>
      <c r="E413" s="9"/>
      <c r="F413" s="15" t="str">
        <f t="shared" si="12"/>
        <v/>
      </c>
      <c r="G413" s="9"/>
      <c r="AC413" s="70" t="str">
        <f>IF(AND(Sheet1!O413="SIM",Sheet1!P413="SIM"),"Sim","")</f>
        <v/>
      </c>
      <c r="AD413" s="70" t="str">
        <f>IF(AC413="sim",Sheet1!I413,"")</f>
        <v/>
      </c>
    </row>
    <row r="414" spans="1:30" ht="24.95" customHeight="1" x14ac:dyDescent="0.25">
      <c r="A414" s="9"/>
      <c r="B414" s="9"/>
      <c r="C414" s="9"/>
      <c r="D414" s="9"/>
      <c r="E414" s="9"/>
      <c r="F414" s="15" t="str">
        <f t="shared" si="12"/>
        <v/>
      </c>
      <c r="G414" s="9"/>
      <c r="AC414" s="70" t="str">
        <f>IF(AND(Sheet1!O414="SIM",Sheet1!P414="SIM"),"Sim","")</f>
        <v/>
      </c>
      <c r="AD414" s="70" t="str">
        <f>IF(AC414="sim",Sheet1!I414,"")</f>
        <v/>
      </c>
    </row>
    <row r="415" spans="1:30" ht="24.95" customHeight="1" x14ac:dyDescent="0.25">
      <c r="A415" s="9"/>
      <c r="B415" s="9"/>
      <c r="C415" s="9"/>
      <c r="D415" s="9"/>
      <c r="E415" s="9"/>
      <c r="F415" s="15" t="str">
        <f t="shared" si="12"/>
        <v/>
      </c>
      <c r="G415" s="9"/>
      <c r="AC415" s="70" t="str">
        <f>IF(AND(Sheet1!O415="SIM",Sheet1!P415="SIM"),"Sim","")</f>
        <v/>
      </c>
      <c r="AD415" s="70" t="str">
        <f>IF(AC415="sim",Sheet1!I415,"")</f>
        <v/>
      </c>
    </row>
    <row r="416" spans="1:30" ht="24.95" customHeight="1" x14ac:dyDescent="0.25">
      <c r="A416" s="9"/>
      <c r="B416" s="9"/>
      <c r="C416" s="9"/>
      <c r="D416" s="9"/>
      <c r="E416" s="9"/>
      <c r="F416" s="15" t="str">
        <f t="shared" si="12"/>
        <v/>
      </c>
      <c r="G416" s="9"/>
      <c r="AC416" s="70" t="str">
        <f>IF(AND(Sheet1!O416="SIM",Sheet1!P416="SIM"),"Sim","")</f>
        <v/>
      </c>
      <c r="AD416" s="70" t="str">
        <f>IF(AC416="sim",Sheet1!I416,"")</f>
        <v/>
      </c>
    </row>
    <row r="417" spans="1:30" ht="24.95" customHeight="1" x14ac:dyDescent="0.25">
      <c r="A417" s="9"/>
      <c r="B417" s="9"/>
      <c r="C417" s="9"/>
      <c r="D417" s="9"/>
      <c r="E417" s="9"/>
      <c r="F417" s="15" t="str">
        <f t="shared" si="12"/>
        <v/>
      </c>
      <c r="G417" s="9"/>
      <c r="AC417" s="70" t="str">
        <f>IF(AND(Sheet1!O417="SIM",Sheet1!P417="SIM"),"Sim","")</f>
        <v/>
      </c>
      <c r="AD417" s="70" t="str">
        <f>IF(AC417="sim",Sheet1!I417,"")</f>
        <v/>
      </c>
    </row>
    <row r="418" spans="1:30" ht="24.95" customHeight="1" x14ac:dyDescent="0.25">
      <c r="A418" s="9"/>
      <c r="B418" s="9"/>
      <c r="C418" s="9"/>
      <c r="D418" s="9"/>
      <c r="E418" s="9"/>
      <c r="F418" s="15" t="str">
        <f t="shared" si="12"/>
        <v/>
      </c>
      <c r="G418" s="9"/>
      <c r="AC418" s="70" t="str">
        <f>IF(AND(Sheet1!O418="SIM",Sheet1!P418="SIM"),"Sim","")</f>
        <v/>
      </c>
      <c r="AD418" s="70" t="str">
        <f>IF(AC418="sim",Sheet1!I418,"")</f>
        <v/>
      </c>
    </row>
    <row r="419" spans="1:30" ht="24.95" customHeight="1" x14ac:dyDescent="0.25">
      <c r="A419" s="9"/>
      <c r="B419" s="9"/>
      <c r="C419" s="9"/>
      <c r="D419" s="9"/>
      <c r="E419" s="9"/>
      <c r="F419" s="15" t="str">
        <f t="shared" si="12"/>
        <v/>
      </c>
      <c r="G419" s="9"/>
      <c r="AC419" s="70" t="str">
        <f>IF(AND(Sheet1!O419="SIM",Sheet1!P419="SIM"),"Sim","")</f>
        <v/>
      </c>
      <c r="AD419" s="70" t="str">
        <f>IF(AC419="sim",Sheet1!I419,"")</f>
        <v/>
      </c>
    </row>
    <row r="420" spans="1:30" ht="24.95" customHeight="1" x14ac:dyDescent="0.25">
      <c r="A420" s="9"/>
      <c r="B420" s="9"/>
      <c r="C420" s="9"/>
      <c r="D420" s="9"/>
      <c r="E420" s="9"/>
      <c r="F420" s="15" t="str">
        <f t="shared" si="12"/>
        <v/>
      </c>
      <c r="G420" s="9"/>
      <c r="AC420" s="70" t="str">
        <f>IF(AND(Sheet1!O420="SIM",Sheet1!P420="SIM"),"Sim","")</f>
        <v/>
      </c>
      <c r="AD420" s="70" t="str">
        <f>IF(AC420="sim",Sheet1!I420,"")</f>
        <v/>
      </c>
    </row>
    <row r="421" spans="1:30" ht="24.95" customHeight="1" x14ac:dyDescent="0.25">
      <c r="A421" s="9"/>
      <c r="B421" s="9"/>
      <c r="C421" s="9"/>
      <c r="D421" s="9"/>
      <c r="E421" s="9"/>
      <c r="F421" s="15" t="str">
        <f t="shared" si="12"/>
        <v/>
      </c>
      <c r="G421" s="9"/>
      <c r="AC421" s="70" t="str">
        <f>IF(AND(Sheet1!O421="SIM",Sheet1!P421="SIM"),"Sim","")</f>
        <v/>
      </c>
      <c r="AD421" s="70" t="str">
        <f>IF(AC421="sim",Sheet1!I421,"")</f>
        <v/>
      </c>
    </row>
    <row r="422" spans="1:30" ht="24.95" customHeight="1" x14ac:dyDescent="0.25">
      <c r="A422" s="9"/>
      <c r="B422" s="9"/>
      <c r="C422" s="9"/>
      <c r="D422" s="9"/>
      <c r="E422" s="9"/>
      <c r="F422" s="15" t="str">
        <f t="shared" si="12"/>
        <v/>
      </c>
      <c r="G422" s="9"/>
      <c r="AC422" s="70" t="str">
        <f>IF(AND(Sheet1!O422="SIM",Sheet1!P422="SIM"),"Sim","")</f>
        <v/>
      </c>
      <c r="AD422" s="70" t="str">
        <f>IF(AC422="sim",Sheet1!I422,"")</f>
        <v/>
      </c>
    </row>
    <row r="423" spans="1:30" ht="24.95" customHeight="1" x14ac:dyDescent="0.25">
      <c r="A423" s="9"/>
      <c r="B423" s="9"/>
      <c r="C423" s="9"/>
      <c r="D423" s="9"/>
      <c r="E423" s="9"/>
      <c r="F423" s="15" t="str">
        <f t="shared" si="12"/>
        <v/>
      </c>
      <c r="G423" s="9"/>
      <c r="AC423" s="70" t="str">
        <f>IF(AND(Sheet1!O423="SIM",Sheet1!P423="SIM"),"Sim","")</f>
        <v/>
      </c>
      <c r="AD423" s="70" t="str">
        <f>IF(AC423="sim",Sheet1!I423,"")</f>
        <v/>
      </c>
    </row>
    <row r="424" spans="1:30" ht="24.95" customHeight="1" x14ac:dyDescent="0.25">
      <c r="A424" s="9"/>
      <c r="B424" s="9"/>
      <c r="C424" s="9"/>
      <c r="D424" s="9"/>
      <c r="E424" s="9"/>
      <c r="F424" s="15" t="str">
        <f t="shared" si="12"/>
        <v/>
      </c>
      <c r="G424" s="9"/>
      <c r="AC424" s="70" t="str">
        <f>IF(AND(Sheet1!O424="SIM",Sheet1!P424="SIM"),"Sim","")</f>
        <v/>
      </c>
      <c r="AD424" s="70" t="str">
        <f>IF(AC424="sim",Sheet1!I424,"")</f>
        <v/>
      </c>
    </row>
    <row r="425" spans="1:30" ht="24.95" customHeight="1" x14ac:dyDescent="0.25">
      <c r="A425" s="9"/>
      <c r="B425" s="9"/>
      <c r="C425" s="9"/>
      <c r="D425" s="9"/>
      <c r="E425" s="9"/>
      <c r="F425" s="15" t="str">
        <f t="shared" si="12"/>
        <v/>
      </c>
      <c r="G425" s="9"/>
      <c r="AC425" s="70" t="str">
        <f>IF(AND(Sheet1!O425="SIM",Sheet1!P425="SIM"),"Sim","")</f>
        <v/>
      </c>
      <c r="AD425" s="70" t="str">
        <f>IF(AC425="sim",Sheet1!I425,"")</f>
        <v/>
      </c>
    </row>
    <row r="426" spans="1:30" ht="24.95" customHeight="1" x14ac:dyDescent="0.25">
      <c r="A426" s="9"/>
      <c r="B426" s="9"/>
      <c r="C426" s="9"/>
      <c r="D426" s="9"/>
      <c r="E426" s="9"/>
      <c r="F426" s="15" t="str">
        <f t="shared" si="12"/>
        <v/>
      </c>
      <c r="G426" s="9"/>
      <c r="AC426" s="70" t="str">
        <f>IF(AND(Sheet1!O426="SIM",Sheet1!P426="SIM"),"Sim","")</f>
        <v/>
      </c>
      <c r="AD426" s="70" t="str">
        <f>IF(AC426="sim",Sheet1!I426,"")</f>
        <v/>
      </c>
    </row>
    <row r="427" spans="1:30" ht="24.95" customHeight="1" x14ac:dyDescent="0.25">
      <c r="A427" s="9"/>
      <c r="B427" s="9"/>
      <c r="C427" s="9"/>
      <c r="D427" s="9"/>
      <c r="E427" s="9"/>
      <c r="F427" s="15" t="str">
        <f t="shared" si="12"/>
        <v/>
      </c>
      <c r="G427" s="9"/>
      <c r="AC427" s="70" t="str">
        <f>IF(AND(Sheet1!O427="SIM",Sheet1!P427="SIM"),"Sim","")</f>
        <v/>
      </c>
      <c r="AD427" s="70" t="str">
        <f>IF(AC427="sim",Sheet1!I427,"")</f>
        <v/>
      </c>
    </row>
    <row r="428" spans="1:30" ht="24.95" customHeight="1" x14ac:dyDescent="0.25">
      <c r="A428" s="9"/>
      <c r="B428" s="9"/>
      <c r="C428" s="9"/>
      <c r="D428" s="9"/>
      <c r="E428" s="9"/>
      <c r="F428" s="15" t="str">
        <f t="shared" si="12"/>
        <v/>
      </c>
      <c r="G428" s="9"/>
      <c r="AC428" s="70" t="str">
        <f>IF(AND(Sheet1!O428="SIM",Sheet1!P428="SIM"),"Sim","")</f>
        <v/>
      </c>
      <c r="AD428" s="70" t="str">
        <f>IF(AC428="sim",Sheet1!I428,"")</f>
        <v/>
      </c>
    </row>
    <row r="429" spans="1:30" ht="24.95" customHeight="1" x14ac:dyDescent="0.25">
      <c r="A429" s="9"/>
      <c r="B429" s="9"/>
      <c r="C429" s="9"/>
      <c r="D429" s="9"/>
      <c r="E429" s="9"/>
      <c r="F429" s="15" t="str">
        <f t="shared" si="12"/>
        <v/>
      </c>
      <c r="G429" s="9"/>
      <c r="AC429" s="70" t="str">
        <f>IF(AND(Sheet1!O429="SIM",Sheet1!P429="SIM"),"Sim","")</f>
        <v/>
      </c>
      <c r="AD429" s="70" t="str">
        <f>IF(AC429="sim",Sheet1!I429,"")</f>
        <v/>
      </c>
    </row>
    <row r="430" spans="1:30" ht="24.95" customHeight="1" x14ac:dyDescent="0.25">
      <c r="A430" s="9"/>
      <c r="B430" s="9"/>
      <c r="C430" s="9"/>
      <c r="D430" s="9"/>
      <c r="E430" s="9"/>
      <c r="F430" s="15" t="str">
        <f t="shared" si="12"/>
        <v/>
      </c>
      <c r="G430" s="9"/>
      <c r="AC430" s="70" t="str">
        <f>IF(AND(Sheet1!O430="SIM",Sheet1!P430="SIM"),"Sim","")</f>
        <v/>
      </c>
      <c r="AD430" s="70" t="str">
        <f>IF(AC430="sim",Sheet1!I430,"")</f>
        <v/>
      </c>
    </row>
    <row r="431" spans="1:30" ht="24.95" customHeight="1" x14ac:dyDescent="0.25">
      <c r="A431" s="9"/>
      <c r="B431" s="9"/>
      <c r="C431" s="9"/>
      <c r="D431" s="9"/>
      <c r="E431" s="9"/>
      <c r="F431" s="15" t="str">
        <f t="shared" si="12"/>
        <v/>
      </c>
      <c r="G431" s="9"/>
      <c r="AC431" s="70" t="str">
        <f>IF(AND(Sheet1!O431="SIM",Sheet1!P431="SIM"),"Sim","")</f>
        <v/>
      </c>
      <c r="AD431" s="70" t="str">
        <f>IF(AC431="sim",Sheet1!I431,"")</f>
        <v/>
      </c>
    </row>
    <row r="432" spans="1:30" ht="24.95" customHeight="1" x14ac:dyDescent="0.25">
      <c r="A432" s="9"/>
      <c r="B432" s="9"/>
      <c r="C432" s="9"/>
      <c r="D432" s="9"/>
      <c r="E432" s="9"/>
      <c r="F432" s="15" t="str">
        <f t="shared" si="12"/>
        <v/>
      </c>
      <c r="G432" s="9"/>
      <c r="AC432" s="70" t="str">
        <f>IF(AND(Sheet1!O432="SIM",Sheet1!P432="SIM"),"Sim","")</f>
        <v/>
      </c>
      <c r="AD432" s="70" t="str">
        <f>IF(AC432="sim",Sheet1!I432,"")</f>
        <v/>
      </c>
    </row>
    <row r="433" spans="1:30" ht="24.95" customHeight="1" x14ac:dyDescent="0.25">
      <c r="A433" s="9"/>
      <c r="B433" s="9"/>
      <c r="C433" s="9"/>
      <c r="D433" s="9"/>
      <c r="E433" s="9"/>
      <c r="F433" s="15" t="str">
        <f t="shared" si="12"/>
        <v/>
      </c>
      <c r="G433" s="9"/>
      <c r="AC433" s="70" t="str">
        <f>IF(AND(Sheet1!O433="SIM",Sheet1!P433="SIM"),"Sim","")</f>
        <v/>
      </c>
      <c r="AD433" s="70" t="str">
        <f>IF(AC433="sim",Sheet1!I433,"")</f>
        <v/>
      </c>
    </row>
    <row r="434" spans="1:30" ht="24.95" customHeight="1" x14ac:dyDescent="0.25">
      <c r="A434" s="9"/>
      <c r="B434" s="9"/>
      <c r="C434" s="9"/>
      <c r="D434" s="9"/>
      <c r="E434" s="9"/>
      <c r="F434" s="15" t="str">
        <f t="shared" si="12"/>
        <v/>
      </c>
      <c r="G434" s="9"/>
      <c r="AC434" s="70" t="str">
        <f>IF(AND(Sheet1!O434="SIM",Sheet1!P434="SIM"),"Sim","")</f>
        <v/>
      </c>
      <c r="AD434" s="70" t="str">
        <f>IF(AC434="sim",Sheet1!I434,"")</f>
        <v/>
      </c>
    </row>
    <row r="435" spans="1:30" ht="24.95" customHeight="1" x14ac:dyDescent="0.25">
      <c r="A435" s="9"/>
      <c r="B435" s="9"/>
      <c r="C435" s="9"/>
      <c r="D435" s="9"/>
      <c r="E435" s="9"/>
      <c r="F435" s="15" t="str">
        <f t="shared" si="12"/>
        <v/>
      </c>
      <c r="G435" s="9"/>
      <c r="AC435" s="70" t="str">
        <f>IF(AND(Sheet1!O435="SIM",Sheet1!P435="SIM"),"Sim","")</f>
        <v/>
      </c>
      <c r="AD435" s="70" t="str">
        <f>IF(AC435="sim",Sheet1!I435,"")</f>
        <v/>
      </c>
    </row>
    <row r="436" spans="1:30" ht="24.95" customHeight="1" x14ac:dyDescent="0.25">
      <c r="A436" s="9"/>
      <c r="B436" s="9"/>
      <c r="C436" s="9"/>
      <c r="D436" s="9"/>
      <c r="E436" s="9"/>
      <c r="F436" s="15" t="str">
        <f t="shared" si="12"/>
        <v/>
      </c>
      <c r="G436" s="9"/>
      <c r="AC436" s="70" t="str">
        <f>IF(AND(Sheet1!O436="SIM",Sheet1!P436="SIM"),"Sim","")</f>
        <v/>
      </c>
      <c r="AD436" s="70" t="str">
        <f>IF(AC436="sim",Sheet1!I436,"")</f>
        <v/>
      </c>
    </row>
    <row r="437" spans="1:30" ht="24.95" customHeight="1" x14ac:dyDescent="0.25">
      <c r="A437" s="9"/>
      <c r="B437" s="9"/>
      <c r="C437" s="9"/>
      <c r="D437" s="9"/>
      <c r="E437" s="9"/>
      <c r="F437" s="15" t="str">
        <f t="shared" si="12"/>
        <v/>
      </c>
      <c r="G437" s="9"/>
      <c r="AC437" s="70" t="str">
        <f>IF(AND(Sheet1!O437="SIM",Sheet1!P437="SIM"),"Sim","")</f>
        <v/>
      </c>
      <c r="AD437" s="70" t="str">
        <f>IF(AC437="sim",Sheet1!I437,"")</f>
        <v/>
      </c>
    </row>
    <row r="438" spans="1:30" ht="24.95" customHeight="1" x14ac:dyDescent="0.25">
      <c r="A438" s="9"/>
      <c r="B438" s="9"/>
      <c r="C438" s="9"/>
      <c r="D438" s="9"/>
      <c r="E438" s="9"/>
      <c r="F438" s="15" t="str">
        <f t="shared" si="12"/>
        <v/>
      </c>
      <c r="G438" s="9"/>
      <c r="AC438" s="70" t="str">
        <f>IF(AND(Sheet1!O438="SIM",Sheet1!P438="SIM"),"Sim","")</f>
        <v/>
      </c>
      <c r="AD438" s="70" t="str">
        <f>IF(AC438="sim",Sheet1!I438,"")</f>
        <v/>
      </c>
    </row>
    <row r="439" spans="1:30" ht="24.95" customHeight="1" x14ac:dyDescent="0.25">
      <c r="A439" s="9"/>
      <c r="B439" s="9"/>
      <c r="C439" s="9"/>
      <c r="D439" s="9"/>
      <c r="E439" s="9"/>
      <c r="F439" s="15" t="str">
        <f t="shared" si="12"/>
        <v/>
      </c>
      <c r="G439" s="9"/>
      <c r="AC439" s="70" t="str">
        <f>IF(AND(Sheet1!O439="SIM",Sheet1!P439="SIM"),"Sim","")</f>
        <v/>
      </c>
      <c r="AD439" s="70" t="str">
        <f>IF(AC439="sim",Sheet1!I439,"")</f>
        <v/>
      </c>
    </row>
    <row r="440" spans="1:30" ht="24.95" customHeight="1" x14ac:dyDescent="0.25">
      <c r="A440" s="9"/>
      <c r="B440" s="9"/>
      <c r="C440" s="9"/>
      <c r="D440" s="9"/>
      <c r="E440" s="9"/>
      <c r="F440" s="15" t="str">
        <f t="shared" si="12"/>
        <v/>
      </c>
      <c r="G440" s="9"/>
      <c r="AC440" s="70" t="str">
        <f>IF(AND(Sheet1!O440="SIM",Sheet1!P440="SIM"),"Sim","")</f>
        <v/>
      </c>
      <c r="AD440" s="70" t="str">
        <f>IF(AC440="sim",Sheet1!I440,"")</f>
        <v/>
      </c>
    </row>
    <row r="441" spans="1:30" ht="24.95" customHeight="1" x14ac:dyDescent="0.25">
      <c r="A441" s="9"/>
      <c r="B441" s="9"/>
      <c r="C441" s="9"/>
      <c r="D441" s="9"/>
      <c r="E441" s="9"/>
      <c r="F441" s="15" t="str">
        <f t="shared" si="12"/>
        <v/>
      </c>
      <c r="G441" s="9"/>
      <c r="AC441" s="70" t="str">
        <f>IF(AND(Sheet1!O441="SIM",Sheet1!P441="SIM"),"Sim","")</f>
        <v/>
      </c>
      <c r="AD441" s="70" t="str">
        <f>IF(AC441="sim",Sheet1!I441,"")</f>
        <v/>
      </c>
    </row>
    <row r="442" spans="1:30" ht="24.95" customHeight="1" x14ac:dyDescent="0.25">
      <c r="A442" s="9"/>
      <c r="B442" s="9"/>
      <c r="C442" s="9"/>
      <c r="D442" s="9"/>
      <c r="E442" s="9"/>
      <c r="F442" s="15" t="str">
        <f t="shared" si="12"/>
        <v/>
      </c>
      <c r="G442" s="9"/>
      <c r="AC442" s="70" t="str">
        <f>IF(AND(Sheet1!O442="SIM",Sheet1!P442="SIM"),"Sim","")</f>
        <v/>
      </c>
      <c r="AD442" s="70" t="str">
        <f>IF(AC442="sim",Sheet1!I442,"")</f>
        <v/>
      </c>
    </row>
    <row r="443" spans="1:30" ht="24.95" customHeight="1" x14ac:dyDescent="0.25">
      <c r="A443" s="9"/>
      <c r="B443" s="9"/>
      <c r="C443" s="9"/>
      <c r="D443" s="9"/>
      <c r="E443" s="9"/>
      <c r="F443" s="15" t="str">
        <f t="shared" si="12"/>
        <v/>
      </c>
      <c r="G443" s="9"/>
      <c r="AC443" s="70" t="str">
        <f>IF(AND(Sheet1!O443="SIM",Sheet1!P443="SIM"),"Sim","")</f>
        <v/>
      </c>
      <c r="AD443" s="70" t="str">
        <f>IF(AC443="sim",Sheet1!I443,"")</f>
        <v/>
      </c>
    </row>
    <row r="444" spans="1:30" ht="24.95" customHeight="1" x14ac:dyDescent="0.25">
      <c r="A444" s="9"/>
      <c r="B444" s="9"/>
      <c r="C444" s="9"/>
      <c r="D444" s="9"/>
      <c r="E444" s="9"/>
      <c r="F444" s="15" t="str">
        <f t="shared" si="12"/>
        <v/>
      </c>
      <c r="G444" s="9"/>
      <c r="AC444" s="70" t="str">
        <f>IF(AND(Sheet1!O444="SIM",Sheet1!P444="SIM"),"Sim","")</f>
        <v/>
      </c>
      <c r="AD444" s="70" t="str">
        <f>IF(AC444="sim",Sheet1!I444,"")</f>
        <v/>
      </c>
    </row>
    <row r="445" spans="1:30" ht="24.95" customHeight="1" x14ac:dyDescent="0.25">
      <c r="A445" s="9"/>
      <c r="B445" s="9"/>
      <c r="C445" s="9"/>
      <c r="D445" s="9"/>
      <c r="E445" s="9"/>
      <c r="F445" s="15" t="str">
        <f t="shared" si="12"/>
        <v/>
      </c>
      <c r="G445" s="9"/>
      <c r="AC445" s="70" t="str">
        <f>IF(AND(Sheet1!O445="SIM",Sheet1!P445="SIM"),"Sim","")</f>
        <v/>
      </c>
      <c r="AD445" s="70" t="str">
        <f>IF(AC445="sim",Sheet1!I445,"")</f>
        <v/>
      </c>
    </row>
    <row r="446" spans="1:30" ht="24.95" customHeight="1" x14ac:dyDescent="0.25">
      <c r="A446" s="9"/>
      <c r="B446" s="9"/>
      <c r="C446" s="9"/>
      <c r="D446" s="9"/>
      <c r="E446" s="9"/>
      <c r="F446" s="15" t="str">
        <f t="shared" si="12"/>
        <v/>
      </c>
      <c r="G446" s="9"/>
      <c r="AC446" s="70" t="str">
        <f>IF(AND(Sheet1!O446="SIM",Sheet1!P446="SIM"),"Sim","")</f>
        <v/>
      </c>
      <c r="AD446" s="70" t="str">
        <f>IF(AC446="sim",Sheet1!I446,"")</f>
        <v/>
      </c>
    </row>
    <row r="447" spans="1:30" ht="24.95" customHeight="1" x14ac:dyDescent="0.25">
      <c r="A447" s="9"/>
      <c r="B447" s="9"/>
      <c r="C447" s="9"/>
      <c r="D447" s="9"/>
      <c r="E447" s="9"/>
      <c r="F447" s="15" t="str">
        <f t="shared" si="12"/>
        <v/>
      </c>
      <c r="G447" s="9"/>
      <c r="AC447" s="70" t="str">
        <f>IF(AND(Sheet1!O447="SIM",Sheet1!P447="SIM"),"Sim","")</f>
        <v/>
      </c>
      <c r="AD447" s="70" t="str">
        <f>IF(AC447="sim",Sheet1!I447,"")</f>
        <v/>
      </c>
    </row>
    <row r="448" spans="1:30" ht="24.95" customHeight="1" x14ac:dyDescent="0.25">
      <c r="A448" s="9"/>
      <c r="B448" s="9"/>
      <c r="C448" s="9"/>
      <c r="D448" s="9"/>
      <c r="E448" s="9"/>
      <c r="F448" s="15" t="str">
        <f t="shared" si="12"/>
        <v/>
      </c>
      <c r="G448" s="9"/>
      <c r="AC448" s="70" t="str">
        <f>IF(AND(Sheet1!O448="SIM",Sheet1!P448="SIM"),"Sim","")</f>
        <v/>
      </c>
      <c r="AD448" s="70" t="str">
        <f>IF(AC448="sim",Sheet1!I448,"")</f>
        <v/>
      </c>
    </row>
    <row r="449" spans="1:30" ht="24.95" customHeight="1" x14ac:dyDescent="0.25">
      <c r="A449" s="9"/>
      <c r="B449" s="9"/>
      <c r="C449" s="9"/>
      <c r="D449" s="9"/>
      <c r="E449" s="9"/>
      <c r="F449" s="15" t="str">
        <f t="shared" si="12"/>
        <v/>
      </c>
      <c r="G449" s="9"/>
      <c r="AC449" s="70" t="str">
        <f>IF(AND(Sheet1!O449="SIM",Sheet1!P449="SIM"),"Sim","")</f>
        <v/>
      </c>
      <c r="AD449" s="70" t="str">
        <f>IF(AC449="sim",Sheet1!I449,"")</f>
        <v/>
      </c>
    </row>
    <row r="450" spans="1:30" ht="24.95" customHeight="1" x14ac:dyDescent="0.25">
      <c r="A450" s="9"/>
      <c r="B450" s="9"/>
      <c r="C450" s="9"/>
      <c r="D450" s="9"/>
      <c r="E450" s="9"/>
      <c r="F450" s="15" t="str">
        <f t="shared" si="12"/>
        <v/>
      </c>
      <c r="G450" s="9"/>
      <c r="AC450" s="70" t="str">
        <f>IF(AND(Sheet1!O450="SIM",Sheet1!P450="SIM"),"Sim","")</f>
        <v/>
      </c>
      <c r="AD450" s="70" t="str">
        <f>IF(AC450="sim",Sheet1!I450,"")</f>
        <v/>
      </c>
    </row>
    <row r="451" spans="1:30" ht="24.95" customHeight="1" x14ac:dyDescent="0.25">
      <c r="A451" s="9"/>
      <c r="B451" s="9"/>
      <c r="C451" s="9"/>
      <c r="D451" s="9"/>
      <c r="E451" s="9"/>
      <c r="F451" s="15" t="str">
        <f t="shared" ref="F451:F501" si="13">IFERROR(IF(AND(D451="Não",E451="Sim"),"REP",
IF(AND(D451="Sim",E451="Não"),"Técnico",
IF(AND(D451="Sim",E451="Sim"),"Ambos",""))),"")</f>
        <v/>
      </c>
      <c r="G451" s="9"/>
      <c r="AC451" s="70" t="str">
        <f>IF(AND(Sheet1!O451="SIM",Sheet1!P451="SIM"),"Sim","")</f>
        <v/>
      </c>
      <c r="AD451" s="70" t="str">
        <f>IF(AC451="sim",Sheet1!I451,"")</f>
        <v/>
      </c>
    </row>
    <row r="452" spans="1:30" ht="24.95" customHeight="1" x14ac:dyDescent="0.25">
      <c r="A452" s="9"/>
      <c r="B452" s="9"/>
      <c r="C452" s="9"/>
      <c r="D452" s="9"/>
      <c r="E452" s="9"/>
      <c r="F452" s="15" t="str">
        <f t="shared" si="13"/>
        <v/>
      </c>
      <c r="G452" s="9"/>
      <c r="AC452" s="70" t="str">
        <f>IF(AND(Sheet1!O452="SIM",Sheet1!P452="SIM"),"Sim","")</f>
        <v/>
      </c>
      <c r="AD452" s="70" t="str">
        <f>IF(AC452="sim",Sheet1!I452,"")</f>
        <v/>
      </c>
    </row>
    <row r="453" spans="1:30" ht="24.95" customHeight="1" x14ac:dyDescent="0.25">
      <c r="A453" s="9"/>
      <c r="B453" s="9"/>
      <c r="C453" s="9"/>
      <c r="D453" s="9"/>
      <c r="E453" s="9"/>
      <c r="F453" s="15" t="str">
        <f t="shared" si="13"/>
        <v/>
      </c>
      <c r="G453" s="9"/>
      <c r="AC453" s="70" t="str">
        <f>IF(AND(Sheet1!O453="SIM",Sheet1!P453="SIM"),"Sim","")</f>
        <v/>
      </c>
      <c r="AD453" s="70" t="str">
        <f>IF(AC453="sim",Sheet1!I453,"")</f>
        <v/>
      </c>
    </row>
    <row r="454" spans="1:30" ht="24.95" customHeight="1" x14ac:dyDescent="0.25">
      <c r="A454" s="9"/>
      <c r="B454" s="9"/>
      <c r="C454" s="9"/>
      <c r="D454" s="9"/>
      <c r="E454" s="9"/>
      <c r="F454" s="15" t="str">
        <f t="shared" si="13"/>
        <v/>
      </c>
      <c r="G454" s="9"/>
      <c r="AC454" s="70" t="str">
        <f>IF(AND(Sheet1!O454="SIM",Sheet1!P454="SIM"),"Sim","")</f>
        <v/>
      </c>
      <c r="AD454" s="70" t="str">
        <f>IF(AC454="sim",Sheet1!I454,"")</f>
        <v/>
      </c>
    </row>
    <row r="455" spans="1:30" ht="24.95" customHeight="1" x14ac:dyDescent="0.25">
      <c r="A455" s="9"/>
      <c r="B455" s="9"/>
      <c r="C455" s="9"/>
      <c r="D455" s="9"/>
      <c r="E455" s="9"/>
      <c r="F455" s="15" t="str">
        <f t="shared" si="13"/>
        <v/>
      </c>
      <c r="G455" s="9"/>
      <c r="AC455" s="70" t="str">
        <f>IF(AND(Sheet1!O455="SIM",Sheet1!P455="SIM"),"Sim","")</f>
        <v/>
      </c>
      <c r="AD455" s="70" t="str">
        <f>IF(AC455="sim",Sheet1!I455,"")</f>
        <v/>
      </c>
    </row>
    <row r="456" spans="1:30" ht="24.95" customHeight="1" x14ac:dyDescent="0.25">
      <c r="A456" s="9"/>
      <c r="B456" s="9"/>
      <c r="C456" s="9"/>
      <c r="D456" s="9"/>
      <c r="E456" s="9"/>
      <c r="F456" s="15" t="str">
        <f t="shared" si="13"/>
        <v/>
      </c>
      <c r="G456" s="9"/>
      <c r="AC456" s="70" t="str">
        <f>IF(AND(Sheet1!O456="SIM",Sheet1!P456="SIM"),"Sim","")</f>
        <v/>
      </c>
      <c r="AD456" s="70" t="str">
        <f>IF(AC456="sim",Sheet1!I456,"")</f>
        <v/>
      </c>
    </row>
    <row r="457" spans="1:30" ht="24.95" customHeight="1" x14ac:dyDescent="0.25">
      <c r="A457" s="9"/>
      <c r="B457" s="9"/>
      <c r="C457" s="9"/>
      <c r="D457" s="9"/>
      <c r="E457" s="9"/>
      <c r="F457" s="15" t="str">
        <f t="shared" si="13"/>
        <v/>
      </c>
      <c r="G457" s="9"/>
      <c r="AC457" s="70" t="str">
        <f>IF(AND(Sheet1!O457="SIM",Sheet1!P457="SIM"),"Sim","")</f>
        <v/>
      </c>
      <c r="AD457" s="70" t="str">
        <f>IF(AC457="sim",Sheet1!I457,"")</f>
        <v/>
      </c>
    </row>
    <row r="458" spans="1:30" ht="24.95" customHeight="1" x14ac:dyDescent="0.25">
      <c r="A458" s="9"/>
      <c r="B458" s="9"/>
      <c r="C458" s="9"/>
      <c r="D458" s="9"/>
      <c r="E458" s="9"/>
      <c r="F458" s="15" t="str">
        <f t="shared" si="13"/>
        <v/>
      </c>
      <c r="G458" s="9"/>
      <c r="AC458" s="70" t="str">
        <f>IF(AND(Sheet1!O458="SIM",Sheet1!P458="SIM"),"Sim","")</f>
        <v/>
      </c>
      <c r="AD458" s="70" t="str">
        <f>IF(AC458="sim",Sheet1!I458,"")</f>
        <v/>
      </c>
    </row>
    <row r="459" spans="1:30" ht="24.95" customHeight="1" x14ac:dyDescent="0.25">
      <c r="A459" s="9"/>
      <c r="B459" s="9"/>
      <c r="C459" s="9"/>
      <c r="D459" s="9"/>
      <c r="E459" s="9"/>
      <c r="F459" s="15" t="str">
        <f t="shared" si="13"/>
        <v/>
      </c>
      <c r="G459" s="9"/>
      <c r="AC459" s="70" t="str">
        <f>IF(AND(Sheet1!O459="SIM",Sheet1!P459="SIM"),"Sim","")</f>
        <v/>
      </c>
      <c r="AD459" s="70" t="str">
        <f>IF(AC459="sim",Sheet1!I459,"")</f>
        <v/>
      </c>
    </row>
    <row r="460" spans="1:30" ht="24.95" customHeight="1" x14ac:dyDescent="0.25">
      <c r="A460" s="9"/>
      <c r="B460" s="9"/>
      <c r="C460" s="9"/>
      <c r="D460" s="9"/>
      <c r="E460" s="9"/>
      <c r="F460" s="15" t="str">
        <f t="shared" si="13"/>
        <v/>
      </c>
      <c r="G460" s="9"/>
      <c r="AC460" s="70" t="str">
        <f>IF(AND(Sheet1!O460="SIM",Sheet1!P460="SIM"),"Sim","")</f>
        <v/>
      </c>
      <c r="AD460" s="70" t="str">
        <f>IF(AC460="sim",Sheet1!I460,"")</f>
        <v/>
      </c>
    </row>
    <row r="461" spans="1:30" ht="24.95" customHeight="1" x14ac:dyDescent="0.25">
      <c r="A461" s="9"/>
      <c r="B461" s="9"/>
      <c r="C461" s="9"/>
      <c r="D461" s="9"/>
      <c r="E461" s="9"/>
      <c r="F461" s="15" t="str">
        <f t="shared" si="13"/>
        <v/>
      </c>
      <c r="G461" s="9"/>
      <c r="AC461" s="70" t="str">
        <f>IF(AND(Sheet1!O461="SIM",Sheet1!P461="SIM"),"Sim","")</f>
        <v/>
      </c>
      <c r="AD461" s="70" t="str">
        <f>IF(AC461="sim",Sheet1!I461,"")</f>
        <v/>
      </c>
    </row>
    <row r="462" spans="1:30" ht="24.95" customHeight="1" x14ac:dyDescent="0.25">
      <c r="A462" s="9"/>
      <c r="B462" s="9"/>
      <c r="C462" s="9"/>
      <c r="D462" s="9"/>
      <c r="E462" s="9"/>
      <c r="F462" s="15" t="str">
        <f t="shared" si="13"/>
        <v/>
      </c>
      <c r="G462" s="9"/>
      <c r="AC462" s="70" t="str">
        <f>IF(AND(Sheet1!O462="SIM",Sheet1!P462="SIM"),"Sim","")</f>
        <v/>
      </c>
      <c r="AD462" s="70" t="str">
        <f>IF(AC462="sim",Sheet1!I462,"")</f>
        <v/>
      </c>
    </row>
    <row r="463" spans="1:30" ht="24.95" customHeight="1" x14ac:dyDescent="0.25">
      <c r="A463" s="9"/>
      <c r="B463" s="9"/>
      <c r="C463" s="9"/>
      <c r="D463" s="9"/>
      <c r="E463" s="9"/>
      <c r="F463" s="15" t="str">
        <f t="shared" si="13"/>
        <v/>
      </c>
      <c r="G463" s="9"/>
      <c r="AC463" s="70" t="str">
        <f>IF(AND(Sheet1!O463="SIM",Sheet1!P463="SIM"),"Sim","")</f>
        <v/>
      </c>
      <c r="AD463" s="70" t="str">
        <f>IF(AC463="sim",Sheet1!I463,"")</f>
        <v/>
      </c>
    </row>
    <row r="464" spans="1:30" ht="24.95" customHeight="1" x14ac:dyDescent="0.25">
      <c r="A464" s="9"/>
      <c r="B464" s="9"/>
      <c r="C464" s="9"/>
      <c r="D464" s="9"/>
      <c r="E464" s="9"/>
      <c r="F464" s="15" t="str">
        <f t="shared" si="13"/>
        <v/>
      </c>
      <c r="G464" s="9"/>
      <c r="AC464" s="70" t="str">
        <f>IF(AND(Sheet1!O464="SIM",Sheet1!P464="SIM"),"Sim","")</f>
        <v/>
      </c>
      <c r="AD464" s="70" t="str">
        <f>IF(AC464="sim",Sheet1!I464,"")</f>
        <v/>
      </c>
    </row>
    <row r="465" spans="1:30" ht="24.95" customHeight="1" x14ac:dyDescent="0.25">
      <c r="A465" s="9"/>
      <c r="B465" s="9"/>
      <c r="C465" s="9"/>
      <c r="D465" s="9"/>
      <c r="E465" s="9"/>
      <c r="F465" s="15" t="str">
        <f t="shared" si="13"/>
        <v/>
      </c>
      <c r="G465" s="9"/>
      <c r="AC465" s="70" t="str">
        <f>IF(AND(Sheet1!O465="SIM",Sheet1!P465="SIM"),"Sim","")</f>
        <v/>
      </c>
      <c r="AD465" s="70" t="str">
        <f>IF(AC465="sim",Sheet1!I465,"")</f>
        <v/>
      </c>
    </row>
    <row r="466" spans="1:30" ht="24.95" customHeight="1" x14ac:dyDescent="0.25">
      <c r="A466" s="9"/>
      <c r="B466" s="9"/>
      <c r="C466" s="9"/>
      <c r="D466" s="9"/>
      <c r="E466" s="9"/>
      <c r="F466" s="15" t="str">
        <f t="shared" si="13"/>
        <v/>
      </c>
      <c r="G466" s="9"/>
      <c r="AC466" s="70" t="str">
        <f>IF(AND(Sheet1!O466="SIM",Sheet1!P466="SIM"),"Sim","")</f>
        <v/>
      </c>
      <c r="AD466" s="70" t="str">
        <f>IF(AC466="sim",Sheet1!I466,"")</f>
        <v/>
      </c>
    </row>
    <row r="467" spans="1:30" ht="24.95" customHeight="1" x14ac:dyDescent="0.25">
      <c r="A467" s="9"/>
      <c r="B467" s="9"/>
      <c r="C467" s="9"/>
      <c r="D467" s="9"/>
      <c r="E467" s="9"/>
      <c r="F467" s="15" t="str">
        <f t="shared" si="13"/>
        <v/>
      </c>
      <c r="G467" s="9"/>
      <c r="AC467" s="70" t="str">
        <f>IF(AND(Sheet1!O467="SIM",Sheet1!P467="SIM"),"Sim","")</f>
        <v/>
      </c>
      <c r="AD467" s="70" t="str">
        <f>IF(AC467="sim",Sheet1!I467,"")</f>
        <v/>
      </c>
    </row>
    <row r="468" spans="1:30" ht="24.95" customHeight="1" x14ac:dyDescent="0.25">
      <c r="A468" s="9"/>
      <c r="B468" s="9"/>
      <c r="C468" s="9"/>
      <c r="D468" s="9"/>
      <c r="E468" s="9"/>
      <c r="F468" s="15" t="str">
        <f t="shared" si="13"/>
        <v/>
      </c>
      <c r="G468" s="9"/>
      <c r="AC468" s="70" t="str">
        <f>IF(AND(Sheet1!O468="SIM",Sheet1!P468="SIM"),"Sim","")</f>
        <v/>
      </c>
      <c r="AD468" s="70" t="str">
        <f>IF(AC468="sim",Sheet1!I468,"")</f>
        <v/>
      </c>
    </row>
    <row r="469" spans="1:30" ht="24.95" customHeight="1" x14ac:dyDescent="0.25">
      <c r="A469" s="9"/>
      <c r="B469" s="9"/>
      <c r="C469" s="9"/>
      <c r="D469" s="9"/>
      <c r="E469" s="9"/>
      <c r="F469" s="15" t="str">
        <f t="shared" si="13"/>
        <v/>
      </c>
      <c r="G469" s="9"/>
      <c r="AC469" s="70" t="str">
        <f>IF(AND(Sheet1!O469="SIM",Sheet1!P469="SIM"),"Sim","")</f>
        <v/>
      </c>
      <c r="AD469" s="70" t="str">
        <f>IF(AC469="sim",Sheet1!I469,"")</f>
        <v/>
      </c>
    </row>
    <row r="470" spans="1:30" ht="24.95" customHeight="1" x14ac:dyDescent="0.25">
      <c r="A470" s="9"/>
      <c r="B470" s="9"/>
      <c r="C470" s="9"/>
      <c r="D470" s="9"/>
      <c r="E470" s="9"/>
      <c r="F470" s="15" t="str">
        <f t="shared" si="13"/>
        <v/>
      </c>
      <c r="G470" s="9"/>
      <c r="AC470" s="70" t="str">
        <f>IF(AND(Sheet1!O470="SIM",Sheet1!P470="SIM"),"Sim","")</f>
        <v/>
      </c>
      <c r="AD470" s="70" t="str">
        <f>IF(AC470="sim",Sheet1!I470,"")</f>
        <v/>
      </c>
    </row>
    <row r="471" spans="1:30" ht="24.95" customHeight="1" x14ac:dyDescent="0.25">
      <c r="A471" s="9"/>
      <c r="B471" s="9"/>
      <c r="C471" s="9"/>
      <c r="D471" s="9"/>
      <c r="E471" s="9"/>
      <c r="F471" s="15" t="str">
        <f t="shared" si="13"/>
        <v/>
      </c>
      <c r="G471" s="9"/>
      <c r="AC471" s="70" t="str">
        <f>IF(AND(Sheet1!O471="SIM",Sheet1!P471="SIM"),"Sim","")</f>
        <v/>
      </c>
      <c r="AD471" s="70" t="str">
        <f>IF(AC471="sim",Sheet1!I471,"")</f>
        <v/>
      </c>
    </row>
    <row r="472" spans="1:30" ht="24.95" customHeight="1" x14ac:dyDescent="0.25">
      <c r="A472" s="9"/>
      <c r="B472" s="9"/>
      <c r="C472" s="9"/>
      <c r="D472" s="9"/>
      <c r="E472" s="9"/>
      <c r="F472" s="15" t="str">
        <f t="shared" si="13"/>
        <v/>
      </c>
      <c r="G472" s="9"/>
      <c r="AC472" s="70" t="str">
        <f>IF(AND(Sheet1!O472="SIM",Sheet1!P472="SIM"),"Sim","")</f>
        <v/>
      </c>
      <c r="AD472" s="70" t="str">
        <f>IF(AC472="sim",Sheet1!I472,"")</f>
        <v/>
      </c>
    </row>
    <row r="473" spans="1:30" ht="24.95" customHeight="1" x14ac:dyDescent="0.25">
      <c r="A473" s="9"/>
      <c r="B473" s="9"/>
      <c r="C473" s="9"/>
      <c r="D473" s="9"/>
      <c r="E473" s="9"/>
      <c r="F473" s="15" t="str">
        <f t="shared" si="13"/>
        <v/>
      </c>
      <c r="G473" s="9"/>
      <c r="AC473" s="70" t="str">
        <f>IF(AND(Sheet1!O473="SIM",Sheet1!P473="SIM"),"Sim","")</f>
        <v/>
      </c>
      <c r="AD473" s="70" t="str">
        <f>IF(AC473="sim",Sheet1!I473,"")</f>
        <v/>
      </c>
    </row>
    <row r="474" spans="1:30" ht="24.95" customHeight="1" x14ac:dyDescent="0.25">
      <c r="A474" s="9"/>
      <c r="B474" s="9"/>
      <c r="C474" s="9"/>
      <c r="D474" s="9"/>
      <c r="E474" s="9"/>
      <c r="F474" s="15" t="str">
        <f t="shared" si="13"/>
        <v/>
      </c>
      <c r="G474" s="9"/>
      <c r="AC474" s="70" t="str">
        <f>IF(AND(Sheet1!O474="SIM",Sheet1!P474="SIM"),"Sim","")</f>
        <v/>
      </c>
      <c r="AD474" s="70" t="str">
        <f>IF(AC474="sim",Sheet1!I474,"")</f>
        <v/>
      </c>
    </row>
    <row r="475" spans="1:30" ht="24.95" customHeight="1" x14ac:dyDescent="0.25">
      <c r="A475" s="9"/>
      <c r="B475" s="9"/>
      <c r="C475" s="9"/>
      <c r="D475" s="9"/>
      <c r="E475" s="9"/>
      <c r="F475" s="15" t="str">
        <f t="shared" si="13"/>
        <v/>
      </c>
      <c r="G475" s="9"/>
      <c r="AC475" s="70" t="str">
        <f>IF(AND(Sheet1!O475="SIM",Sheet1!P475="SIM"),"Sim","")</f>
        <v/>
      </c>
      <c r="AD475" s="70" t="str">
        <f>IF(AC475="sim",Sheet1!I475,"")</f>
        <v/>
      </c>
    </row>
    <row r="476" spans="1:30" ht="24.95" customHeight="1" x14ac:dyDescent="0.25">
      <c r="A476" s="9"/>
      <c r="B476" s="9"/>
      <c r="C476" s="9"/>
      <c r="D476" s="9"/>
      <c r="E476" s="9"/>
      <c r="F476" s="15" t="str">
        <f t="shared" si="13"/>
        <v/>
      </c>
      <c r="G476" s="9"/>
      <c r="AC476" s="70" t="str">
        <f>IF(AND(Sheet1!O476="SIM",Sheet1!P476="SIM"),"Sim","")</f>
        <v/>
      </c>
      <c r="AD476" s="70" t="str">
        <f>IF(AC476="sim",Sheet1!I476,"")</f>
        <v/>
      </c>
    </row>
    <row r="477" spans="1:30" ht="24.95" customHeight="1" x14ac:dyDescent="0.25">
      <c r="A477" s="9"/>
      <c r="B477" s="9"/>
      <c r="C477" s="9"/>
      <c r="D477" s="9"/>
      <c r="E477" s="9"/>
      <c r="F477" s="15" t="str">
        <f t="shared" si="13"/>
        <v/>
      </c>
      <c r="G477" s="9"/>
      <c r="AC477" s="70" t="str">
        <f>IF(AND(Sheet1!O477="SIM",Sheet1!P477="SIM"),"Sim","")</f>
        <v/>
      </c>
      <c r="AD477" s="70" t="str">
        <f>IF(AC477="sim",Sheet1!I477,"")</f>
        <v/>
      </c>
    </row>
    <row r="478" spans="1:30" ht="24.95" customHeight="1" x14ac:dyDescent="0.25">
      <c r="A478" s="9"/>
      <c r="B478" s="9"/>
      <c r="C478" s="9"/>
      <c r="D478" s="9"/>
      <c r="E478" s="9"/>
      <c r="F478" s="15" t="str">
        <f t="shared" si="13"/>
        <v/>
      </c>
      <c r="G478" s="9"/>
      <c r="AC478" s="70" t="str">
        <f>IF(AND(Sheet1!O478="SIM",Sheet1!P478="SIM"),"Sim","")</f>
        <v/>
      </c>
      <c r="AD478" s="70" t="str">
        <f>IF(AC478="sim",Sheet1!I478,"")</f>
        <v/>
      </c>
    </row>
    <row r="479" spans="1:30" ht="24.95" customHeight="1" x14ac:dyDescent="0.25">
      <c r="A479" s="9"/>
      <c r="B479" s="9"/>
      <c r="C479" s="9"/>
      <c r="D479" s="9"/>
      <c r="E479" s="9"/>
      <c r="F479" s="15" t="str">
        <f t="shared" si="13"/>
        <v/>
      </c>
      <c r="G479" s="9"/>
      <c r="AC479" s="70" t="str">
        <f>IF(AND(Sheet1!O479="SIM",Sheet1!P479="SIM"),"Sim","")</f>
        <v/>
      </c>
      <c r="AD479" s="70" t="str">
        <f>IF(AC479="sim",Sheet1!I479,"")</f>
        <v/>
      </c>
    </row>
    <row r="480" spans="1:30" ht="24.95" customHeight="1" x14ac:dyDescent="0.25">
      <c r="A480" s="9"/>
      <c r="B480" s="9"/>
      <c r="C480" s="9"/>
      <c r="D480" s="9"/>
      <c r="E480" s="9"/>
      <c r="F480" s="15" t="str">
        <f t="shared" si="13"/>
        <v/>
      </c>
      <c r="G480" s="9"/>
      <c r="AC480" s="70" t="str">
        <f>IF(AND(Sheet1!O480="SIM",Sheet1!P480="SIM"),"Sim","")</f>
        <v/>
      </c>
      <c r="AD480" s="70" t="str">
        <f>IF(AC480="sim",Sheet1!I480,"")</f>
        <v/>
      </c>
    </row>
    <row r="481" spans="1:30" ht="24.95" customHeight="1" x14ac:dyDescent="0.25">
      <c r="A481" s="9"/>
      <c r="B481" s="9"/>
      <c r="C481" s="9"/>
      <c r="D481" s="9"/>
      <c r="E481" s="9"/>
      <c r="F481" s="15" t="str">
        <f t="shared" si="13"/>
        <v/>
      </c>
      <c r="G481" s="9"/>
      <c r="AC481" s="70" t="str">
        <f>IF(AND(Sheet1!O481="SIM",Sheet1!P481="SIM"),"Sim","")</f>
        <v/>
      </c>
      <c r="AD481" s="70" t="str">
        <f>IF(AC481="sim",Sheet1!I481,"")</f>
        <v/>
      </c>
    </row>
    <row r="482" spans="1:30" ht="24.95" customHeight="1" x14ac:dyDescent="0.25">
      <c r="A482" s="9"/>
      <c r="B482" s="9"/>
      <c r="C482" s="9"/>
      <c r="D482" s="9"/>
      <c r="E482" s="9"/>
      <c r="F482" s="15" t="str">
        <f t="shared" si="13"/>
        <v/>
      </c>
      <c r="G482" s="9"/>
      <c r="AC482" s="70" t="str">
        <f>IF(AND(Sheet1!O482="SIM",Sheet1!P482="SIM"),"Sim","")</f>
        <v/>
      </c>
      <c r="AD482" s="70" t="str">
        <f>IF(AC482="sim",Sheet1!I482,"")</f>
        <v/>
      </c>
    </row>
    <row r="483" spans="1:30" ht="24.95" customHeight="1" x14ac:dyDescent="0.25">
      <c r="A483" s="9"/>
      <c r="B483" s="9"/>
      <c r="C483" s="9"/>
      <c r="D483" s="9"/>
      <c r="E483" s="9"/>
      <c r="F483" s="15" t="str">
        <f t="shared" si="13"/>
        <v/>
      </c>
      <c r="G483" s="9"/>
      <c r="AC483" s="70" t="str">
        <f>IF(AND(Sheet1!O483="SIM",Sheet1!P483="SIM"),"Sim","")</f>
        <v/>
      </c>
      <c r="AD483" s="70" t="str">
        <f>IF(AC483="sim",Sheet1!I483,"")</f>
        <v/>
      </c>
    </row>
    <row r="484" spans="1:30" ht="24.95" customHeight="1" x14ac:dyDescent="0.25">
      <c r="A484" s="9"/>
      <c r="B484" s="9"/>
      <c r="C484" s="9"/>
      <c r="D484" s="9"/>
      <c r="E484" s="9"/>
      <c r="F484" s="15" t="str">
        <f t="shared" si="13"/>
        <v/>
      </c>
      <c r="G484" s="9"/>
      <c r="AC484" s="70" t="str">
        <f>IF(AND(Sheet1!O484="SIM",Sheet1!P484="SIM"),"Sim","")</f>
        <v/>
      </c>
      <c r="AD484" s="70" t="str">
        <f>IF(AC484="sim",Sheet1!I484,"")</f>
        <v/>
      </c>
    </row>
    <row r="485" spans="1:30" ht="24.95" customHeight="1" x14ac:dyDescent="0.25">
      <c r="A485" s="9"/>
      <c r="B485" s="9"/>
      <c r="C485" s="9"/>
      <c r="D485" s="9"/>
      <c r="E485" s="9"/>
      <c r="F485" s="15" t="str">
        <f t="shared" si="13"/>
        <v/>
      </c>
      <c r="G485" s="9"/>
      <c r="AC485" s="70" t="str">
        <f>IF(AND(Sheet1!O485="SIM",Sheet1!P485="SIM"),"Sim","")</f>
        <v/>
      </c>
      <c r="AD485" s="70" t="str">
        <f>IF(AC485="sim",Sheet1!I485,"")</f>
        <v/>
      </c>
    </row>
    <row r="486" spans="1:30" ht="24.95" customHeight="1" x14ac:dyDescent="0.25">
      <c r="A486" s="9"/>
      <c r="B486" s="9"/>
      <c r="C486" s="9"/>
      <c r="D486" s="9"/>
      <c r="E486" s="9"/>
      <c r="F486" s="15" t="str">
        <f t="shared" si="13"/>
        <v/>
      </c>
      <c r="G486" s="9"/>
      <c r="AC486" s="70" t="str">
        <f>IF(AND(Sheet1!O486="SIM",Sheet1!P486="SIM"),"Sim","")</f>
        <v/>
      </c>
      <c r="AD486" s="70" t="str">
        <f>IF(AC486="sim",Sheet1!I486,"")</f>
        <v/>
      </c>
    </row>
    <row r="487" spans="1:30" ht="24.95" customHeight="1" x14ac:dyDescent="0.25">
      <c r="A487" s="9"/>
      <c r="B487" s="9"/>
      <c r="C487" s="9"/>
      <c r="D487" s="9"/>
      <c r="E487" s="9"/>
      <c r="F487" s="15" t="str">
        <f t="shared" si="13"/>
        <v/>
      </c>
      <c r="G487" s="9"/>
      <c r="AC487" s="70" t="str">
        <f>IF(AND(Sheet1!O487="SIM",Sheet1!P487="SIM"),"Sim","")</f>
        <v/>
      </c>
      <c r="AD487" s="70" t="str">
        <f>IF(AC487="sim",Sheet1!I487,"")</f>
        <v/>
      </c>
    </row>
    <row r="488" spans="1:30" ht="24.95" customHeight="1" x14ac:dyDescent="0.25">
      <c r="A488" s="9"/>
      <c r="B488" s="9"/>
      <c r="C488" s="9"/>
      <c r="D488" s="9"/>
      <c r="E488" s="9"/>
      <c r="F488" s="15" t="str">
        <f t="shared" si="13"/>
        <v/>
      </c>
      <c r="G488" s="9"/>
      <c r="AC488" s="70" t="str">
        <f>IF(AND(Sheet1!O488="SIM",Sheet1!P488="SIM"),"Sim","")</f>
        <v/>
      </c>
      <c r="AD488" s="70" t="str">
        <f>IF(AC488="sim",Sheet1!I488,"")</f>
        <v/>
      </c>
    </row>
    <row r="489" spans="1:30" ht="24.95" customHeight="1" x14ac:dyDescent="0.25">
      <c r="A489" s="9"/>
      <c r="B489" s="9"/>
      <c r="C489" s="9"/>
      <c r="D489" s="9"/>
      <c r="E489" s="9"/>
      <c r="F489" s="15" t="str">
        <f t="shared" si="13"/>
        <v/>
      </c>
      <c r="G489" s="9"/>
      <c r="AC489" s="70" t="str">
        <f>IF(AND(Sheet1!O489="SIM",Sheet1!P489="SIM"),"Sim","")</f>
        <v/>
      </c>
      <c r="AD489" s="70" t="str">
        <f>IF(AC489="sim",Sheet1!I489,"")</f>
        <v/>
      </c>
    </row>
    <row r="490" spans="1:30" ht="24.95" customHeight="1" x14ac:dyDescent="0.25">
      <c r="A490" s="9"/>
      <c r="B490" s="9"/>
      <c r="C490" s="9"/>
      <c r="D490" s="9"/>
      <c r="E490" s="9"/>
      <c r="F490" s="15" t="str">
        <f t="shared" si="13"/>
        <v/>
      </c>
      <c r="G490" s="9"/>
      <c r="AC490" s="70" t="str">
        <f>IF(AND(Sheet1!O490="SIM",Sheet1!P490="SIM"),"Sim","")</f>
        <v/>
      </c>
      <c r="AD490" s="70" t="str">
        <f>IF(AC490="sim",Sheet1!I490,"")</f>
        <v/>
      </c>
    </row>
    <row r="491" spans="1:30" ht="24.95" customHeight="1" x14ac:dyDescent="0.25">
      <c r="A491" s="9"/>
      <c r="B491" s="9"/>
      <c r="C491" s="9"/>
      <c r="D491" s="9"/>
      <c r="E491" s="9"/>
      <c r="F491" s="15" t="str">
        <f t="shared" si="13"/>
        <v/>
      </c>
      <c r="G491" s="9"/>
      <c r="AC491" s="70" t="str">
        <f>IF(AND(Sheet1!O491="SIM",Sheet1!P491="SIM"),"Sim","")</f>
        <v/>
      </c>
      <c r="AD491" s="70" t="str">
        <f>IF(AC491="sim",Sheet1!I491,"")</f>
        <v/>
      </c>
    </row>
    <row r="492" spans="1:30" ht="24.95" customHeight="1" x14ac:dyDescent="0.25">
      <c r="A492" s="9"/>
      <c r="B492" s="9"/>
      <c r="C492" s="9"/>
      <c r="D492" s="9"/>
      <c r="E492" s="9"/>
      <c r="F492" s="15" t="str">
        <f t="shared" si="13"/>
        <v/>
      </c>
      <c r="G492" s="9"/>
      <c r="AC492" s="70" t="str">
        <f>IF(AND(Sheet1!O492="SIM",Sheet1!P492="SIM"),"Sim","")</f>
        <v/>
      </c>
      <c r="AD492" s="70" t="str">
        <f>IF(AC492="sim",Sheet1!I492,"")</f>
        <v/>
      </c>
    </row>
    <row r="493" spans="1:30" ht="24.95" customHeight="1" x14ac:dyDescent="0.25">
      <c r="A493" s="9"/>
      <c r="B493" s="9"/>
      <c r="C493" s="9"/>
      <c r="D493" s="9"/>
      <c r="E493" s="9"/>
      <c r="F493" s="15" t="str">
        <f t="shared" si="13"/>
        <v/>
      </c>
      <c r="G493" s="9"/>
      <c r="AC493" s="70" t="str">
        <f>IF(AND(Sheet1!O493="SIM",Sheet1!P493="SIM"),"Sim","")</f>
        <v/>
      </c>
      <c r="AD493" s="70" t="str">
        <f>IF(AC493="sim",Sheet1!I493,"")</f>
        <v/>
      </c>
    </row>
    <row r="494" spans="1:30" ht="24.95" customHeight="1" x14ac:dyDescent="0.25">
      <c r="A494" s="9"/>
      <c r="B494" s="9"/>
      <c r="C494" s="9"/>
      <c r="D494" s="9"/>
      <c r="E494" s="9"/>
      <c r="F494" s="15" t="str">
        <f t="shared" si="13"/>
        <v/>
      </c>
      <c r="G494" s="9"/>
      <c r="AC494" s="70" t="str">
        <f>IF(AND(Sheet1!O494="SIM",Sheet1!P494="SIM"),"Sim","")</f>
        <v/>
      </c>
      <c r="AD494" s="70" t="str">
        <f>IF(AC494="sim",Sheet1!I494,"")</f>
        <v/>
      </c>
    </row>
    <row r="495" spans="1:30" ht="24.95" customHeight="1" x14ac:dyDescent="0.25">
      <c r="A495" s="9"/>
      <c r="B495" s="9"/>
      <c r="C495" s="9"/>
      <c r="D495" s="9"/>
      <c r="E495" s="9"/>
      <c r="F495" s="15" t="str">
        <f t="shared" si="13"/>
        <v/>
      </c>
      <c r="G495" s="9"/>
      <c r="AC495" s="70" t="str">
        <f>IF(AND(Sheet1!O495="SIM",Sheet1!P495="SIM"),"Sim","")</f>
        <v/>
      </c>
      <c r="AD495" s="70" t="str">
        <f>IF(AC495="sim",Sheet1!I495,"")</f>
        <v/>
      </c>
    </row>
    <row r="496" spans="1:30" ht="24.95" customHeight="1" x14ac:dyDescent="0.25">
      <c r="A496" s="9"/>
      <c r="B496" s="9"/>
      <c r="C496" s="9"/>
      <c r="D496" s="9"/>
      <c r="E496" s="9"/>
      <c r="F496" s="15" t="str">
        <f t="shared" si="13"/>
        <v/>
      </c>
      <c r="G496" s="9"/>
      <c r="AC496" s="70" t="str">
        <f>IF(AND(Sheet1!O496="SIM",Sheet1!P496="SIM"),"Sim","")</f>
        <v/>
      </c>
      <c r="AD496" s="70" t="str">
        <f>IF(AC496="sim",Sheet1!I496,"")</f>
        <v/>
      </c>
    </row>
    <row r="497" spans="1:30" ht="24.95" customHeight="1" x14ac:dyDescent="0.25">
      <c r="A497" s="9"/>
      <c r="B497" s="9"/>
      <c r="C497" s="9"/>
      <c r="D497" s="9"/>
      <c r="E497" s="9"/>
      <c r="F497" s="15" t="str">
        <f t="shared" si="13"/>
        <v/>
      </c>
      <c r="G497" s="9"/>
      <c r="AC497" s="70" t="str">
        <f>IF(AND(Sheet1!O497="SIM",Sheet1!P497="SIM"),"Sim","")</f>
        <v/>
      </c>
      <c r="AD497" s="70" t="str">
        <f>IF(AC497="sim",Sheet1!I497,"")</f>
        <v/>
      </c>
    </row>
    <row r="498" spans="1:30" ht="24.95" customHeight="1" x14ac:dyDescent="0.25">
      <c r="A498" s="9"/>
      <c r="B498" s="9"/>
      <c r="C498" s="9"/>
      <c r="D498" s="9"/>
      <c r="E498" s="9"/>
      <c r="F498" s="15" t="str">
        <f t="shared" si="13"/>
        <v/>
      </c>
      <c r="G498" s="9"/>
      <c r="AC498" s="70" t="str">
        <f>IF(AND(Sheet1!O498="SIM",Sheet1!P498="SIM"),"Sim","")</f>
        <v/>
      </c>
      <c r="AD498" s="70" t="str">
        <f>IF(AC498="sim",Sheet1!I498,"")</f>
        <v/>
      </c>
    </row>
    <row r="499" spans="1:30" ht="24.95" customHeight="1" x14ac:dyDescent="0.25">
      <c r="A499" s="9"/>
      <c r="B499" s="9"/>
      <c r="C499" s="9"/>
      <c r="D499" s="9"/>
      <c r="E499" s="9"/>
      <c r="F499" s="15" t="str">
        <f t="shared" si="13"/>
        <v/>
      </c>
      <c r="G499" s="9"/>
      <c r="AC499" s="70" t="str">
        <f>IF(AND(Sheet1!O499="SIM",Sheet1!P499="SIM"),"Sim","")</f>
        <v/>
      </c>
      <c r="AD499" s="70" t="str">
        <f>IF(AC499="sim",Sheet1!I499,"")</f>
        <v/>
      </c>
    </row>
    <row r="500" spans="1:30" ht="24.95" customHeight="1" x14ac:dyDescent="0.25">
      <c r="A500" s="9"/>
      <c r="B500" s="9"/>
      <c r="C500" s="9"/>
      <c r="D500" s="9"/>
      <c r="E500" s="9"/>
      <c r="F500" s="15" t="str">
        <f t="shared" si="13"/>
        <v/>
      </c>
      <c r="G500" s="9"/>
      <c r="AC500" s="70" t="str">
        <f>IF(AND(Sheet1!O500="SIM",Sheet1!P500="SIM"),"Sim","")</f>
        <v/>
      </c>
      <c r="AD500" s="70" t="str">
        <f>IF(AC500="sim",Sheet1!I500,"")</f>
        <v/>
      </c>
    </row>
    <row r="501" spans="1:30" ht="24.95" customHeight="1" x14ac:dyDescent="0.25">
      <c r="A501" s="9"/>
      <c r="B501" s="9"/>
      <c r="C501" s="9"/>
      <c r="D501" s="9"/>
      <c r="E501" s="9"/>
      <c r="F501" s="15" t="str">
        <f t="shared" si="13"/>
        <v/>
      </c>
      <c r="G501" s="9"/>
      <c r="AC501" s="70" t="str">
        <f>IF(AND(Sheet1!O501="SIM",Sheet1!P501="SIM"),"Sim","")</f>
        <v/>
      </c>
      <c r="AD501" s="70" t="str">
        <f>IF(AC501="sim",Sheet1!I501,"")</f>
        <v/>
      </c>
    </row>
    <row r="502" spans="1:30" ht="24.95" customHeight="1" x14ac:dyDescent="0.25">
      <c r="AC502" s="70" t="str">
        <f>IF(AND(Sheet1!O502="SIM",Sheet1!P502="SIM"),"Sim","")</f>
        <v/>
      </c>
      <c r="AD502" s="70" t="str">
        <f>IF(AC502="sim",Sheet1!I502,"")</f>
        <v/>
      </c>
    </row>
    <row r="503" spans="1:30" ht="24.95" customHeight="1" x14ac:dyDescent="0.25">
      <c r="AC503" s="70" t="str">
        <f>IF(AND(Sheet1!O503="SIM",Sheet1!P503="SIM"),"Sim","")</f>
        <v/>
      </c>
      <c r="AD503" s="70" t="str">
        <f>IF(AC503="sim",Sheet1!I503,"")</f>
        <v/>
      </c>
    </row>
    <row r="504" spans="1:30" ht="24.95" customHeight="1" x14ac:dyDescent="0.25">
      <c r="AC504" s="70" t="str">
        <f>IF(AND(Sheet1!O504="SIM",Sheet1!P504="SIM"),"Sim","")</f>
        <v/>
      </c>
      <c r="AD504" s="70" t="str">
        <f>IF(AC504="sim",Sheet1!I504,"")</f>
        <v/>
      </c>
    </row>
    <row r="505" spans="1:30" ht="24.95" customHeight="1" x14ac:dyDescent="0.25">
      <c r="AC505" s="70" t="str">
        <f>IF(AND(Sheet1!O505="SIM",Sheet1!P505="SIM"),"Sim","")</f>
        <v/>
      </c>
      <c r="AD505" s="70" t="str">
        <f>IF(AC505="sim",Sheet1!I505,"")</f>
        <v/>
      </c>
    </row>
    <row r="506" spans="1:30" ht="24.95" customHeight="1" x14ac:dyDescent="0.25">
      <c r="AC506" s="70" t="str">
        <f>IF(AND(Sheet1!O506="SIM",Sheet1!P506="SIM"),"Sim","")</f>
        <v/>
      </c>
      <c r="AD506" s="70" t="str">
        <f>IF(AC506="sim",Sheet1!I506,"")</f>
        <v/>
      </c>
    </row>
    <row r="507" spans="1:30" ht="24.95" customHeight="1" x14ac:dyDescent="0.25">
      <c r="AC507" s="70" t="str">
        <f>IF(AND(Sheet1!O507="SIM",Sheet1!P507="SIM"),"Sim","")</f>
        <v/>
      </c>
      <c r="AD507" s="70" t="str">
        <f>IF(AC507="sim",Sheet1!I507,"")</f>
        <v/>
      </c>
    </row>
    <row r="508" spans="1:30" ht="24.95" customHeight="1" x14ac:dyDescent="0.25">
      <c r="AC508" s="70" t="str">
        <f>IF(AND(Sheet1!O508="SIM",Sheet1!P508="SIM"),"Sim","")</f>
        <v/>
      </c>
      <c r="AD508" s="70" t="str">
        <f>IF(AC508="sim",Sheet1!I508,"")</f>
        <v/>
      </c>
    </row>
    <row r="509" spans="1:30" ht="24.95" customHeight="1" x14ac:dyDescent="0.25">
      <c r="AC509" s="70" t="str">
        <f>IF(AND(Sheet1!O509="SIM",Sheet1!P509="SIM"),"Sim","")</f>
        <v/>
      </c>
      <c r="AD509" s="70" t="str">
        <f>IF(AC509="sim",Sheet1!I509,"")</f>
        <v/>
      </c>
    </row>
    <row r="510" spans="1:30" ht="24.95" customHeight="1" x14ac:dyDescent="0.25">
      <c r="AC510" s="70" t="str">
        <f>IF(AND(Sheet1!O510="SIM",Sheet1!P510="SIM"),"Sim","")</f>
        <v/>
      </c>
      <c r="AD510" s="70" t="str">
        <f>IF(AC510="sim",Sheet1!I510,"")</f>
        <v/>
      </c>
    </row>
    <row r="511" spans="1:30" ht="24.95" customHeight="1" x14ac:dyDescent="0.25">
      <c r="AC511" s="70" t="str">
        <f>IF(AND(Sheet1!O511="SIM",Sheet1!P511="SIM"),"Sim","")</f>
        <v/>
      </c>
      <c r="AD511" s="70" t="str">
        <f>IF(AC511="sim",Sheet1!I511,"")</f>
        <v/>
      </c>
    </row>
    <row r="512" spans="1:30" ht="24.95" customHeight="1" x14ac:dyDescent="0.25">
      <c r="AC512" s="70" t="str">
        <f>IF(AND(Sheet1!O512="SIM",Sheet1!P512="SIM"),"Sim","")</f>
        <v/>
      </c>
      <c r="AD512" s="70" t="str">
        <f>IF(AC512="sim",Sheet1!I512,"")</f>
        <v/>
      </c>
    </row>
    <row r="513" spans="29:30" ht="24.95" customHeight="1" x14ac:dyDescent="0.25">
      <c r="AC513" s="70" t="str">
        <f>IF(AND(Sheet1!O513="SIM",Sheet1!P513="SIM"),"Sim","")</f>
        <v/>
      </c>
      <c r="AD513" s="70" t="str">
        <f>IF(AC513="sim",Sheet1!I513,"")</f>
        <v/>
      </c>
    </row>
    <row r="514" spans="29:30" ht="24.95" customHeight="1" x14ac:dyDescent="0.25">
      <c r="AC514" s="70" t="str">
        <f>IF(AND(Sheet1!O514="SIM",Sheet1!P514="SIM"),"Sim","")</f>
        <v/>
      </c>
      <c r="AD514" s="70" t="str">
        <f>IF(AC514="sim",Sheet1!I514,"")</f>
        <v/>
      </c>
    </row>
    <row r="515" spans="29:30" ht="24.95" customHeight="1" x14ac:dyDescent="0.25">
      <c r="AC515" s="70" t="str">
        <f>IF(AND(Sheet1!O515="SIM",Sheet1!P515="SIM"),"Sim","")</f>
        <v/>
      </c>
      <c r="AD515" s="70" t="str">
        <f>IF(AC515="sim",Sheet1!I515,"")</f>
        <v/>
      </c>
    </row>
    <row r="516" spans="29:30" ht="24.95" customHeight="1" x14ac:dyDescent="0.25">
      <c r="AC516" s="70" t="str">
        <f>IF(AND(Sheet1!O516="SIM",Sheet1!P516="SIM"),"Sim","")</f>
        <v/>
      </c>
      <c r="AD516" s="70" t="str">
        <f>IF(AC516="sim",Sheet1!I516,"")</f>
        <v/>
      </c>
    </row>
    <row r="517" spans="29:30" ht="24.95" customHeight="1" x14ac:dyDescent="0.25">
      <c r="AC517" s="70" t="str">
        <f>IF(AND(Sheet1!O517="SIM",Sheet1!P517="SIM"),"Sim","")</f>
        <v/>
      </c>
      <c r="AD517" s="70" t="str">
        <f>IF(AC517="sim",Sheet1!I517,"")</f>
        <v/>
      </c>
    </row>
    <row r="518" spans="29:30" ht="24.95" customHeight="1" x14ac:dyDescent="0.25">
      <c r="AC518" s="70" t="str">
        <f>IF(AND(Sheet1!O518="SIM",Sheet1!P518="SIM"),"Sim","")</f>
        <v/>
      </c>
      <c r="AD518" s="70" t="str">
        <f>IF(AC518="sim",Sheet1!I518,"")</f>
        <v/>
      </c>
    </row>
    <row r="519" spans="29:30" ht="24.95" customHeight="1" x14ac:dyDescent="0.25">
      <c r="AC519" s="70" t="str">
        <f>IF(AND(Sheet1!O519="SIM",Sheet1!P519="SIM"),"Sim","")</f>
        <v/>
      </c>
      <c r="AD519" s="70" t="str">
        <f>IF(AC519="sim",Sheet1!I519,"")</f>
        <v/>
      </c>
    </row>
    <row r="520" spans="29:30" ht="24.95" customHeight="1" x14ac:dyDescent="0.25">
      <c r="AC520" s="70" t="str">
        <f>IF(AND(Sheet1!O520="SIM",Sheet1!P520="SIM"),"Sim","")</f>
        <v/>
      </c>
      <c r="AD520" s="70" t="str">
        <f>IF(AC520="sim",Sheet1!I520,"")</f>
        <v/>
      </c>
    </row>
    <row r="521" spans="29:30" ht="24.95" customHeight="1" x14ac:dyDescent="0.25">
      <c r="AC521" s="70" t="str">
        <f>IF(AND(Sheet1!O521="SIM",Sheet1!P521="SIM"),"Sim","")</f>
        <v/>
      </c>
      <c r="AD521" s="70" t="str">
        <f>IF(AC521="sim",Sheet1!I521,"")</f>
        <v/>
      </c>
    </row>
    <row r="522" spans="29:30" ht="24.95" customHeight="1" x14ac:dyDescent="0.25">
      <c r="AC522" s="70" t="str">
        <f>IF(AND(Sheet1!O522="SIM",Sheet1!P522="SIM"),"Sim","")</f>
        <v/>
      </c>
      <c r="AD522" s="70" t="str">
        <f>IF(AC522="sim",Sheet1!I522,"")</f>
        <v/>
      </c>
    </row>
    <row r="523" spans="29:30" ht="24.95" customHeight="1" x14ac:dyDescent="0.25">
      <c r="AC523" s="70" t="str">
        <f>IF(AND(Sheet1!O523="SIM",Sheet1!P523="SIM"),"Sim","")</f>
        <v/>
      </c>
      <c r="AD523" s="70" t="str">
        <f>IF(AC523="sim",Sheet1!I523,"")</f>
        <v/>
      </c>
    </row>
    <row r="524" spans="29:30" ht="24.95" customHeight="1" x14ac:dyDescent="0.25">
      <c r="AC524" s="70" t="str">
        <f>IF(AND(Sheet1!O524="SIM",Sheet1!P524="SIM"),"Sim","")</f>
        <v/>
      </c>
      <c r="AD524" s="70" t="str">
        <f>IF(AC524="sim",Sheet1!I524,"")</f>
        <v/>
      </c>
    </row>
    <row r="525" spans="29:30" ht="24.95" customHeight="1" x14ac:dyDescent="0.25">
      <c r="AC525" s="70" t="str">
        <f>IF(AND(Sheet1!O525="SIM",Sheet1!P525="SIM"),"Sim","")</f>
        <v/>
      </c>
      <c r="AD525" s="70" t="str">
        <f>IF(AC525="sim",Sheet1!I525,"")</f>
        <v/>
      </c>
    </row>
    <row r="526" spans="29:30" ht="24.95" customHeight="1" x14ac:dyDescent="0.25">
      <c r="AC526" s="70" t="str">
        <f>IF(AND(Sheet1!O526="SIM",Sheet1!P526="SIM"),"Sim","")</f>
        <v/>
      </c>
      <c r="AD526" s="70" t="str">
        <f>IF(AC526="sim",Sheet1!I526,"")</f>
        <v/>
      </c>
    </row>
    <row r="527" spans="29:30" ht="24.95" customHeight="1" x14ac:dyDescent="0.25">
      <c r="AC527" s="70" t="str">
        <f>IF(AND(Sheet1!O527="SIM",Sheet1!P527="SIM"),"Sim","")</f>
        <v/>
      </c>
      <c r="AD527" s="70" t="str">
        <f>IF(AC527="sim",Sheet1!I527,"")</f>
        <v/>
      </c>
    </row>
    <row r="528" spans="29:30" ht="24.95" customHeight="1" x14ac:dyDescent="0.25">
      <c r="AC528" s="70" t="str">
        <f>IF(AND(Sheet1!O528="SIM",Sheet1!P528="SIM"),"Sim","")</f>
        <v/>
      </c>
      <c r="AD528" s="70" t="str">
        <f>IF(AC528="sim",Sheet1!I528,"")</f>
        <v/>
      </c>
    </row>
    <row r="529" spans="29:30" ht="24.95" customHeight="1" x14ac:dyDescent="0.25">
      <c r="AC529" s="70" t="str">
        <f>IF(AND(Sheet1!O529="SIM",Sheet1!P529="SIM"),"Sim","")</f>
        <v/>
      </c>
      <c r="AD529" s="70" t="str">
        <f>IF(AC529="sim",Sheet1!I529,"")</f>
        <v/>
      </c>
    </row>
    <row r="530" spans="29:30" ht="24.95" customHeight="1" x14ac:dyDescent="0.25">
      <c r="AC530" s="70" t="str">
        <f>IF(AND(Sheet1!O530="SIM",Sheet1!P530="SIM"),"Sim","")</f>
        <v/>
      </c>
      <c r="AD530" s="70" t="str">
        <f>IF(AC530="sim",Sheet1!I530,"")</f>
        <v/>
      </c>
    </row>
    <row r="531" spans="29:30" ht="24.95" customHeight="1" x14ac:dyDescent="0.25">
      <c r="AC531" s="70" t="str">
        <f>IF(AND(Sheet1!O531="SIM",Sheet1!P531="SIM"),"Sim","")</f>
        <v/>
      </c>
      <c r="AD531" s="70" t="str">
        <f>IF(AC531="sim",Sheet1!I531,"")</f>
        <v/>
      </c>
    </row>
    <row r="532" spans="29:30" ht="24.95" customHeight="1" x14ac:dyDescent="0.25">
      <c r="AC532" s="70" t="str">
        <f>IF(AND(Sheet1!O532="SIM",Sheet1!P532="SIM"),"Sim","")</f>
        <v/>
      </c>
      <c r="AD532" s="70" t="str">
        <f>IF(AC532="sim",Sheet1!I532,"")</f>
        <v/>
      </c>
    </row>
    <row r="533" spans="29:30" ht="24.95" customHeight="1" x14ac:dyDescent="0.25">
      <c r="AC533" s="70" t="str">
        <f>IF(AND(Sheet1!O533="SIM",Sheet1!P533="SIM"),"Sim","")</f>
        <v/>
      </c>
      <c r="AD533" s="70" t="str">
        <f>IF(AC533="sim",Sheet1!I533,"")</f>
        <v/>
      </c>
    </row>
    <row r="534" spans="29:30" ht="24.95" customHeight="1" x14ac:dyDescent="0.25">
      <c r="AC534" s="70" t="str">
        <f>IF(AND(Sheet1!O534="SIM",Sheet1!P534="SIM"),"Sim","")</f>
        <v/>
      </c>
      <c r="AD534" s="70" t="str">
        <f>IF(AC534="sim",Sheet1!I534,"")</f>
        <v/>
      </c>
    </row>
    <row r="535" spans="29:30" ht="24.95" customHeight="1" x14ac:dyDescent="0.25">
      <c r="AC535" s="70" t="str">
        <f>IF(AND(Sheet1!O535="SIM",Sheet1!P535="SIM"),"Sim","")</f>
        <v/>
      </c>
      <c r="AD535" s="70" t="str">
        <f>IF(AC535="sim",Sheet1!I535,"")</f>
        <v/>
      </c>
    </row>
    <row r="536" spans="29:30" ht="24.95" customHeight="1" x14ac:dyDescent="0.25">
      <c r="AC536" s="70" t="str">
        <f>IF(AND(Sheet1!O536="SIM",Sheet1!P536="SIM"),"Sim","")</f>
        <v/>
      </c>
      <c r="AD536" s="70" t="str">
        <f>IF(AC536="sim",Sheet1!I536,"")</f>
        <v/>
      </c>
    </row>
    <row r="537" spans="29:30" ht="24.95" customHeight="1" x14ac:dyDescent="0.25">
      <c r="AC537" s="70" t="str">
        <f>IF(AND(Sheet1!O537="SIM",Sheet1!P537="SIM"),"Sim","")</f>
        <v/>
      </c>
      <c r="AD537" s="70" t="str">
        <f>IF(AC537="sim",Sheet1!I537,"")</f>
        <v/>
      </c>
    </row>
    <row r="538" spans="29:30" ht="24.95" customHeight="1" x14ac:dyDescent="0.25">
      <c r="AC538" s="70" t="str">
        <f>IF(AND(Sheet1!O538="SIM",Sheet1!P538="SIM"),"Sim","")</f>
        <v/>
      </c>
      <c r="AD538" s="70" t="str">
        <f>IF(AC538="sim",Sheet1!I538,"")</f>
        <v/>
      </c>
    </row>
    <row r="539" spans="29:30" ht="24.95" customHeight="1" x14ac:dyDescent="0.25">
      <c r="AC539" s="70" t="str">
        <f>IF(AND(Sheet1!O539="SIM",Sheet1!P539="SIM"),"Sim","")</f>
        <v/>
      </c>
      <c r="AD539" s="70" t="str">
        <f>IF(AC539="sim",Sheet1!I539,"")</f>
        <v/>
      </c>
    </row>
    <row r="540" spans="29:30" ht="24.95" customHeight="1" x14ac:dyDescent="0.25">
      <c r="AC540" s="70" t="str">
        <f>IF(AND(Sheet1!O540="SIM",Sheet1!P540="SIM"),"Sim","")</f>
        <v/>
      </c>
      <c r="AD540" s="70" t="str">
        <f>IF(AC540="sim",Sheet1!I540,"")</f>
        <v/>
      </c>
    </row>
    <row r="541" spans="29:30" ht="24.95" customHeight="1" x14ac:dyDescent="0.25">
      <c r="AC541" s="70" t="str">
        <f>IF(AND(Sheet1!O541="SIM",Sheet1!P541="SIM"),"Sim","")</f>
        <v/>
      </c>
      <c r="AD541" s="70" t="str">
        <f>IF(AC541="sim",Sheet1!I541,"")</f>
        <v/>
      </c>
    </row>
    <row r="542" spans="29:30" ht="24.95" customHeight="1" x14ac:dyDescent="0.25">
      <c r="AC542" s="70" t="str">
        <f>IF(AND(Sheet1!O542="SIM",Sheet1!P542="SIM"),"Sim","")</f>
        <v/>
      </c>
      <c r="AD542" s="70" t="str">
        <f>IF(AC542="sim",Sheet1!I542,"")</f>
        <v/>
      </c>
    </row>
    <row r="543" spans="29:30" ht="24.95" customHeight="1" x14ac:dyDescent="0.25">
      <c r="AC543" s="70" t="str">
        <f>IF(AND(Sheet1!O543="SIM",Sheet1!P543="SIM"),"Sim","")</f>
        <v/>
      </c>
      <c r="AD543" s="70" t="str">
        <f>IF(AC543="sim",Sheet1!I543,"")</f>
        <v/>
      </c>
    </row>
    <row r="544" spans="29:30" ht="24.95" customHeight="1" x14ac:dyDescent="0.25">
      <c r="AC544" s="70" t="str">
        <f>IF(AND(Sheet1!O544="SIM",Sheet1!P544="SIM"),"Sim","")</f>
        <v/>
      </c>
      <c r="AD544" s="70" t="str">
        <f>IF(AC544="sim",Sheet1!I544,"")</f>
        <v/>
      </c>
    </row>
    <row r="545" spans="29:30" ht="24.95" customHeight="1" x14ac:dyDescent="0.25">
      <c r="AC545" s="70" t="str">
        <f>IF(AND(Sheet1!O545="SIM",Sheet1!P545="SIM"),"Sim","")</f>
        <v/>
      </c>
      <c r="AD545" s="70" t="str">
        <f>IF(AC545="sim",Sheet1!I545,"")</f>
        <v/>
      </c>
    </row>
    <row r="546" spans="29:30" ht="24.95" customHeight="1" x14ac:dyDescent="0.25">
      <c r="AC546" s="70" t="str">
        <f>IF(AND(Sheet1!O546="SIM",Sheet1!P546="SIM"),"Sim","")</f>
        <v/>
      </c>
      <c r="AD546" s="70" t="str">
        <f>IF(AC546="sim",Sheet1!I546,"")</f>
        <v/>
      </c>
    </row>
    <row r="547" spans="29:30" ht="24.95" customHeight="1" x14ac:dyDescent="0.25">
      <c r="AC547" s="70" t="str">
        <f>IF(AND(Sheet1!O547="SIM",Sheet1!P547="SIM"),"Sim","")</f>
        <v/>
      </c>
      <c r="AD547" s="70" t="str">
        <f>IF(AC547="sim",Sheet1!I547,"")</f>
        <v/>
      </c>
    </row>
    <row r="548" spans="29:30" ht="24.95" customHeight="1" x14ac:dyDescent="0.25">
      <c r="AC548" s="70" t="str">
        <f>IF(AND(Sheet1!O548="SIM",Sheet1!P548="SIM"),"Sim","")</f>
        <v/>
      </c>
      <c r="AD548" s="70" t="str">
        <f>IF(AC548="sim",Sheet1!I548,"")</f>
        <v/>
      </c>
    </row>
    <row r="549" spans="29:30" ht="24.95" customHeight="1" x14ac:dyDescent="0.25">
      <c r="AC549" s="70" t="str">
        <f>IF(AND(Sheet1!O549="SIM",Sheet1!P549="SIM"),"Sim","")</f>
        <v/>
      </c>
      <c r="AD549" s="70" t="str">
        <f>IF(AC549="sim",Sheet1!I549,"")</f>
        <v/>
      </c>
    </row>
    <row r="550" spans="29:30" ht="24.95" customHeight="1" x14ac:dyDescent="0.25">
      <c r="AC550" s="70" t="str">
        <f>IF(AND(Sheet1!O550="SIM",Sheet1!P550="SIM"),"Sim","")</f>
        <v/>
      </c>
      <c r="AD550" s="70" t="str">
        <f>IF(AC550="sim",Sheet1!I550,"")</f>
        <v/>
      </c>
    </row>
    <row r="551" spans="29:30" ht="24.95" customHeight="1" x14ac:dyDescent="0.25">
      <c r="AC551" s="70" t="str">
        <f>IF(AND(Sheet1!O551="SIM",Sheet1!P551="SIM"),"Sim","")</f>
        <v/>
      </c>
      <c r="AD551" s="70" t="str">
        <f>IF(AC551="sim",Sheet1!I551,"")</f>
        <v/>
      </c>
    </row>
    <row r="552" spans="29:30" ht="24.95" customHeight="1" x14ac:dyDescent="0.25">
      <c r="AC552" s="70" t="str">
        <f>IF(AND(Sheet1!O552="SIM",Sheet1!P552="SIM"),"Sim","")</f>
        <v/>
      </c>
      <c r="AD552" s="70" t="str">
        <f>IF(AC552="sim",Sheet1!I552,"")</f>
        <v/>
      </c>
    </row>
    <row r="553" spans="29:30" ht="24.95" customHeight="1" x14ac:dyDescent="0.25">
      <c r="AC553" s="70" t="str">
        <f>IF(AND(Sheet1!O553="SIM",Sheet1!P553="SIM"),"Sim","")</f>
        <v/>
      </c>
      <c r="AD553" s="70" t="str">
        <f>IF(AC553="sim",Sheet1!I553,"")</f>
        <v/>
      </c>
    </row>
    <row r="554" spans="29:30" ht="24.95" customHeight="1" x14ac:dyDescent="0.25">
      <c r="AC554" s="70" t="str">
        <f>IF(AND(Sheet1!O554="SIM",Sheet1!P554="SIM"),"Sim","")</f>
        <v/>
      </c>
      <c r="AD554" s="70" t="str">
        <f>IF(AC554="sim",Sheet1!I554,"")</f>
        <v/>
      </c>
    </row>
    <row r="555" spans="29:30" ht="24.95" customHeight="1" x14ac:dyDescent="0.25">
      <c r="AC555" s="70" t="str">
        <f>IF(AND(Sheet1!O555="SIM",Sheet1!P555="SIM"),"Sim","")</f>
        <v/>
      </c>
      <c r="AD555" s="70" t="str">
        <f>IF(AC555="sim",Sheet1!I555,"")</f>
        <v/>
      </c>
    </row>
    <row r="556" spans="29:30" ht="24.95" customHeight="1" x14ac:dyDescent="0.25">
      <c r="AC556" s="70" t="str">
        <f>IF(AND(Sheet1!O556="SIM",Sheet1!P556="SIM"),"Sim","")</f>
        <v/>
      </c>
      <c r="AD556" s="70" t="str">
        <f>IF(AC556="sim",Sheet1!I556,"")</f>
        <v/>
      </c>
    </row>
    <row r="557" spans="29:30" ht="24.95" customHeight="1" x14ac:dyDescent="0.25">
      <c r="AC557" s="70" t="str">
        <f>IF(AND(Sheet1!O557="SIM",Sheet1!P557="SIM"),"Sim","")</f>
        <v/>
      </c>
      <c r="AD557" s="70" t="str">
        <f>IF(AC557="sim",Sheet1!I557,"")</f>
        <v/>
      </c>
    </row>
    <row r="558" spans="29:30" ht="24.95" customHeight="1" x14ac:dyDescent="0.25">
      <c r="AC558" s="70" t="str">
        <f>IF(AND(Sheet1!O558="SIM",Sheet1!P558="SIM"),"Sim","")</f>
        <v/>
      </c>
      <c r="AD558" s="70" t="str">
        <f>IF(AC558="sim",Sheet1!I558,"")</f>
        <v/>
      </c>
    </row>
    <row r="559" spans="29:30" ht="24.95" customHeight="1" x14ac:dyDescent="0.25">
      <c r="AC559" s="70" t="str">
        <f>IF(AND(Sheet1!O559="SIM",Sheet1!P559="SIM"),"Sim","")</f>
        <v/>
      </c>
      <c r="AD559" s="70" t="str">
        <f>IF(AC559="sim",Sheet1!I559,"")</f>
        <v/>
      </c>
    </row>
    <row r="560" spans="29:30" ht="24.95" customHeight="1" x14ac:dyDescent="0.25">
      <c r="AC560" s="70" t="str">
        <f>IF(AND(Sheet1!O560="SIM",Sheet1!P560="SIM"),"Sim","")</f>
        <v/>
      </c>
      <c r="AD560" s="70" t="str">
        <f>IF(AC560="sim",Sheet1!I560,"")</f>
        <v/>
      </c>
    </row>
    <row r="561" spans="29:30" ht="24.95" customHeight="1" x14ac:dyDescent="0.25">
      <c r="AC561" s="70" t="str">
        <f>IF(AND(Sheet1!O561="SIM",Sheet1!P561="SIM"),"Sim","")</f>
        <v/>
      </c>
      <c r="AD561" s="70" t="str">
        <f>IF(AC561="sim",Sheet1!I561,"")</f>
        <v/>
      </c>
    </row>
    <row r="562" spans="29:30" ht="24.95" customHeight="1" x14ac:dyDescent="0.25">
      <c r="AC562" s="70" t="str">
        <f>IF(AND(Sheet1!O562="SIM",Sheet1!P562="SIM"),"Sim","")</f>
        <v/>
      </c>
      <c r="AD562" s="70" t="str">
        <f>IF(AC562="sim",Sheet1!I562,"")</f>
        <v/>
      </c>
    </row>
    <row r="563" spans="29:30" ht="24.95" customHeight="1" x14ac:dyDescent="0.25">
      <c r="AC563" s="70" t="str">
        <f>IF(AND(Sheet1!O563="SIM",Sheet1!P563="SIM"),"Sim","")</f>
        <v/>
      </c>
      <c r="AD563" s="70" t="str">
        <f>IF(AC563="sim",Sheet1!I563,"")</f>
        <v/>
      </c>
    </row>
    <row r="564" spans="29:30" ht="24.95" customHeight="1" x14ac:dyDescent="0.25">
      <c r="AC564" s="70" t="str">
        <f>IF(AND(Sheet1!O564="SIM",Sheet1!P564="SIM"),"Sim","")</f>
        <v/>
      </c>
      <c r="AD564" s="70" t="str">
        <f>IF(AC564="sim",Sheet1!I564,"")</f>
        <v/>
      </c>
    </row>
    <row r="565" spans="29:30" ht="24.95" customHeight="1" x14ac:dyDescent="0.25">
      <c r="AC565" s="70" t="str">
        <f>IF(AND(Sheet1!O565="SIM",Sheet1!P565="SIM"),"Sim","")</f>
        <v/>
      </c>
      <c r="AD565" s="70" t="str">
        <f>IF(AC565="sim",Sheet1!I565,"")</f>
        <v/>
      </c>
    </row>
    <row r="566" spans="29:30" ht="24.95" customHeight="1" x14ac:dyDescent="0.25">
      <c r="AC566" s="70" t="str">
        <f>IF(AND(Sheet1!O566="SIM",Sheet1!P566="SIM"),"Sim","")</f>
        <v/>
      </c>
      <c r="AD566" s="70" t="str">
        <f>IF(AC566="sim",Sheet1!I566,"")</f>
        <v/>
      </c>
    </row>
    <row r="567" spans="29:30" ht="24.95" customHeight="1" x14ac:dyDescent="0.25">
      <c r="AC567" s="70" t="str">
        <f>IF(AND(Sheet1!O567="SIM",Sheet1!P567="SIM"),"Sim","")</f>
        <v/>
      </c>
      <c r="AD567" s="70" t="str">
        <f>IF(AC567="sim",Sheet1!I567,"")</f>
        <v/>
      </c>
    </row>
    <row r="568" spans="29:30" ht="24.95" customHeight="1" x14ac:dyDescent="0.25">
      <c r="AC568" s="70" t="str">
        <f>IF(AND(Sheet1!O568="SIM",Sheet1!P568="SIM"),"Sim","")</f>
        <v/>
      </c>
      <c r="AD568" s="70" t="str">
        <f>IF(AC568="sim",Sheet1!I568,"")</f>
        <v/>
      </c>
    </row>
    <row r="569" spans="29:30" ht="24.95" customHeight="1" x14ac:dyDescent="0.25">
      <c r="AC569" s="70" t="str">
        <f>IF(AND(Sheet1!O569="SIM",Sheet1!P569="SIM"),"Sim","")</f>
        <v/>
      </c>
      <c r="AD569" s="70" t="str">
        <f>IF(AC569="sim",Sheet1!I569,"")</f>
        <v/>
      </c>
    </row>
    <row r="570" spans="29:30" ht="24.95" customHeight="1" x14ac:dyDescent="0.25">
      <c r="AC570" s="70" t="str">
        <f>IF(AND(Sheet1!O570="SIM",Sheet1!P570="SIM"),"Sim","")</f>
        <v/>
      </c>
      <c r="AD570" s="70" t="str">
        <f>IF(AC570="sim",Sheet1!I570,"")</f>
        <v/>
      </c>
    </row>
    <row r="571" spans="29:30" ht="24.95" customHeight="1" x14ac:dyDescent="0.25">
      <c r="AC571" s="70" t="str">
        <f>IF(AND(Sheet1!O571="SIM",Sheet1!P571="SIM"),"Sim","")</f>
        <v/>
      </c>
      <c r="AD571" s="70" t="str">
        <f>IF(AC571="sim",Sheet1!I571,"")</f>
        <v/>
      </c>
    </row>
    <row r="572" spans="29:30" ht="24.95" customHeight="1" x14ac:dyDescent="0.25">
      <c r="AC572" s="70" t="str">
        <f>IF(AND(Sheet1!O572="SIM",Sheet1!P572="SIM"),"Sim","")</f>
        <v/>
      </c>
      <c r="AD572" s="70" t="str">
        <f>IF(AC572="sim",Sheet1!I572,"")</f>
        <v/>
      </c>
    </row>
    <row r="573" spans="29:30" ht="24.95" customHeight="1" x14ac:dyDescent="0.25">
      <c r="AC573" s="70" t="str">
        <f>IF(AND(Sheet1!O573="SIM",Sheet1!P573="SIM"),"Sim","")</f>
        <v/>
      </c>
      <c r="AD573" s="70" t="str">
        <f>IF(AC573="sim",Sheet1!I573,"")</f>
        <v/>
      </c>
    </row>
    <row r="574" spans="29:30" ht="24.95" customHeight="1" x14ac:dyDescent="0.25">
      <c r="AC574" s="70" t="str">
        <f>IF(AND(Sheet1!O574="SIM",Sheet1!P574="SIM"),"Sim","")</f>
        <v/>
      </c>
      <c r="AD574" s="70" t="str">
        <f>IF(AC574="sim",Sheet1!I574,"")</f>
        <v/>
      </c>
    </row>
    <row r="575" spans="29:30" ht="24.95" customHeight="1" x14ac:dyDescent="0.25">
      <c r="AC575" s="70" t="str">
        <f>IF(AND(Sheet1!O575="SIM",Sheet1!P575="SIM"),"Sim","")</f>
        <v/>
      </c>
      <c r="AD575" s="70" t="str">
        <f>IF(AC575="sim",Sheet1!I575,"")</f>
        <v/>
      </c>
    </row>
    <row r="576" spans="29:30" ht="24.95" customHeight="1" x14ac:dyDescent="0.25">
      <c r="AC576" s="70" t="str">
        <f>IF(AND(Sheet1!O576="SIM",Sheet1!P576="SIM"),"Sim","")</f>
        <v/>
      </c>
      <c r="AD576" s="70" t="str">
        <f>IF(AC576="sim",Sheet1!I576,"")</f>
        <v/>
      </c>
    </row>
    <row r="577" spans="29:30" ht="24.95" customHeight="1" x14ac:dyDescent="0.25">
      <c r="AC577" s="70" t="str">
        <f>IF(AND(Sheet1!O577="SIM",Sheet1!P577="SIM"),"Sim","")</f>
        <v/>
      </c>
      <c r="AD577" s="70" t="str">
        <f>IF(AC577="sim",Sheet1!I577,"")</f>
        <v/>
      </c>
    </row>
    <row r="578" spans="29:30" ht="24.95" customHeight="1" x14ac:dyDescent="0.25">
      <c r="AC578" s="70" t="str">
        <f>IF(AND(Sheet1!O578="SIM",Sheet1!P578="SIM"),"Sim","")</f>
        <v/>
      </c>
      <c r="AD578" s="70" t="str">
        <f>IF(AC578="sim",Sheet1!I578,"")</f>
        <v/>
      </c>
    </row>
    <row r="579" spans="29:30" ht="24.95" customHeight="1" x14ac:dyDescent="0.25">
      <c r="AC579" s="70" t="str">
        <f>IF(AND(Sheet1!O579="SIM",Sheet1!P579="SIM"),"Sim","")</f>
        <v/>
      </c>
      <c r="AD579" s="70" t="str">
        <f>IF(AC579="sim",Sheet1!I579,"")</f>
        <v/>
      </c>
    </row>
    <row r="580" spans="29:30" ht="24.95" customHeight="1" x14ac:dyDescent="0.25">
      <c r="AC580" s="70" t="str">
        <f>IF(AND(Sheet1!O580="SIM",Sheet1!P580="SIM"),"Sim","")</f>
        <v/>
      </c>
      <c r="AD580" s="70" t="str">
        <f>IF(AC580="sim",Sheet1!I580,"")</f>
        <v/>
      </c>
    </row>
    <row r="581" spans="29:30" ht="24.95" customHeight="1" x14ac:dyDescent="0.25">
      <c r="AC581" s="70" t="str">
        <f>IF(AND(Sheet1!O581="SIM",Sheet1!P581="SIM"),"Sim","")</f>
        <v/>
      </c>
      <c r="AD581" s="70" t="str">
        <f>IF(AC581="sim",Sheet1!I581,"")</f>
        <v/>
      </c>
    </row>
    <row r="582" spans="29:30" ht="24.95" customHeight="1" x14ac:dyDescent="0.25">
      <c r="AC582" s="70" t="str">
        <f>IF(AND(Sheet1!O582="SIM",Sheet1!P582="SIM"),"Sim","")</f>
        <v/>
      </c>
      <c r="AD582" s="70" t="str">
        <f>IF(AC582="sim",Sheet1!I582,"")</f>
        <v/>
      </c>
    </row>
    <row r="583" spans="29:30" ht="24.95" customHeight="1" x14ac:dyDescent="0.25">
      <c r="AC583" s="70" t="str">
        <f>IF(AND(Sheet1!O583="SIM",Sheet1!P583="SIM"),"Sim","")</f>
        <v/>
      </c>
      <c r="AD583" s="70" t="str">
        <f>IF(AC583="sim",Sheet1!I583,"")</f>
        <v/>
      </c>
    </row>
    <row r="584" spans="29:30" ht="24.95" customHeight="1" x14ac:dyDescent="0.25">
      <c r="AC584" s="70" t="str">
        <f>IF(AND(Sheet1!O584="SIM",Sheet1!P584="SIM"),"Sim","")</f>
        <v/>
      </c>
      <c r="AD584" s="70" t="str">
        <f>IF(AC584="sim",Sheet1!I584,"")</f>
        <v/>
      </c>
    </row>
    <row r="585" spans="29:30" ht="24.95" customHeight="1" x14ac:dyDescent="0.25">
      <c r="AC585" s="70" t="str">
        <f>IF(AND(Sheet1!O585="SIM",Sheet1!P585="SIM"),"Sim","")</f>
        <v/>
      </c>
      <c r="AD585" s="70" t="str">
        <f>IF(AC585="sim",Sheet1!I585,"")</f>
        <v/>
      </c>
    </row>
    <row r="586" spans="29:30" ht="24.95" customHeight="1" x14ac:dyDescent="0.25">
      <c r="AC586" s="70" t="str">
        <f>IF(AND(Sheet1!O586="SIM",Sheet1!P586="SIM"),"Sim","")</f>
        <v/>
      </c>
      <c r="AD586" s="70" t="str">
        <f>IF(AC586="sim",Sheet1!I586,"")</f>
        <v/>
      </c>
    </row>
    <row r="587" spans="29:30" ht="24.95" customHeight="1" x14ac:dyDescent="0.25">
      <c r="AC587" s="70" t="str">
        <f>IF(AND(Sheet1!O587="SIM",Sheet1!P587="SIM"),"Sim","")</f>
        <v/>
      </c>
      <c r="AD587" s="70" t="str">
        <f>IF(AC587="sim",Sheet1!I587,"")</f>
        <v/>
      </c>
    </row>
    <row r="588" spans="29:30" ht="24.95" customHeight="1" x14ac:dyDescent="0.25">
      <c r="AC588" s="70" t="str">
        <f>IF(AND(Sheet1!O588="SIM",Sheet1!P588="SIM"),"Sim","")</f>
        <v/>
      </c>
      <c r="AD588" s="70" t="str">
        <f>IF(AC588="sim",Sheet1!I588,"")</f>
        <v/>
      </c>
    </row>
    <row r="589" spans="29:30" ht="24.95" customHeight="1" x14ac:dyDescent="0.25">
      <c r="AC589" s="70" t="str">
        <f>IF(AND(Sheet1!O589="SIM",Sheet1!P589="SIM"),"Sim","")</f>
        <v/>
      </c>
      <c r="AD589" s="70" t="str">
        <f>IF(AC589="sim",Sheet1!I589,"")</f>
        <v/>
      </c>
    </row>
    <row r="590" spans="29:30" ht="24.95" customHeight="1" x14ac:dyDescent="0.25">
      <c r="AC590" s="70" t="str">
        <f>IF(AND(Sheet1!O590="SIM",Sheet1!P590="SIM"),"Sim","")</f>
        <v/>
      </c>
      <c r="AD590" s="70" t="str">
        <f>IF(AC590="sim",Sheet1!I590,"")</f>
        <v/>
      </c>
    </row>
    <row r="591" spans="29:30" ht="24.95" customHeight="1" x14ac:dyDescent="0.25">
      <c r="AC591" s="70" t="str">
        <f>IF(AND(Sheet1!O591="SIM",Sheet1!P591="SIM"),"Sim","")</f>
        <v/>
      </c>
      <c r="AD591" s="70" t="str">
        <f>IF(AC591="sim",Sheet1!I591,"")</f>
        <v/>
      </c>
    </row>
    <row r="592" spans="29:30" ht="24.95" customHeight="1" x14ac:dyDescent="0.25">
      <c r="AC592" s="70" t="str">
        <f>IF(AND(Sheet1!O592="SIM",Sheet1!P592="SIM"),"Sim","")</f>
        <v/>
      </c>
      <c r="AD592" s="70" t="str">
        <f>IF(AC592="sim",Sheet1!I592,"")</f>
        <v/>
      </c>
    </row>
    <row r="593" spans="29:30" ht="24.95" customHeight="1" x14ac:dyDescent="0.25">
      <c r="AC593" s="70" t="str">
        <f>IF(AND(Sheet1!O593="SIM",Sheet1!P593="SIM"),"Sim","")</f>
        <v/>
      </c>
      <c r="AD593" s="70" t="str">
        <f>IF(AC593="sim",Sheet1!I593,"")</f>
        <v/>
      </c>
    </row>
    <row r="594" spans="29:30" ht="24.95" customHeight="1" x14ac:dyDescent="0.25">
      <c r="AC594" s="70" t="str">
        <f>IF(AND(Sheet1!O594="SIM",Sheet1!P594="SIM"),"Sim","")</f>
        <v/>
      </c>
      <c r="AD594" s="70" t="str">
        <f>IF(AC594="sim",Sheet1!I594,"")</f>
        <v/>
      </c>
    </row>
    <row r="595" spans="29:30" ht="24.95" customHeight="1" x14ac:dyDescent="0.25">
      <c r="AC595" s="70" t="str">
        <f>IF(AND(Sheet1!O595="SIM",Sheet1!P595="SIM"),"Sim","")</f>
        <v/>
      </c>
      <c r="AD595" s="70" t="str">
        <f>IF(AC595="sim",Sheet1!I595,"")</f>
        <v/>
      </c>
    </row>
    <row r="596" spans="29:30" ht="24.95" customHeight="1" x14ac:dyDescent="0.25">
      <c r="AC596" s="70" t="str">
        <f>IF(AND(Sheet1!O596="SIM",Sheet1!P596="SIM"),"Sim","")</f>
        <v/>
      </c>
      <c r="AD596" s="70" t="str">
        <f>IF(AC596="sim",Sheet1!I596,"")</f>
        <v/>
      </c>
    </row>
    <row r="597" spans="29:30" ht="24.95" customHeight="1" x14ac:dyDescent="0.25">
      <c r="AC597" s="70" t="str">
        <f>IF(AND(Sheet1!O597="SIM",Sheet1!P597="SIM"),"Sim","")</f>
        <v/>
      </c>
      <c r="AD597" s="70" t="str">
        <f>IF(AC597="sim",Sheet1!I597,"")</f>
        <v/>
      </c>
    </row>
    <row r="598" spans="29:30" ht="24.95" customHeight="1" x14ac:dyDescent="0.25">
      <c r="AC598" s="70" t="str">
        <f>IF(AND(Sheet1!O598="SIM",Sheet1!P598="SIM"),"Sim","")</f>
        <v/>
      </c>
      <c r="AD598" s="70" t="str">
        <f>IF(AC598="sim",Sheet1!I598,"")</f>
        <v/>
      </c>
    </row>
    <row r="599" spans="29:30" ht="24.95" customHeight="1" x14ac:dyDescent="0.25">
      <c r="AC599" s="70" t="str">
        <f>IF(AND(Sheet1!O599="SIM",Sheet1!P599="SIM"),"Sim","")</f>
        <v/>
      </c>
      <c r="AD599" s="70" t="str">
        <f>IF(AC599="sim",Sheet1!I599,"")</f>
        <v/>
      </c>
    </row>
    <row r="600" spans="29:30" ht="24.95" customHeight="1" x14ac:dyDescent="0.25">
      <c r="AC600" s="70" t="str">
        <f>IF(AND(Sheet1!O600="SIM",Sheet1!P600="SIM"),"Sim","")</f>
        <v/>
      </c>
      <c r="AD600" s="70" t="str">
        <f>IF(AC600="sim",Sheet1!I600,"")</f>
        <v/>
      </c>
    </row>
    <row r="601" spans="29:30" ht="24.95" customHeight="1" x14ac:dyDescent="0.25">
      <c r="AC601" s="70" t="str">
        <f>IF(AND(Sheet1!O601="SIM",Sheet1!P601="SIM"),"Sim","")</f>
        <v/>
      </c>
      <c r="AD601" s="70" t="str">
        <f>IF(AC601="sim",Sheet1!I601,"")</f>
        <v/>
      </c>
    </row>
    <row r="602" spans="29:30" ht="24.95" customHeight="1" x14ac:dyDescent="0.25">
      <c r="AC602" s="70" t="str">
        <f>IF(AND(Sheet1!O602="SIM",Sheet1!P602="SIM"),"Sim","")</f>
        <v/>
      </c>
      <c r="AD602" s="70" t="str">
        <f>IF(AC602="sim",Sheet1!I602,"")</f>
        <v/>
      </c>
    </row>
    <row r="603" spans="29:30" ht="24.95" customHeight="1" x14ac:dyDescent="0.25">
      <c r="AC603" s="70" t="str">
        <f>IF(AND(Sheet1!O603="SIM",Sheet1!P603="SIM"),"Sim","")</f>
        <v/>
      </c>
      <c r="AD603" s="70" t="str">
        <f>IF(AC603="sim",Sheet1!I603,"")</f>
        <v/>
      </c>
    </row>
    <row r="604" spans="29:30" ht="24.95" customHeight="1" x14ac:dyDescent="0.25">
      <c r="AC604" s="70" t="str">
        <f>IF(AND(Sheet1!O604="SIM",Sheet1!P604="SIM"),"Sim","")</f>
        <v/>
      </c>
      <c r="AD604" s="70" t="str">
        <f>IF(AC604="sim",Sheet1!I604,"")</f>
        <v/>
      </c>
    </row>
    <row r="605" spans="29:30" ht="24.95" customHeight="1" x14ac:dyDescent="0.25">
      <c r="AC605" s="70" t="str">
        <f>IF(AND(Sheet1!O605="SIM",Sheet1!P605="SIM"),"Sim","")</f>
        <v/>
      </c>
      <c r="AD605" s="70" t="str">
        <f>IF(AC605="sim",Sheet1!I605,"")</f>
        <v/>
      </c>
    </row>
    <row r="606" spans="29:30" ht="24.95" customHeight="1" x14ac:dyDescent="0.25">
      <c r="AC606" s="70" t="str">
        <f>IF(AND(Sheet1!O606="SIM",Sheet1!P606="SIM"),"Sim","")</f>
        <v/>
      </c>
      <c r="AD606" s="70" t="str">
        <f>IF(AC606="sim",Sheet1!I606,"")</f>
        <v/>
      </c>
    </row>
    <row r="607" spans="29:30" ht="24.95" customHeight="1" x14ac:dyDescent="0.25">
      <c r="AC607" s="70" t="str">
        <f>IF(AND(Sheet1!O607="SIM",Sheet1!P607="SIM"),"Sim","")</f>
        <v/>
      </c>
      <c r="AD607" s="70" t="str">
        <f>IF(AC607="sim",Sheet1!I607,"")</f>
        <v/>
      </c>
    </row>
    <row r="608" spans="29:30" ht="24.95" customHeight="1" x14ac:dyDescent="0.25">
      <c r="AC608" s="70" t="str">
        <f>IF(AND(Sheet1!O608="SIM",Sheet1!P608="SIM"),"Sim","")</f>
        <v/>
      </c>
      <c r="AD608" s="70" t="str">
        <f>IF(AC608="sim",Sheet1!I608,"")</f>
        <v/>
      </c>
    </row>
    <row r="609" spans="29:30" ht="24.95" customHeight="1" x14ac:dyDescent="0.25">
      <c r="AC609" s="70" t="str">
        <f>IF(AND(Sheet1!O609="SIM",Sheet1!P609="SIM"),"Sim","")</f>
        <v/>
      </c>
      <c r="AD609" s="70" t="str">
        <f>IF(AC609="sim",Sheet1!I609,"")</f>
        <v/>
      </c>
    </row>
    <row r="610" spans="29:30" ht="24.95" customHeight="1" x14ac:dyDescent="0.25">
      <c r="AC610" s="70" t="str">
        <f>IF(AND(Sheet1!O610="SIM",Sheet1!P610="SIM"),"Sim","")</f>
        <v/>
      </c>
      <c r="AD610" s="70" t="str">
        <f>IF(AC610="sim",Sheet1!I610,"")</f>
        <v/>
      </c>
    </row>
    <row r="611" spans="29:30" ht="24.95" customHeight="1" x14ac:dyDescent="0.25">
      <c r="AC611" s="70" t="str">
        <f>IF(AND(Sheet1!O611="SIM",Sheet1!P611="SIM"),"Sim","")</f>
        <v/>
      </c>
      <c r="AD611" s="70" t="str">
        <f>IF(AC611="sim",Sheet1!I611,"")</f>
        <v/>
      </c>
    </row>
    <row r="612" spans="29:30" x14ac:dyDescent="0.25">
      <c r="AC612" s="70" t="str">
        <f>IF(AND(Sheet1!O612="SIM",Sheet1!P612="SIM"),"Sim","")</f>
        <v/>
      </c>
      <c r="AD612" s="70" t="str">
        <f>IF(AC612="sim",Sheet1!I612,"")</f>
        <v/>
      </c>
    </row>
    <row r="613" spans="29:30" x14ac:dyDescent="0.25">
      <c r="AC613" s="70" t="str">
        <f>IF(AND(Sheet1!O613="SIM",Sheet1!P613="SIM"),"Sim","")</f>
        <v/>
      </c>
      <c r="AD613" s="70" t="str">
        <f>IF(AC613="sim",Sheet1!I613,"")</f>
        <v/>
      </c>
    </row>
    <row r="614" spans="29:30" x14ac:dyDescent="0.25">
      <c r="AC614" s="70" t="str">
        <f>IF(AND(Sheet1!O614="SIM",Sheet1!P614="SIM"),"Sim","")</f>
        <v/>
      </c>
      <c r="AD614" s="70" t="str">
        <f>IF(AC614="sim",Sheet1!I614,"")</f>
        <v/>
      </c>
    </row>
    <row r="615" spans="29:30" x14ac:dyDescent="0.25">
      <c r="AC615" s="70" t="str">
        <f>IF(AND(Sheet1!O615="SIM",Sheet1!P615="SIM"),"Sim","")</f>
        <v/>
      </c>
      <c r="AD615" s="70" t="str">
        <f>IF(AC615="sim",Sheet1!I615,"")</f>
        <v/>
      </c>
    </row>
    <row r="616" spans="29:30" x14ac:dyDescent="0.25">
      <c r="AC616" s="70" t="str">
        <f>IF(AND(Sheet1!O616="SIM",Sheet1!P616="SIM"),"Sim","")</f>
        <v/>
      </c>
      <c r="AD616" s="70" t="str">
        <f>IF(AC616="sim",Sheet1!I616,"")</f>
        <v/>
      </c>
    </row>
    <row r="617" spans="29:30" x14ac:dyDescent="0.25">
      <c r="AC617" s="70" t="str">
        <f>IF(AND(Sheet1!O617="SIM",Sheet1!P617="SIM"),"Sim","")</f>
        <v/>
      </c>
      <c r="AD617" s="70" t="str">
        <f>IF(AC617="sim",Sheet1!I617,"")</f>
        <v/>
      </c>
    </row>
    <row r="618" spans="29:30" x14ac:dyDescent="0.25">
      <c r="AC618" s="70" t="str">
        <f>IF(AND(Sheet1!O618="SIM",Sheet1!P618="SIM"),"Sim","")</f>
        <v/>
      </c>
      <c r="AD618" s="70" t="str">
        <f>IF(AC618="sim",Sheet1!I618,"")</f>
        <v/>
      </c>
    </row>
    <row r="619" spans="29:30" x14ac:dyDescent="0.25">
      <c r="AC619" s="70" t="str">
        <f>IF(AND(Sheet1!O619="SIM",Sheet1!P619="SIM"),"Sim","")</f>
        <v/>
      </c>
      <c r="AD619" s="70" t="str">
        <f>IF(AC619="sim",Sheet1!I619,"")</f>
        <v/>
      </c>
    </row>
    <row r="620" spans="29:30" x14ac:dyDescent="0.25">
      <c r="AC620" s="70" t="str">
        <f>IF(AND(Sheet1!O620="SIM",Sheet1!P620="SIM"),"Sim","")</f>
        <v/>
      </c>
      <c r="AD620" s="70" t="str">
        <f>IF(AC620="sim",Sheet1!I620,"")</f>
        <v/>
      </c>
    </row>
    <row r="621" spans="29:30" x14ac:dyDescent="0.25">
      <c r="AC621" s="70" t="str">
        <f>IF(AND(Sheet1!O621="SIM",Sheet1!P621="SIM"),"Sim","")</f>
        <v/>
      </c>
      <c r="AD621" s="70" t="str">
        <f>IF(AC621="sim",Sheet1!I621,"")</f>
        <v/>
      </c>
    </row>
    <row r="622" spans="29:30" x14ac:dyDescent="0.25">
      <c r="AC622" s="70" t="str">
        <f>IF(AND(Sheet1!O622="SIM",Sheet1!P622="SIM"),"Sim","")</f>
        <v/>
      </c>
      <c r="AD622" s="70" t="str">
        <f>IF(AC622="sim",Sheet1!I622,"")</f>
        <v/>
      </c>
    </row>
    <row r="623" spans="29:30" x14ac:dyDescent="0.25">
      <c r="AC623" s="70" t="str">
        <f>IF(AND(Sheet1!O623="SIM",Sheet1!P623="SIM"),"Sim","")</f>
        <v/>
      </c>
      <c r="AD623" s="70" t="str">
        <f>IF(AC623="sim",Sheet1!I623,"")</f>
        <v/>
      </c>
    </row>
    <row r="624" spans="29:30" x14ac:dyDescent="0.25">
      <c r="AC624" s="70" t="str">
        <f>IF(AND(Sheet1!O624="SIM",Sheet1!P624="SIM"),"Sim","")</f>
        <v/>
      </c>
      <c r="AD624" s="70" t="str">
        <f>IF(AC624="sim",Sheet1!I624,"")</f>
        <v/>
      </c>
    </row>
    <row r="625" spans="29:30" x14ac:dyDescent="0.25">
      <c r="AC625" s="70" t="str">
        <f>IF(AND(Sheet1!O625="SIM",Sheet1!P625="SIM"),"Sim","")</f>
        <v/>
      </c>
      <c r="AD625" s="70" t="str">
        <f>IF(AC625="sim",Sheet1!I625,"")</f>
        <v/>
      </c>
    </row>
    <row r="626" spans="29:30" x14ac:dyDescent="0.25">
      <c r="AC626" s="70" t="str">
        <f>IF(AND(Sheet1!O626="SIM",Sheet1!P626="SIM"),"Sim","")</f>
        <v/>
      </c>
      <c r="AD626" s="70" t="str">
        <f>IF(AC626="sim",Sheet1!I626,"")</f>
        <v/>
      </c>
    </row>
    <row r="627" spans="29:30" x14ac:dyDescent="0.25">
      <c r="AC627" s="70" t="str">
        <f>IF(AND(Sheet1!O627="SIM",Sheet1!P627="SIM"),"Sim","")</f>
        <v/>
      </c>
      <c r="AD627" s="70" t="str">
        <f>IF(AC627="sim",Sheet1!I627,"")</f>
        <v/>
      </c>
    </row>
    <row r="628" spans="29:30" x14ac:dyDescent="0.25">
      <c r="AC628" s="70" t="str">
        <f>IF(AND(Sheet1!O628="SIM",Sheet1!P628="SIM"),"Sim","")</f>
        <v/>
      </c>
      <c r="AD628" s="70" t="str">
        <f>IF(AC628="sim",Sheet1!I628,"")</f>
        <v/>
      </c>
    </row>
    <row r="629" spans="29:30" x14ac:dyDescent="0.25">
      <c r="AC629" s="70" t="str">
        <f>IF(AND(Sheet1!O629="SIM",Sheet1!P629="SIM"),"Sim","")</f>
        <v/>
      </c>
      <c r="AD629" s="70" t="str">
        <f>IF(AC629="sim",Sheet1!I629,"")</f>
        <v/>
      </c>
    </row>
    <row r="630" spans="29:30" x14ac:dyDescent="0.25">
      <c r="AC630" s="70" t="str">
        <f>IF(AND(Sheet1!O630="SIM",Sheet1!P630="SIM"),"Sim","")</f>
        <v/>
      </c>
      <c r="AD630" s="70" t="str">
        <f>IF(AC630="sim",Sheet1!I630,"")</f>
        <v/>
      </c>
    </row>
    <row r="631" spans="29:30" x14ac:dyDescent="0.25">
      <c r="AC631" s="70" t="str">
        <f>IF(AND(Sheet1!O631="SIM",Sheet1!P631="SIM"),"Sim","")</f>
        <v/>
      </c>
      <c r="AD631" s="70" t="str">
        <f>IF(AC631="sim",Sheet1!I631,"")</f>
        <v/>
      </c>
    </row>
    <row r="632" spans="29:30" x14ac:dyDescent="0.25">
      <c r="AC632" s="70" t="str">
        <f>IF(AND(Sheet1!O632="SIM",Sheet1!P632="SIM"),"Sim","")</f>
        <v/>
      </c>
      <c r="AD632" s="70" t="str">
        <f>IF(AC632="sim",Sheet1!I632,"")</f>
        <v/>
      </c>
    </row>
    <row r="633" spans="29:30" x14ac:dyDescent="0.25">
      <c r="AC633" s="70" t="str">
        <f>IF(AND(Sheet1!O633="SIM",Sheet1!P633="SIM"),"Sim","")</f>
        <v/>
      </c>
      <c r="AD633" s="70" t="str">
        <f>IF(AC633="sim",Sheet1!I633,"")</f>
        <v/>
      </c>
    </row>
    <row r="634" spans="29:30" x14ac:dyDescent="0.25">
      <c r="AC634" s="70" t="str">
        <f>IF(AND(Sheet1!O634="SIM",Sheet1!P634="SIM"),"Sim","")</f>
        <v/>
      </c>
      <c r="AD634" s="70" t="str">
        <f>IF(AC634="sim",Sheet1!I634,"")</f>
        <v/>
      </c>
    </row>
    <row r="635" spans="29:30" x14ac:dyDescent="0.25">
      <c r="AC635" s="70" t="str">
        <f>IF(AND(Sheet1!O635="SIM",Sheet1!P635="SIM"),"Sim","")</f>
        <v/>
      </c>
      <c r="AD635" s="70" t="str">
        <f>IF(AC635="sim",Sheet1!I635,"")</f>
        <v/>
      </c>
    </row>
    <row r="636" spans="29:30" x14ac:dyDescent="0.25">
      <c r="AC636" s="70" t="str">
        <f>IF(AND(Sheet1!O636="SIM",Sheet1!P636="SIM"),"Sim","")</f>
        <v/>
      </c>
      <c r="AD636" s="70" t="str">
        <f>IF(AC636="sim",Sheet1!I636,"")</f>
        <v/>
      </c>
    </row>
    <row r="637" spans="29:30" x14ac:dyDescent="0.25">
      <c r="AC637" s="70" t="str">
        <f>IF(AND(Sheet1!O637="SIM",Sheet1!P637="SIM"),"Sim","")</f>
        <v/>
      </c>
      <c r="AD637" s="70" t="str">
        <f>IF(AC637="sim",Sheet1!I637,"")</f>
        <v/>
      </c>
    </row>
    <row r="638" spans="29:30" x14ac:dyDescent="0.25">
      <c r="AC638" s="70" t="str">
        <f>IF(AND(Sheet1!O638="SIM",Sheet1!P638="SIM"),"Sim","")</f>
        <v/>
      </c>
      <c r="AD638" s="70" t="str">
        <f>IF(AC638="sim",Sheet1!I638,"")</f>
        <v/>
      </c>
    </row>
    <row r="639" spans="29:30" x14ac:dyDescent="0.25">
      <c r="AC639" s="70" t="str">
        <f>IF(AND(Sheet1!O639="SIM",Sheet1!P639="SIM"),"Sim","")</f>
        <v/>
      </c>
      <c r="AD639" s="70" t="str">
        <f>IF(AC639="sim",Sheet1!I639,"")</f>
        <v/>
      </c>
    </row>
    <row r="640" spans="29:30" x14ac:dyDescent="0.25">
      <c r="AC640" s="70" t="str">
        <f>IF(AND(Sheet1!O640="SIM",Sheet1!P640="SIM"),"Sim","")</f>
        <v/>
      </c>
      <c r="AD640" s="70" t="str">
        <f>IF(AC640="sim",Sheet1!I640,"")</f>
        <v/>
      </c>
    </row>
    <row r="641" spans="29:30" x14ac:dyDescent="0.25">
      <c r="AC641" s="70" t="str">
        <f>IF(AND(Sheet1!O641="SIM",Sheet1!P641="SIM"),"Sim","")</f>
        <v/>
      </c>
      <c r="AD641" s="70" t="str">
        <f>IF(AC641="sim",Sheet1!I641,"")</f>
        <v/>
      </c>
    </row>
    <row r="642" spans="29:30" x14ac:dyDescent="0.25">
      <c r="AC642" s="70" t="str">
        <f>IF(AND(Sheet1!O642="SIM",Sheet1!P642="SIM"),"Sim","")</f>
        <v/>
      </c>
      <c r="AD642" s="70" t="str">
        <f>IF(AC642="sim",Sheet1!I642,"")</f>
        <v/>
      </c>
    </row>
    <row r="643" spans="29:30" x14ac:dyDescent="0.25">
      <c r="AC643" s="70" t="str">
        <f>IF(AND(Sheet1!O643="SIM",Sheet1!P643="SIM"),"Sim","")</f>
        <v/>
      </c>
      <c r="AD643" s="70" t="str">
        <f>IF(AC643="sim",Sheet1!I643,"")</f>
        <v/>
      </c>
    </row>
    <row r="644" spans="29:30" x14ac:dyDescent="0.25">
      <c r="AC644" s="70" t="str">
        <f>IF(AND(Sheet1!O644="SIM",Sheet1!P644="SIM"),"Sim","")</f>
        <v/>
      </c>
      <c r="AD644" s="70" t="str">
        <f>IF(AC644="sim",Sheet1!I644,"")</f>
        <v/>
      </c>
    </row>
    <row r="645" spans="29:30" x14ac:dyDescent="0.25">
      <c r="AC645" s="70" t="str">
        <f>IF(AND(Sheet1!O645="SIM",Sheet1!P645="SIM"),"Sim","")</f>
        <v/>
      </c>
      <c r="AD645" s="70" t="str">
        <f>IF(AC645="sim",Sheet1!I645,"")</f>
        <v/>
      </c>
    </row>
    <row r="646" spans="29:30" x14ac:dyDescent="0.25">
      <c r="AC646" s="70" t="str">
        <f>IF(AND(Sheet1!O646="SIM",Sheet1!P646="SIM"),"Sim","")</f>
        <v/>
      </c>
      <c r="AD646" s="70" t="str">
        <f>IF(AC646="sim",Sheet1!I646,"")</f>
        <v/>
      </c>
    </row>
    <row r="647" spans="29:30" x14ac:dyDescent="0.25">
      <c r="AC647" s="70" t="str">
        <f>IF(AND(Sheet1!O647="SIM",Sheet1!P647="SIM"),"Sim","")</f>
        <v/>
      </c>
      <c r="AD647" s="70" t="str">
        <f>IF(AC647="sim",Sheet1!I647,"")</f>
        <v/>
      </c>
    </row>
    <row r="648" spans="29:30" x14ac:dyDescent="0.25">
      <c r="AC648" s="70" t="str">
        <f>IF(AND(Sheet1!O648="SIM",Sheet1!P648="SIM"),"Sim","")</f>
        <v/>
      </c>
      <c r="AD648" s="70" t="str">
        <f>IF(AC648="sim",Sheet1!I648,"")</f>
        <v/>
      </c>
    </row>
    <row r="649" spans="29:30" x14ac:dyDescent="0.25">
      <c r="AC649" s="70" t="str">
        <f>IF(AND(Sheet1!O649="SIM",Sheet1!P649="SIM"),"Sim","")</f>
        <v/>
      </c>
      <c r="AD649" s="70" t="str">
        <f>IF(AC649="sim",Sheet1!I649,"")</f>
        <v/>
      </c>
    </row>
    <row r="650" spans="29:30" x14ac:dyDescent="0.25">
      <c r="AC650" s="70" t="str">
        <f>IF(AND(Sheet1!O650="SIM",Sheet1!P650="SIM"),"Sim","")</f>
        <v/>
      </c>
      <c r="AD650" s="70" t="str">
        <f>IF(AC650="sim",Sheet1!I650,"")</f>
        <v/>
      </c>
    </row>
    <row r="651" spans="29:30" x14ac:dyDescent="0.25">
      <c r="AC651" s="70" t="str">
        <f>IF(AND(Sheet1!O651="SIM",Sheet1!P651="SIM"),"Sim","")</f>
        <v/>
      </c>
      <c r="AD651" s="70" t="str">
        <f>IF(AC651="sim",Sheet1!I651,"")</f>
        <v/>
      </c>
    </row>
    <row r="652" spans="29:30" x14ac:dyDescent="0.25">
      <c r="AC652" s="70" t="str">
        <f>IF(AND(Sheet1!O652="SIM",Sheet1!P652="SIM"),"Sim","")</f>
        <v/>
      </c>
      <c r="AD652" s="70" t="str">
        <f>IF(AC652="sim",Sheet1!I652,"")</f>
        <v/>
      </c>
    </row>
    <row r="653" spans="29:30" x14ac:dyDescent="0.25">
      <c r="AC653" s="70" t="str">
        <f>IF(AND(Sheet1!O653="SIM",Sheet1!P653="SIM"),"Sim","")</f>
        <v/>
      </c>
      <c r="AD653" s="70" t="str">
        <f>IF(AC653="sim",Sheet1!I653,"")</f>
        <v/>
      </c>
    </row>
    <row r="654" spans="29:30" x14ac:dyDescent="0.25">
      <c r="AC654" s="70" t="str">
        <f>IF(AND(Sheet1!O654="SIM",Sheet1!P654="SIM"),"Sim","")</f>
        <v/>
      </c>
      <c r="AD654" s="70" t="str">
        <f>IF(AC654="sim",Sheet1!I654,"")</f>
        <v/>
      </c>
    </row>
    <row r="655" spans="29:30" x14ac:dyDescent="0.25">
      <c r="AC655" s="70" t="str">
        <f>IF(AND(Sheet1!O655="SIM",Sheet1!P655="SIM"),"Sim","")</f>
        <v/>
      </c>
      <c r="AD655" s="70" t="str">
        <f>IF(AC655="sim",Sheet1!I655,"")</f>
        <v/>
      </c>
    </row>
    <row r="656" spans="29:30" x14ac:dyDescent="0.25">
      <c r="AC656" s="70" t="str">
        <f>IF(AND(Sheet1!O656="SIM",Sheet1!P656="SIM"),"Sim","")</f>
        <v/>
      </c>
      <c r="AD656" s="70" t="str">
        <f>IF(AC656="sim",Sheet1!I656,"")</f>
        <v/>
      </c>
    </row>
    <row r="657" spans="29:30" x14ac:dyDescent="0.25">
      <c r="AC657" s="70" t="str">
        <f>IF(AND(Sheet1!O657="SIM",Sheet1!P657="SIM"),"Sim","")</f>
        <v/>
      </c>
      <c r="AD657" s="70" t="str">
        <f>IF(AC657="sim",Sheet1!I657,"")</f>
        <v/>
      </c>
    </row>
    <row r="658" spans="29:30" x14ac:dyDescent="0.25">
      <c r="AC658" s="70" t="str">
        <f>IF(AND(Sheet1!O658="SIM",Sheet1!P658="SIM"),"Sim","")</f>
        <v/>
      </c>
      <c r="AD658" s="70" t="str">
        <f>IF(AC658="sim",Sheet1!I658,"")</f>
        <v/>
      </c>
    </row>
    <row r="659" spans="29:30" x14ac:dyDescent="0.25">
      <c r="AC659" s="70" t="str">
        <f>IF(AND(Sheet1!O659="SIM",Sheet1!P659="SIM"),"Sim","")</f>
        <v/>
      </c>
      <c r="AD659" s="70" t="str">
        <f>IF(AC659="sim",Sheet1!I659,"")</f>
        <v/>
      </c>
    </row>
    <row r="660" spans="29:30" x14ac:dyDescent="0.25">
      <c r="AC660" s="70" t="str">
        <f>IF(AND(Sheet1!O660="SIM",Sheet1!P660="SIM"),"Sim","")</f>
        <v/>
      </c>
      <c r="AD660" s="70" t="str">
        <f>IF(AC660="sim",Sheet1!I660,"")</f>
        <v/>
      </c>
    </row>
    <row r="661" spans="29:30" x14ac:dyDescent="0.25">
      <c r="AC661" s="70" t="str">
        <f>IF(AND(Sheet1!O661="SIM",Sheet1!P661="SIM"),"Sim","")</f>
        <v/>
      </c>
      <c r="AD661" s="70" t="str">
        <f>IF(AC661="sim",Sheet1!I661,"")</f>
        <v/>
      </c>
    </row>
    <row r="662" spans="29:30" x14ac:dyDescent="0.25">
      <c r="AC662" s="70" t="str">
        <f>IF(AND(Sheet1!O662="SIM",Sheet1!P662="SIM"),"Sim","")</f>
        <v/>
      </c>
      <c r="AD662" s="70" t="str">
        <f>IF(AC662="sim",Sheet1!I662,"")</f>
        <v/>
      </c>
    </row>
    <row r="663" spans="29:30" x14ac:dyDescent="0.25">
      <c r="AC663" s="70" t="str">
        <f>IF(AND(Sheet1!O663="SIM",Sheet1!P663="SIM"),"Sim","")</f>
        <v/>
      </c>
      <c r="AD663" s="70" t="str">
        <f>IF(AC663="sim",Sheet1!I663,"")</f>
        <v/>
      </c>
    </row>
    <row r="664" spans="29:30" x14ac:dyDescent="0.25">
      <c r="AC664" s="70" t="str">
        <f>IF(AND(Sheet1!O664="SIM",Sheet1!P664="SIM"),"Sim","")</f>
        <v/>
      </c>
      <c r="AD664" s="70" t="str">
        <f>IF(AC664="sim",Sheet1!I664,"")</f>
        <v/>
      </c>
    </row>
    <row r="665" spans="29:30" x14ac:dyDescent="0.25">
      <c r="AC665" s="70" t="str">
        <f>IF(AND(Sheet1!O665="SIM",Sheet1!P665="SIM"),"Sim","")</f>
        <v/>
      </c>
      <c r="AD665" s="70" t="str">
        <f>IF(AC665="sim",Sheet1!I665,"")</f>
        <v/>
      </c>
    </row>
    <row r="666" spans="29:30" x14ac:dyDescent="0.25">
      <c r="AC666" s="70" t="str">
        <f>IF(AND(Sheet1!O666="SIM",Sheet1!P666="SIM"),"Sim","")</f>
        <v/>
      </c>
      <c r="AD666" s="70" t="str">
        <f>IF(AC666="sim",Sheet1!I666,"")</f>
        <v/>
      </c>
    </row>
    <row r="667" spans="29:30" x14ac:dyDescent="0.25">
      <c r="AC667" s="70" t="str">
        <f>IF(AND(Sheet1!O667="SIM",Sheet1!P667="SIM"),"Sim","")</f>
        <v/>
      </c>
      <c r="AD667" s="70" t="str">
        <f>IF(AC667="sim",Sheet1!I667,"")</f>
        <v/>
      </c>
    </row>
    <row r="668" spans="29:30" x14ac:dyDescent="0.25">
      <c r="AC668" s="70" t="str">
        <f>IF(AND(Sheet1!O668="SIM",Sheet1!P668="SIM"),"Sim","")</f>
        <v/>
      </c>
      <c r="AD668" s="70" t="str">
        <f>IF(AC668="sim",Sheet1!I668,"")</f>
        <v/>
      </c>
    </row>
    <row r="669" spans="29:30" x14ac:dyDescent="0.25">
      <c r="AC669" s="70" t="str">
        <f>IF(AND(Sheet1!O669="SIM",Sheet1!P669="SIM"),"Sim","")</f>
        <v/>
      </c>
      <c r="AD669" s="70" t="str">
        <f>IF(AC669="sim",Sheet1!I669,"")</f>
        <v/>
      </c>
    </row>
    <row r="670" spans="29:30" x14ac:dyDescent="0.25">
      <c r="AC670" s="70" t="str">
        <f>IF(AND(Sheet1!O670="SIM",Sheet1!P670="SIM"),"Sim","")</f>
        <v/>
      </c>
      <c r="AD670" s="70" t="str">
        <f>IF(AC670="sim",Sheet1!I670,"")</f>
        <v/>
      </c>
    </row>
    <row r="671" spans="29:30" x14ac:dyDescent="0.25">
      <c r="AC671" s="70" t="str">
        <f>IF(AND(Sheet1!O671="SIM",Sheet1!P671="SIM"),"Sim","")</f>
        <v/>
      </c>
      <c r="AD671" s="70" t="str">
        <f>IF(AC671="sim",Sheet1!I671,"")</f>
        <v/>
      </c>
    </row>
    <row r="672" spans="29:30" x14ac:dyDescent="0.25">
      <c r="AC672" s="70" t="str">
        <f>IF(AND(Sheet1!O672="SIM",Sheet1!P672="SIM"),"Sim","")</f>
        <v/>
      </c>
      <c r="AD672" s="70" t="str">
        <f>IF(AC672="sim",Sheet1!I672,"")</f>
        <v/>
      </c>
    </row>
    <row r="673" spans="29:30" x14ac:dyDescent="0.25">
      <c r="AC673" s="70" t="str">
        <f>IF(AND(Sheet1!O673="SIM",Sheet1!P673="SIM"),"Sim","")</f>
        <v/>
      </c>
      <c r="AD673" s="70" t="str">
        <f>IF(AC673="sim",Sheet1!I673,"")</f>
        <v/>
      </c>
    </row>
    <row r="674" spans="29:30" x14ac:dyDescent="0.25">
      <c r="AC674" s="70" t="str">
        <f>IF(AND(Sheet1!O674="SIM",Sheet1!P674="SIM"),"Sim","")</f>
        <v/>
      </c>
      <c r="AD674" s="70" t="str">
        <f>IF(AC674="sim",Sheet1!I674,"")</f>
        <v/>
      </c>
    </row>
    <row r="675" spans="29:30" x14ac:dyDescent="0.25">
      <c r="AC675" s="70" t="str">
        <f>IF(AND(Sheet1!O675="SIM",Sheet1!P675="SIM"),"Sim","")</f>
        <v/>
      </c>
      <c r="AD675" s="70" t="str">
        <f>IF(AC675="sim",Sheet1!I675,"")</f>
        <v/>
      </c>
    </row>
    <row r="676" spans="29:30" x14ac:dyDescent="0.25">
      <c r="AC676" s="70" t="str">
        <f>IF(AND(Sheet1!O676="SIM",Sheet1!P676="SIM"),"Sim","")</f>
        <v/>
      </c>
      <c r="AD676" s="70" t="str">
        <f>IF(AC676="sim",Sheet1!I676,"")</f>
        <v/>
      </c>
    </row>
    <row r="677" spans="29:30" x14ac:dyDescent="0.25">
      <c r="AC677" s="70" t="str">
        <f>IF(AND(Sheet1!O677="SIM",Sheet1!P677="SIM"),"Sim","")</f>
        <v/>
      </c>
      <c r="AD677" s="70" t="str">
        <f>IF(AC677="sim",Sheet1!I677,"")</f>
        <v/>
      </c>
    </row>
    <row r="678" spans="29:30" x14ac:dyDescent="0.25">
      <c r="AC678" s="70" t="str">
        <f>IF(AND(Sheet1!O678="SIM",Sheet1!P678="SIM"),"Sim","")</f>
        <v/>
      </c>
      <c r="AD678" s="70" t="str">
        <f>IF(AC678="sim",Sheet1!I678,"")</f>
        <v/>
      </c>
    </row>
    <row r="679" spans="29:30" x14ac:dyDescent="0.25">
      <c r="AC679" s="70" t="str">
        <f>IF(AND(Sheet1!O679="SIM",Sheet1!P679="SIM"),"Sim","")</f>
        <v/>
      </c>
      <c r="AD679" s="70" t="str">
        <f>IF(AC679="sim",Sheet1!I679,"")</f>
        <v/>
      </c>
    </row>
    <row r="680" spans="29:30" x14ac:dyDescent="0.25">
      <c r="AC680" s="70" t="str">
        <f>IF(AND(Sheet1!O680="SIM",Sheet1!P680="SIM"),"Sim","")</f>
        <v/>
      </c>
      <c r="AD680" s="70" t="str">
        <f>IF(AC680="sim",Sheet1!I680,"")</f>
        <v/>
      </c>
    </row>
    <row r="681" spans="29:30" x14ac:dyDescent="0.25">
      <c r="AC681" s="70" t="str">
        <f>IF(AND(Sheet1!O681="SIM",Sheet1!P681="SIM"),"Sim","")</f>
        <v/>
      </c>
      <c r="AD681" s="70" t="str">
        <f>IF(AC681="sim",Sheet1!I681,"")</f>
        <v/>
      </c>
    </row>
    <row r="682" spans="29:30" x14ac:dyDescent="0.25">
      <c r="AC682" s="70" t="str">
        <f>IF(AND(Sheet1!O682="SIM",Sheet1!P682="SIM"),"Sim","")</f>
        <v/>
      </c>
      <c r="AD682" s="70" t="str">
        <f>IF(AC682="sim",Sheet1!I682,"")</f>
        <v/>
      </c>
    </row>
    <row r="683" spans="29:30" x14ac:dyDescent="0.25">
      <c r="AC683" s="70" t="str">
        <f>IF(AND(Sheet1!O683="SIM",Sheet1!P683="SIM"),"Sim","")</f>
        <v/>
      </c>
      <c r="AD683" s="70" t="str">
        <f>IF(AC683="sim",Sheet1!I683,"")</f>
        <v/>
      </c>
    </row>
    <row r="684" spans="29:30" x14ac:dyDescent="0.25">
      <c r="AC684" s="70" t="str">
        <f>IF(AND(Sheet1!O684="SIM",Sheet1!P684="SIM"),"Sim","")</f>
        <v/>
      </c>
      <c r="AD684" s="70" t="str">
        <f>IF(AC684="sim",Sheet1!I684,"")</f>
        <v/>
      </c>
    </row>
    <row r="685" spans="29:30" x14ac:dyDescent="0.25">
      <c r="AC685" s="70" t="str">
        <f>IF(AND(Sheet1!O685="SIM",Sheet1!P685="SIM"),"Sim","")</f>
        <v/>
      </c>
      <c r="AD685" s="70" t="str">
        <f>IF(AC685="sim",Sheet1!I685,"")</f>
        <v/>
      </c>
    </row>
    <row r="686" spans="29:30" x14ac:dyDescent="0.25">
      <c r="AC686" s="70" t="str">
        <f>IF(AND(Sheet1!O686="SIM",Sheet1!P686="SIM"),"Sim","")</f>
        <v/>
      </c>
      <c r="AD686" s="70" t="str">
        <f>IF(AC686="sim",Sheet1!I686,"")</f>
        <v/>
      </c>
    </row>
    <row r="687" spans="29:30" x14ac:dyDescent="0.25">
      <c r="AC687" s="70" t="str">
        <f>IF(AND(Sheet1!O687="SIM",Sheet1!P687="SIM"),"Sim","")</f>
        <v/>
      </c>
      <c r="AD687" s="70" t="str">
        <f>IF(AC687="sim",Sheet1!I687,"")</f>
        <v/>
      </c>
    </row>
    <row r="688" spans="29:30" x14ac:dyDescent="0.25">
      <c r="AC688" s="70" t="str">
        <f>IF(AND(Sheet1!O688="SIM",Sheet1!P688="SIM"),"Sim","")</f>
        <v/>
      </c>
      <c r="AD688" s="70" t="str">
        <f>IF(AC688="sim",Sheet1!I688,"")</f>
        <v/>
      </c>
    </row>
    <row r="689" spans="29:30" x14ac:dyDescent="0.25">
      <c r="AC689" s="70" t="str">
        <f>IF(AND(Sheet1!O689="SIM",Sheet1!P689="SIM"),"Sim","")</f>
        <v/>
      </c>
      <c r="AD689" s="70" t="str">
        <f>IF(AC689="sim",Sheet1!I689,"")</f>
        <v/>
      </c>
    </row>
    <row r="690" spans="29:30" x14ac:dyDescent="0.25">
      <c r="AC690" s="70" t="str">
        <f>IF(AND(Sheet1!O690="SIM",Sheet1!P690="SIM"),"Sim","")</f>
        <v/>
      </c>
      <c r="AD690" s="70" t="str">
        <f>IF(AC690="sim",Sheet1!I690,"")</f>
        <v/>
      </c>
    </row>
    <row r="691" spans="29:30" x14ac:dyDescent="0.25">
      <c r="AC691" s="70" t="str">
        <f>IF(AND(Sheet1!O691="SIM",Sheet1!P691="SIM"),"Sim","")</f>
        <v/>
      </c>
      <c r="AD691" s="70" t="str">
        <f>IF(AC691="sim",Sheet1!I691,"")</f>
        <v/>
      </c>
    </row>
    <row r="692" spans="29:30" x14ac:dyDescent="0.25">
      <c r="AC692" s="70" t="str">
        <f>IF(AND(Sheet1!O692="SIM",Sheet1!P692="SIM"),"Sim","")</f>
        <v/>
      </c>
      <c r="AD692" s="70" t="str">
        <f>IF(AC692="sim",Sheet1!I692,"")</f>
        <v/>
      </c>
    </row>
    <row r="693" spans="29:30" x14ac:dyDescent="0.25">
      <c r="AC693" s="70" t="str">
        <f>IF(AND(Sheet1!O693="SIM",Sheet1!P693="SIM"),"Sim","")</f>
        <v/>
      </c>
      <c r="AD693" s="70" t="str">
        <f>IF(AC693="sim",Sheet1!I693,"")</f>
        <v/>
      </c>
    </row>
    <row r="694" spans="29:30" x14ac:dyDescent="0.25">
      <c r="AC694" s="70" t="str">
        <f>IF(AND(Sheet1!O694="SIM",Sheet1!P694="SIM"),"Sim","")</f>
        <v/>
      </c>
      <c r="AD694" s="70" t="str">
        <f>IF(AC694="sim",Sheet1!I694,"")</f>
        <v/>
      </c>
    </row>
    <row r="695" spans="29:30" x14ac:dyDescent="0.25">
      <c r="AC695" s="70" t="str">
        <f>IF(AND(Sheet1!O695="SIM",Sheet1!P695="SIM"),"Sim","")</f>
        <v/>
      </c>
      <c r="AD695" s="70" t="str">
        <f>IF(AC695="sim",Sheet1!I695,"")</f>
        <v/>
      </c>
    </row>
    <row r="696" spans="29:30" x14ac:dyDescent="0.25">
      <c r="AC696" s="70" t="str">
        <f>IF(AND(Sheet1!O696="SIM",Sheet1!P696="SIM"),"Sim","")</f>
        <v/>
      </c>
      <c r="AD696" s="70" t="str">
        <f>IF(AC696="sim",Sheet1!I696,"")</f>
        <v/>
      </c>
    </row>
    <row r="697" spans="29:30" x14ac:dyDescent="0.25">
      <c r="AC697" s="70" t="str">
        <f>IF(AND(Sheet1!O697="SIM",Sheet1!P697="SIM"),"Sim","")</f>
        <v/>
      </c>
      <c r="AD697" s="70" t="str">
        <f>IF(AC697="sim",Sheet1!I697,"")</f>
        <v/>
      </c>
    </row>
    <row r="698" spans="29:30" x14ac:dyDescent="0.25">
      <c r="AC698" s="70" t="str">
        <f>IF(AND(Sheet1!O698="SIM",Sheet1!P698="SIM"),"Sim","")</f>
        <v/>
      </c>
      <c r="AD698" s="70" t="str">
        <f>IF(AC698="sim",Sheet1!I698,"")</f>
        <v/>
      </c>
    </row>
    <row r="699" spans="29:30" x14ac:dyDescent="0.25">
      <c r="AC699" s="70" t="str">
        <f>IF(AND(Sheet1!O699="SIM",Sheet1!P699="SIM"),"Sim","")</f>
        <v/>
      </c>
      <c r="AD699" s="70" t="str">
        <f>IF(AC699="sim",Sheet1!I699,"")</f>
        <v/>
      </c>
    </row>
    <row r="700" spans="29:30" x14ac:dyDescent="0.25">
      <c r="AC700" s="70" t="str">
        <f>IF(AND(Sheet1!O700="SIM",Sheet1!P700="SIM"),"Sim","")</f>
        <v/>
      </c>
      <c r="AD700" s="70" t="str">
        <f>IF(AC700="sim",Sheet1!I700,"")</f>
        <v/>
      </c>
    </row>
    <row r="701" spans="29:30" x14ac:dyDescent="0.25">
      <c r="AC701" s="70" t="str">
        <f>IF(AND(Sheet1!O701="SIM",Sheet1!P701="SIM"),"Sim","")</f>
        <v/>
      </c>
      <c r="AD701" s="70" t="str">
        <f>IF(AC701="sim",Sheet1!I701,"")</f>
        <v/>
      </c>
    </row>
    <row r="702" spans="29:30" x14ac:dyDescent="0.25">
      <c r="AC702" s="70" t="str">
        <f>IF(AND(Sheet1!O702="SIM",Sheet1!P702="SIM"),"Sim","")</f>
        <v/>
      </c>
      <c r="AD702" s="70" t="str">
        <f>IF(AC702="sim",Sheet1!I702,"")</f>
        <v/>
      </c>
    </row>
    <row r="703" spans="29:30" x14ac:dyDescent="0.25">
      <c r="AC703" s="70" t="str">
        <f>IF(AND(Sheet1!O703="SIM",Sheet1!P703="SIM"),"Sim","")</f>
        <v/>
      </c>
      <c r="AD703" s="70" t="str">
        <f>IF(AC703="sim",Sheet1!I703,"")</f>
        <v/>
      </c>
    </row>
    <row r="704" spans="29:30" x14ac:dyDescent="0.25">
      <c r="AC704" s="70" t="str">
        <f>IF(AND(Sheet1!O704="SIM",Sheet1!P704="SIM"),"Sim","")</f>
        <v/>
      </c>
      <c r="AD704" s="70" t="str">
        <f>IF(AC704="sim",Sheet1!I704,"")</f>
        <v/>
      </c>
    </row>
    <row r="705" spans="29:30" x14ac:dyDescent="0.25">
      <c r="AC705" s="70" t="str">
        <f>IF(AND(Sheet1!O705="SIM",Sheet1!P705="SIM"),"Sim","")</f>
        <v/>
      </c>
      <c r="AD705" s="70" t="str">
        <f>IF(AC705="sim",Sheet1!I705,"")</f>
        <v/>
      </c>
    </row>
    <row r="706" spans="29:30" x14ac:dyDescent="0.25">
      <c r="AC706" s="70" t="str">
        <f>IF(AND(Sheet1!O706="SIM",Sheet1!P706="SIM"),"Sim","")</f>
        <v/>
      </c>
      <c r="AD706" s="70" t="str">
        <f>IF(AC706="sim",Sheet1!I706,"")</f>
        <v/>
      </c>
    </row>
    <row r="707" spans="29:30" x14ac:dyDescent="0.25">
      <c r="AC707" s="70" t="str">
        <f>IF(AND(Sheet1!O707="SIM",Sheet1!P707="SIM"),"Sim","")</f>
        <v/>
      </c>
      <c r="AD707" s="70" t="str">
        <f>IF(AC707="sim",Sheet1!I707,"")</f>
        <v/>
      </c>
    </row>
    <row r="708" spans="29:30" x14ac:dyDescent="0.25">
      <c r="AC708" s="70" t="str">
        <f>IF(AND(Sheet1!O708="SIM",Sheet1!P708="SIM"),"Sim","")</f>
        <v/>
      </c>
      <c r="AD708" s="70" t="str">
        <f>IF(AC708="sim",Sheet1!I708,"")</f>
        <v/>
      </c>
    </row>
    <row r="709" spans="29:30" x14ac:dyDescent="0.25">
      <c r="AC709" s="70" t="str">
        <f>IF(AND(Sheet1!O709="SIM",Sheet1!P709="SIM"),"Sim","")</f>
        <v/>
      </c>
      <c r="AD709" s="70" t="str">
        <f>IF(AC709="sim",Sheet1!I709,"")</f>
        <v/>
      </c>
    </row>
    <row r="710" spans="29:30" x14ac:dyDescent="0.25">
      <c r="AC710" s="70" t="str">
        <f>IF(AND(Sheet1!O710="SIM",Sheet1!P710="SIM"),"Sim","")</f>
        <v/>
      </c>
      <c r="AD710" s="70" t="str">
        <f>IF(AC710="sim",Sheet1!I710,"")</f>
        <v/>
      </c>
    </row>
    <row r="711" spans="29:30" x14ac:dyDescent="0.25">
      <c r="AC711" s="70" t="str">
        <f>IF(AND(Sheet1!O711="SIM",Sheet1!P711="SIM"),"Sim","")</f>
        <v/>
      </c>
      <c r="AD711" s="70" t="str">
        <f>IF(AC711="sim",Sheet1!I711,"")</f>
        <v/>
      </c>
    </row>
    <row r="712" spans="29:30" x14ac:dyDescent="0.25">
      <c r="AC712" s="70" t="str">
        <f>IF(AND(Sheet1!O712="SIM",Sheet1!P712="SIM"),"Sim","")</f>
        <v/>
      </c>
      <c r="AD712" s="70" t="str">
        <f>IF(AC712="sim",Sheet1!I712,"")</f>
        <v/>
      </c>
    </row>
    <row r="713" spans="29:30" x14ac:dyDescent="0.25">
      <c r="AC713" s="70" t="str">
        <f>IF(AND(Sheet1!O713="SIM",Sheet1!P713="SIM"),"Sim","")</f>
        <v/>
      </c>
      <c r="AD713" s="70" t="str">
        <f>IF(AC713="sim",Sheet1!I713,"")</f>
        <v/>
      </c>
    </row>
    <row r="714" spans="29:30" x14ac:dyDescent="0.25">
      <c r="AC714" s="70" t="str">
        <f>IF(AND(Sheet1!O714="SIM",Sheet1!P714="SIM"),"Sim","")</f>
        <v/>
      </c>
      <c r="AD714" s="70" t="str">
        <f>IF(AC714="sim",Sheet1!I714,"")</f>
        <v/>
      </c>
    </row>
    <row r="715" spans="29:30" x14ac:dyDescent="0.25">
      <c r="AC715" s="70" t="str">
        <f>IF(AND(Sheet1!O715="SIM",Sheet1!P715="SIM"),"Sim","")</f>
        <v/>
      </c>
      <c r="AD715" s="70" t="str">
        <f>IF(AC715="sim",Sheet1!I715,"")</f>
        <v/>
      </c>
    </row>
    <row r="716" spans="29:30" x14ac:dyDescent="0.25">
      <c r="AC716" s="70" t="str">
        <f>IF(AND(Sheet1!O716="SIM",Sheet1!P716="SIM"),"Sim","")</f>
        <v/>
      </c>
      <c r="AD716" s="70" t="str">
        <f>IF(AC716="sim",Sheet1!I716,"")</f>
        <v/>
      </c>
    </row>
    <row r="717" spans="29:30" x14ac:dyDescent="0.25">
      <c r="AC717" s="70" t="str">
        <f>IF(AND(Sheet1!O717="SIM",Sheet1!P717="SIM"),"Sim","")</f>
        <v/>
      </c>
      <c r="AD717" s="70" t="str">
        <f>IF(AC717="sim",Sheet1!I717,"")</f>
        <v/>
      </c>
    </row>
    <row r="718" spans="29:30" x14ac:dyDescent="0.25">
      <c r="AC718" s="70" t="str">
        <f>IF(AND(Sheet1!O718="SIM",Sheet1!P718="SIM"),"Sim","")</f>
        <v/>
      </c>
      <c r="AD718" s="70" t="str">
        <f>IF(AC718="sim",Sheet1!I718,"")</f>
        <v/>
      </c>
    </row>
    <row r="719" spans="29:30" x14ac:dyDescent="0.25">
      <c r="AC719" s="70" t="str">
        <f>IF(AND(Sheet1!O719="SIM",Sheet1!P719="SIM"),"Sim","")</f>
        <v/>
      </c>
      <c r="AD719" s="70" t="str">
        <f>IF(AC719="sim",Sheet1!I719,"")</f>
        <v/>
      </c>
    </row>
    <row r="720" spans="29:30" x14ac:dyDescent="0.25">
      <c r="AC720" s="70" t="str">
        <f>IF(AND(Sheet1!O720="SIM",Sheet1!P720="SIM"),"Sim","")</f>
        <v/>
      </c>
      <c r="AD720" s="70" t="str">
        <f>IF(AC720="sim",Sheet1!I720,"")</f>
        <v/>
      </c>
    </row>
    <row r="721" spans="29:30" x14ac:dyDescent="0.25">
      <c r="AC721" s="70" t="str">
        <f>IF(AND(Sheet1!O721="SIM",Sheet1!P721="SIM"),"Sim","")</f>
        <v/>
      </c>
      <c r="AD721" s="70" t="str">
        <f>IF(AC721="sim",Sheet1!I721,"")</f>
        <v/>
      </c>
    </row>
    <row r="722" spans="29:30" x14ac:dyDescent="0.25">
      <c r="AC722" s="70" t="str">
        <f>IF(AND(Sheet1!O722="SIM",Sheet1!P722="SIM"),"Sim","")</f>
        <v/>
      </c>
      <c r="AD722" s="70" t="str">
        <f>IF(AC722="sim",Sheet1!I722,"")</f>
        <v/>
      </c>
    </row>
    <row r="723" spans="29:30" x14ac:dyDescent="0.25">
      <c r="AC723" s="70" t="str">
        <f>IF(AND(Sheet1!O723="SIM",Sheet1!P723="SIM"),"Sim","")</f>
        <v/>
      </c>
      <c r="AD723" s="70" t="str">
        <f>IF(AC723="sim",Sheet1!I723,"")</f>
        <v/>
      </c>
    </row>
    <row r="724" spans="29:30" x14ac:dyDescent="0.25">
      <c r="AC724" s="70" t="str">
        <f>IF(AND(Sheet1!O724="SIM",Sheet1!P724="SIM"),"Sim","")</f>
        <v/>
      </c>
      <c r="AD724" s="70" t="str">
        <f>IF(AC724="sim",Sheet1!I724,"")</f>
        <v/>
      </c>
    </row>
    <row r="725" spans="29:30" x14ac:dyDescent="0.25">
      <c r="AC725" s="70" t="str">
        <f>IF(AND(Sheet1!O725="SIM",Sheet1!P725="SIM"),"Sim","")</f>
        <v/>
      </c>
      <c r="AD725" s="70" t="str">
        <f>IF(AC725="sim",Sheet1!I725,"")</f>
        <v/>
      </c>
    </row>
    <row r="726" spans="29:30" x14ac:dyDescent="0.25">
      <c r="AC726" s="70" t="str">
        <f>IF(AND(Sheet1!O726="SIM",Sheet1!P726="SIM"),"Sim","")</f>
        <v/>
      </c>
      <c r="AD726" s="70" t="str">
        <f>IF(AC726="sim",Sheet1!I726,"")</f>
        <v/>
      </c>
    </row>
    <row r="727" spans="29:30" x14ac:dyDescent="0.25">
      <c r="AC727" s="70" t="str">
        <f>IF(AND(Sheet1!O727="SIM",Sheet1!P727="SIM"),"Sim","")</f>
        <v/>
      </c>
      <c r="AD727" s="70" t="str">
        <f>IF(AC727="sim",Sheet1!I727,"")</f>
        <v/>
      </c>
    </row>
    <row r="728" spans="29:30" x14ac:dyDescent="0.25">
      <c r="AC728" s="70" t="str">
        <f>IF(AND(Sheet1!O728="SIM",Sheet1!P728="SIM"),"Sim","")</f>
        <v/>
      </c>
      <c r="AD728" s="70" t="str">
        <f>IF(AC728="sim",Sheet1!I728,"")</f>
        <v/>
      </c>
    </row>
    <row r="729" spans="29:30" x14ac:dyDescent="0.25">
      <c r="AC729" s="70" t="str">
        <f>IF(AND(Sheet1!O729="SIM",Sheet1!P729="SIM"),"Sim","")</f>
        <v/>
      </c>
      <c r="AD729" s="70" t="str">
        <f>IF(AC729="sim",Sheet1!I729,"")</f>
        <v/>
      </c>
    </row>
    <row r="730" spans="29:30" x14ac:dyDescent="0.25">
      <c r="AC730" s="70" t="str">
        <f>IF(AND(Sheet1!O730="SIM",Sheet1!P730="SIM"),"Sim","")</f>
        <v/>
      </c>
      <c r="AD730" s="70" t="str">
        <f>IF(AC730="sim",Sheet1!I730,"")</f>
        <v/>
      </c>
    </row>
    <row r="731" spans="29:30" x14ac:dyDescent="0.25">
      <c r="AC731" s="70" t="str">
        <f>IF(AND(Sheet1!O731="SIM",Sheet1!P731="SIM"),"Sim","")</f>
        <v/>
      </c>
      <c r="AD731" s="70" t="str">
        <f>IF(AC731="sim",Sheet1!I731,"")</f>
        <v/>
      </c>
    </row>
    <row r="732" spans="29:30" x14ac:dyDescent="0.25">
      <c r="AC732" s="70" t="str">
        <f>IF(AND(Sheet1!O732="SIM",Sheet1!P732="SIM"),"Sim","")</f>
        <v/>
      </c>
      <c r="AD732" s="70" t="str">
        <f>IF(AC732="sim",Sheet1!I732,"")</f>
        <v/>
      </c>
    </row>
    <row r="733" spans="29:30" x14ac:dyDescent="0.25">
      <c r="AC733" s="70" t="str">
        <f>IF(AND(Sheet1!O733="SIM",Sheet1!P733="SIM"),"Sim","")</f>
        <v/>
      </c>
      <c r="AD733" s="70" t="str">
        <f>IF(AC733="sim",Sheet1!I733,"")</f>
        <v/>
      </c>
    </row>
    <row r="734" spans="29:30" x14ac:dyDescent="0.25">
      <c r="AC734" s="70" t="str">
        <f>IF(AND(Sheet1!O734="SIM",Sheet1!P734="SIM"),"Sim","")</f>
        <v/>
      </c>
      <c r="AD734" s="70" t="str">
        <f>IF(AC734="sim",Sheet1!I734,"")</f>
        <v/>
      </c>
    </row>
    <row r="735" spans="29:30" x14ac:dyDescent="0.25">
      <c r="AC735" s="70" t="str">
        <f>IF(AND(Sheet1!O735="SIM",Sheet1!P735="SIM"),"Sim","")</f>
        <v/>
      </c>
      <c r="AD735" s="70" t="str">
        <f>IF(AC735="sim",Sheet1!I735,"")</f>
        <v/>
      </c>
    </row>
    <row r="736" spans="29:30" x14ac:dyDescent="0.25">
      <c r="AC736" s="70" t="str">
        <f>IF(AND(Sheet1!O736="SIM",Sheet1!P736="SIM"),"Sim","")</f>
        <v/>
      </c>
      <c r="AD736" s="70" t="str">
        <f>IF(AC736="sim",Sheet1!I736,"")</f>
        <v/>
      </c>
    </row>
    <row r="737" spans="29:30" x14ac:dyDescent="0.25">
      <c r="AC737" s="70" t="str">
        <f>IF(AND(Sheet1!O737="SIM",Sheet1!P737="SIM"),"Sim","")</f>
        <v/>
      </c>
      <c r="AD737" s="70" t="str">
        <f>IF(AC737="sim",Sheet1!I737,"")</f>
        <v/>
      </c>
    </row>
    <row r="738" spans="29:30" x14ac:dyDescent="0.25">
      <c r="AC738" s="70" t="str">
        <f>IF(AND(Sheet1!O738="SIM",Sheet1!P738="SIM"),"Sim","")</f>
        <v/>
      </c>
      <c r="AD738" s="70" t="str">
        <f>IF(AC738="sim",Sheet1!I738,"")</f>
        <v/>
      </c>
    </row>
    <row r="739" spans="29:30" x14ac:dyDescent="0.25">
      <c r="AC739" s="70" t="str">
        <f>IF(AND(Sheet1!O739="SIM",Sheet1!P739="SIM"),"Sim","")</f>
        <v/>
      </c>
      <c r="AD739" s="70" t="str">
        <f>IF(AC739="sim",Sheet1!I739,"")</f>
        <v/>
      </c>
    </row>
    <row r="740" spans="29:30" x14ac:dyDescent="0.25">
      <c r="AC740" s="70" t="str">
        <f>IF(AND(Sheet1!O740="SIM",Sheet1!P740="SIM"),"Sim","")</f>
        <v/>
      </c>
      <c r="AD740" s="70" t="str">
        <f>IF(AC740="sim",Sheet1!I740,"")</f>
        <v/>
      </c>
    </row>
    <row r="741" spans="29:30" x14ac:dyDescent="0.25">
      <c r="AC741" s="70" t="str">
        <f>IF(AND(Sheet1!O741="SIM",Sheet1!P741="SIM"),"Sim","")</f>
        <v/>
      </c>
      <c r="AD741" s="70" t="str">
        <f>IF(AC741="sim",Sheet1!I741,"")</f>
        <v/>
      </c>
    </row>
    <row r="742" spans="29:30" x14ac:dyDescent="0.25">
      <c r="AC742" s="70" t="str">
        <f>IF(AND(Sheet1!O742="SIM",Sheet1!P742="SIM"),"Sim","")</f>
        <v/>
      </c>
      <c r="AD742" s="70" t="str">
        <f>IF(AC742="sim",Sheet1!I742,"")</f>
        <v/>
      </c>
    </row>
    <row r="743" spans="29:30" x14ac:dyDescent="0.25">
      <c r="AC743" s="70" t="str">
        <f>IF(AND(Sheet1!O743="SIM",Sheet1!P743="SIM"),"Sim","")</f>
        <v/>
      </c>
      <c r="AD743" s="70" t="str">
        <f>IF(AC743="sim",Sheet1!I743,"")</f>
        <v/>
      </c>
    </row>
    <row r="744" spans="29:30" x14ac:dyDescent="0.25">
      <c r="AC744" s="70" t="str">
        <f>IF(AND(Sheet1!O744="SIM",Sheet1!P744="SIM"),"Sim","")</f>
        <v/>
      </c>
      <c r="AD744" s="70" t="str">
        <f>IF(AC744="sim",Sheet1!I744,"")</f>
        <v/>
      </c>
    </row>
    <row r="745" spans="29:30" x14ac:dyDescent="0.25">
      <c r="AC745" s="70" t="str">
        <f>IF(AND(Sheet1!O745="SIM",Sheet1!P745="SIM"),"Sim","")</f>
        <v/>
      </c>
      <c r="AD745" s="70" t="str">
        <f>IF(AC745="sim",Sheet1!I745,"")</f>
        <v/>
      </c>
    </row>
    <row r="746" spans="29:30" x14ac:dyDescent="0.25">
      <c r="AC746" s="70" t="str">
        <f>IF(AND(Sheet1!O746="SIM",Sheet1!P746="SIM"),"Sim","")</f>
        <v/>
      </c>
      <c r="AD746" s="70" t="str">
        <f>IF(AC746="sim",Sheet1!I746,"")</f>
        <v/>
      </c>
    </row>
    <row r="747" spans="29:30" x14ac:dyDescent="0.25">
      <c r="AC747" s="70" t="str">
        <f>IF(AND(Sheet1!O747="SIM",Sheet1!P747="SIM"),"Sim","")</f>
        <v/>
      </c>
      <c r="AD747" s="70" t="str">
        <f>IF(AC747="sim",Sheet1!I747,"")</f>
        <v/>
      </c>
    </row>
    <row r="748" spans="29:30" x14ac:dyDescent="0.25">
      <c r="AC748" s="70" t="str">
        <f>IF(AND(Sheet1!O748="SIM",Sheet1!P748="SIM"),"Sim","")</f>
        <v/>
      </c>
      <c r="AD748" s="70" t="str">
        <f>IF(AC748="sim",Sheet1!I748,"")</f>
        <v/>
      </c>
    </row>
    <row r="749" spans="29:30" x14ac:dyDescent="0.25">
      <c r="AC749" s="70" t="str">
        <f>IF(AND(Sheet1!O749="SIM",Sheet1!P749="SIM"),"Sim","")</f>
        <v/>
      </c>
      <c r="AD749" s="70" t="str">
        <f>IF(AC749="sim",Sheet1!I749,"")</f>
        <v/>
      </c>
    </row>
    <row r="750" spans="29:30" x14ac:dyDescent="0.25">
      <c r="AC750" s="70" t="str">
        <f>IF(AND(Sheet1!O750="SIM",Sheet1!P750="SIM"),"Sim","")</f>
        <v/>
      </c>
      <c r="AD750" s="70" t="str">
        <f>IF(AC750="sim",Sheet1!I750,"")</f>
        <v/>
      </c>
    </row>
    <row r="751" spans="29:30" x14ac:dyDescent="0.25">
      <c r="AC751" s="70" t="str">
        <f>IF(AND(Sheet1!O751="SIM",Sheet1!P751="SIM"),"Sim","")</f>
        <v/>
      </c>
      <c r="AD751" s="70" t="str">
        <f>IF(AC751="sim",Sheet1!I751,"")</f>
        <v/>
      </c>
    </row>
    <row r="752" spans="29:30" x14ac:dyDescent="0.25">
      <c r="AC752" s="70" t="str">
        <f>IF(AND(Sheet1!O752="SIM",Sheet1!P752="SIM"),"Sim","")</f>
        <v/>
      </c>
      <c r="AD752" s="70" t="str">
        <f>IF(AC752="sim",Sheet1!I752,"")</f>
        <v/>
      </c>
    </row>
    <row r="753" spans="29:30" x14ac:dyDescent="0.25">
      <c r="AC753" s="70" t="str">
        <f>IF(AND(Sheet1!O753="SIM",Sheet1!P753="SIM"),"Sim","")</f>
        <v/>
      </c>
      <c r="AD753" s="70" t="str">
        <f>IF(AC753="sim",Sheet1!I753,"")</f>
        <v/>
      </c>
    </row>
    <row r="754" spans="29:30" x14ac:dyDescent="0.25">
      <c r="AC754" s="70" t="str">
        <f>IF(AND(Sheet1!O754="SIM",Sheet1!P754="SIM"),"Sim","")</f>
        <v/>
      </c>
      <c r="AD754" s="70" t="str">
        <f>IF(AC754="sim",Sheet1!I754,"")</f>
        <v/>
      </c>
    </row>
    <row r="755" spans="29:30" x14ac:dyDescent="0.25">
      <c r="AC755" s="70" t="str">
        <f>IF(AND(Sheet1!O755="SIM",Sheet1!P755="SIM"),"Sim","")</f>
        <v/>
      </c>
      <c r="AD755" s="70" t="str">
        <f>IF(AC755="sim",Sheet1!I755,"")</f>
        <v/>
      </c>
    </row>
    <row r="756" spans="29:30" x14ac:dyDescent="0.25">
      <c r="AC756" s="70" t="str">
        <f>IF(AND(Sheet1!O756="SIM",Sheet1!P756="SIM"),"Sim","")</f>
        <v/>
      </c>
      <c r="AD756" s="70" t="str">
        <f>IF(AC756="sim",Sheet1!I756,"")</f>
        <v/>
      </c>
    </row>
    <row r="757" spans="29:30" x14ac:dyDescent="0.25">
      <c r="AC757" s="70" t="str">
        <f>IF(AND(Sheet1!O757="SIM",Sheet1!P757="SIM"),"Sim","")</f>
        <v/>
      </c>
      <c r="AD757" s="70" t="str">
        <f>IF(AC757="sim",Sheet1!I757,"")</f>
        <v/>
      </c>
    </row>
    <row r="758" spans="29:30" x14ac:dyDescent="0.25">
      <c r="AC758" s="70" t="str">
        <f>IF(AND(Sheet1!O758="SIM",Sheet1!P758="SIM"),"Sim","")</f>
        <v/>
      </c>
      <c r="AD758" s="70" t="str">
        <f>IF(AC758="sim",Sheet1!I758,"")</f>
        <v/>
      </c>
    </row>
    <row r="759" spans="29:30" x14ac:dyDescent="0.25">
      <c r="AC759" s="70" t="str">
        <f>IF(AND(Sheet1!O759="SIM",Sheet1!P759="SIM"),"Sim","")</f>
        <v/>
      </c>
      <c r="AD759" s="70" t="str">
        <f>IF(AC759="sim",Sheet1!I759,"")</f>
        <v/>
      </c>
    </row>
    <row r="760" spans="29:30" x14ac:dyDescent="0.25">
      <c r="AC760" s="70" t="str">
        <f>IF(AND(Sheet1!O760="SIM",Sheet1!P760="SIM"),"Sim","")</f>
        <v/>
      </c>
      <c r="AD760" s="70" t="str">
        <f>IF(AC760="sim",Sheet1!I760,"")</f>
        <v/>
      </c>
    </row>
    <row r="761" spans="29:30" x14ac:dyDescent="0.25">
      <c r="AC761" s="70" t="str">
        <f>IF(AND(Sheet1!O761="SIM",Sheet1!P761="SIM"),"Sim","")</f>
        <v/>
      </c>
      <c r="AD761" s="70" t="str">
        <f>IF(AC761="sim",Sheet1!I761,"")</f>
        <v/>
      </c>
    </row>
    <row r="762" spans="29:30" x14ac:dyDescent="0.25">
      <c r="AC762" s="70" t="str">
        <f>IF(AND(Sheet1!O762="SIM",Sheet1!P762="SIM"),"Sim","")</f>
        <v/>
      </c>
      <c r="AD762" s="70" t="str">
        <f>IF(AC762="sim",Sheet1!I762,"")</f>
        <v/>
      </c>
    </row>
    <row r="763" spans="29:30" x14ac:dyDescent="0.25">
      <c r="AC763" s="70" t="str">
        <f>IF(AND(Sheet1!O763="SIM",Sheet1!P763="SIM"),"Sim","")</f>
        <v/>
      </c>
      <c r="AD763" s="70" t="str">
        <f>IF(AC763="sim",Sheet1!I763,"")</f>
        <v/>
      </c>
    </row>
    <row r="764" spans="29:30" x14ac:dyDescent="0.25">
      <c r="AC764" s="70" t="str">
        <f>IF(AND(Sheet1!O764="SIM",Sheet1!P764="SIM"),"Sim","")</f>
        <v/>
      </c>
      <c r="AD764" s="70" t="str">
        <f>IF(AC764="sim",Sheet1!I764,"")</f>
        <v/>
      </c>
    </row>
    <row r="765" spans="29:30" x14ac:dyDescent="0.25">
      <c r="AC765" s="70" t="str">
        <f>IF(AND(Sheet1!O765="SIM",Sheet1!P765="SIM"),"Sim","")</f>
        <v/>
      </c>
      <c r="AD765" s="70" t="str">
        <f>IF(AC765="sim",Sheet1!I765,"")</f>
        <v/>
      </c>
    </row>
    <row r="766" spans="29:30" x14ac:dyDescent="0.25">
      <c r="AC766" s="70" t="str">
        <f>IF(AND(Sheet1!O766="SIM",Sheet1!P766="SIM"),"Sim","")</f>
        <v/>
      </c>
      <c r="AD766" s="70" t="str">
        <f>IF(AC766="sim",Sheet1!I766,"")</f>
        <v/>
      </c>
    </row>
    <row r="767" spans="29:30" x14ac:dyDescent="0.25">
      <c r="AC767" s="70" t="str">
        <f>IF(AND(Sheet1!O767="SIM",Sheet1!P767="SIM"),"Sim","")</f>
        <v/>
      </c>
      <c r="AD767" s="70" t="str">
        <f>IF(AC767="sim",Sheet1!I767,"")</f>
        <v/>
      </c>
    </row>
    <row r="768" spans="29:30" x14ac:dyDescent="0.25">
      <c r="AC768" s="70" t="str">
        <f>IF(AND(Sheet1!O768="SIM",Sheet1!P768="SIM"),"Sim","")</f>
        <v/>
      </c>
      <c r="AD768" s="70" t="str">
        <f>IF(AC768="sim",Sheet1!I768,"")</f>
        <v/>
      </c>
    </row>
    <row r="769" spans="29:30" x14ac:dyDescent="0.25">
      <c r="AC769" s="70" t="str">
        <f>IF(AND(Sheet1!O769="SIM",Sheet1!P769="SIM"),"Sim","")</f>
        <v/>
      </c>
      <c r="AD769" s="70" t="str">
        <f>IF(AC769="sim",Sheet1!I769,"")</f>
        <v/>
      </c>
    </row>
    <row r="770" spans="29:30" x14ac:dyDescent="0.25">
      <c r="AC770" s="70" t="str">
        <f>IF(AND(Sheet1!O770="SIM",Sheet1!P770="SIM"),"Sim","")</f>
        <v/>
      </c>
      <c r="AD770" s="70" t="str">
        <f>IF(AC770="sim",Sheet1!I770,"")</f>
        <v/>
      </c>
    </row>
    <row r="771" spans="29:30" x14ac:dyDescent="0.25">
      <c r="AC771" s="70" t="str">
        <f>IF(AND(Sheet1!O771="SIM",Sheet1!P771="SIM"),"Sim","")</f>
        <v/>
      </c>
      <c r="AD771" s="70" t="str">
        <f>IF(AC771="sim",Sheet1!I771,"")</f>
        <v/>
      </c>
    </row>
    <row r="772" spans="29:30" x14ac:dyDescent="0.25">
      <c r="AC772" s="70" t="str">
        <f>IF(AND(Sheet1!O772="SIM",Sheet1!P772="SIM"),"Sim","")</f>
        <v/>
      </c>
      <c r="AD772" s="70" t="str">
        <f>IF(AC772="sim",Sheet1!I772,"")</f>
        <v/>
      </c>
    </row>
    <row r="773" spans="29:30" x14ac:dyDescent="0.25">
      <c r="AC773" s="70" t="str">
        <f>IF(AND(Sheet1!O773="SIM",Sheet1!P773="SIM"),"Sim","")</f>
        <v/>
      </c>
      <c r="AD773" s="70" t="str">
        <f>IF(AC773="sim",Sheet1!I773,"")</f>
        <v/>
      </c>
    </row>
    <row r="774" spans="29:30" x14ac:dyDescent="0.25">
      <c r="AC774" s="70" t="str">
        <f>IF(AND(Sheet1!O774="SIM",Sheet1!P774="SIM"),"Sim","")</f>
        <v/>
      </c>
      <c r="AD774" s="70" t="str">
        <f>IF(AC774="sim",Sheet1!I774,"")</f>
        <v/>
      </c>
    </row>
    <row r="775" spans="29:30" x14ac:dyDescent="0.25">
      <c r="AC775" s="70" t="str">
        <f>IF(AND(Sheet1!O775="SIM",Sheet1!P775="SIM"),"Sim","")</f>
        <v/>
      </c>
      <c r="AD775" s="70" t="str">
        <f>IF(AC775="sim",Sheet1!I775,"")</f>
        <v/>
      </c>
    </row>
    <row r="776" spans="29:30" x14ac:dyDescent="0.25">
      <c r="AC776" s="70" t="str">
        <f>IF(AND(Sheet1!O776="SIM",Sheet1!P776="SIM"),"Sim","")</f>
        <v/>
      </c>
      <c r="AD776" s="70" t="str">
        <f>IF(AC776="sim",Sheet1!I776,"")</f>
        <v/>
      </c>
    </row>
    <row r="777" spans="29:30" x14ac:dyDescent="0.25">
      <c r="AC777" s="70" t="str">
        <f>IF(AND(Sheet1!O777="SIM",Sheet1!P777="SIM"),"Sim","")</f>
        <v/>
      </c>
      <c r="AD777" s="70" t="str">
        <f>IF(AC777="sim",Sheet1!I777,"")</f>
        <v/>
      </c>
    </row>
    <row r="778" spans="29:30" x14ac:dyDescent="0.25">
      <c r="AC778" s="70" t="str">
        <f>IF(AND(Sheet1!O778="SIM",Sheet1!P778="SIM"),"Sim","")</f>
        <v/>
      </c>
      <c r="AD778" s="70" t="str">
        <f>IF(AC778="sim",Sheet1!I778,"")</f>
        <v/>
      </c>
    </row>
    <row r="779" spans="29:30" x14ac:dyDescent="0.25">
      <c r="AC779" s="70" t="str">
        <f>IF(AND(Sheet1!O779="SIM",Sheet1!P779="SIM"),"Sim","")</f>
        <v/>
      </c>
      <c r="AD779" s="70" t="str">
        <f>IF(AC779="sim",Sheet1!I779,"")</f>
        <v/>
      </c>
    </row>
    <row r="780" spans="29:30" x14ac:dyDescent="0.25">
      <c r="AC780" s="70" t="str">
        <f>IF(AND(Sheet1!O780="SIM",Sheet1!P780="SIM"),"Sim","")</f>
        <v/>
      </c>
      <c r="AD780" s="70" t="str">
        <f>IF(AC780="sim",Sheet1!I780,"")</f>
        <v/>
      </c>
    </row>
    <row r="781" spans="29:30" x14ac:dyDescent="0.25">
      <c r="AC781" s="70" t="str">
        <f>IF(AND(Sheet1!O781="SIM",Sheet1!P781="SIM"),"Sim","")</f>
        <v/>
      </c>
      <c r="AD781" s="70" t="str">
        <f>IF(AC781="sim",Sheet1!I781,"")</f>
        <v/>
      </c>
    </row>
    <row r="782" spans="29:30" x14ac:dyDescent="0.25">
      <c r="AC782" s="70" t="str">
        <f>IF(AND(Sheet1!O782="SIM",Sheet1!P782="SIM"),"Sim","")</f>
        <v/>
      </c>
      <c r="AD782" s="70" t="str">
        <f>IF(AC782="sim",Sheet1!I782,"")</f>
        <v/>
      </c>
    </row>
    <row r="783" spans="29:30" x14ac:dyDescent="0.25">
      <c r="AC783" s="70" t="str">
        <f>IF(AND(Sheet1!O783="SIM",Sheet1!P783="SIM"),"Sim","")</f>
        <v/>
      </c>
      <c r="AD783" s="70" t="str">
        <f>IF(AC783="sim",Sheet1!I783,"")</f>
        <v/>
      </c>
    </row>
    <row r="784" spans="29:30" x14ac:dyDescent="0.25">
      <c r="AC784" s="70" t="str">
        <f>IF(AND(Sheet1!O784="SIM",Sheet1!P784="SIM"),"Sim","")</f>
        <v/>
      </c>
      <c r="AD784" s="70" t="str">
        <f>IF(AC784="sim",Sheet1!I784,"")</f>
        <v/>
      </c>
    </row>
    <row r="785" spans="29:30" x14ac:dyDescent="0.25">
      <c r="AC785" s="70" t="str">
        <f>IF(AND(Sheet1!O785="SIM",Sheet1!P785="SIM"),"Sim","")</f>
        <v/>
      </c>
      <c r="AD785" s="70" t="str">
        <f>IF(AC785="sim",Sheet1!I785,"")</f>
        <v/>
      </c>
    </row>
    <row r="786" spans="29:30" x14ac:dyDescent="0.25">
      <c r="AC786" s="70" t="str">
        <f>IF(AND(Sheet1!O786="SIM",Sheet1!P786="SIM"),"Sim","")</f>
        <v/>
      </c>
      <c r="AD786" s="70" t="str">
        <f>IF(AC786="sim",Sheet1!I786,"")</f>
        <v/>
      </c>
    </row>
    <row r="787" spans="29:30" x14ac:dyDescent="0.25">
      <c r="AC787" s="70" t="str">
        <f>IF(AND(Sheet1!O787="SIM",Sheet1!P787="SIM"),"Sim","")</f>
        <v/>
      </c>
      <c r="AD787" s="70" t="str">
        <f>IF(AC787="sim",Sheet1!I787,"")</f>
        <v/>
      </c>
    </row>
    <row r="788" spans="29:30" x14ac:dyDescent="0.25">
      <c r="AC788" s="70" t="str">
        <f>IF(AND(Sheet1!O788="SIM",Sheet1!P788="SIM"),"Sim","")</f>
        <v/>
      </c>
      <c r="AD788" s="70" t="str">
        <f>IF(AC788="sim",Sheet1!I788,"")</f>
        <v/>
      </c>
    </row>
    <row r="789" spans="29:30" x14ac:dyDescent="0.25">
      <c r="AC789" s="70" t="str">
        <f>IF(AND(Sheet1!O789="SIM",Sheet1!P789="SIM"),"Sim","")</f>
        <v/>
      </c>
      <c r="AD789" s="70" t="str">
        <f>IF(AC789="sim",Sheet1!I789,"")</f>
        <v/>
      </c>
    </row>
    <row r="790" spans="29:30" x14ac:dyDescent="0.25">
      <c r="AC790" s="70" t="str">
        <f>IF(AND(Sheet1!O790="SIM",Sheet1!P790="SIM"),"Sim","")</f>
        <v/>
      </c>
      <c r="AD790" s="70" t="str">
        <f>IF(AC790="sim",Sheet1!I790,"")</f>
        <v/>
      </c>
    </row>
    <row r="791" spans="29:30" x14ac:dyDescent="0.25">
      <c r="AC791" s="70" t="str">
        <f>IF(AND(Sheet1!O791="SIM",Sheet1!P791="SIM"),"Sim","")</f>
        <v/>
      </c>
      <c r="AD791" s="70" t="str">
        <f>IF(AC791="sim",Sheet1!I791,"")</f>
        <v/>
      </c>
    </row>
    <row r="792" spans="29:30" x14ac:dyDescent="0.25">
      <c r="AC792" s="70" t="str">
        <f>IF(AND(Sheet1!O792="SIM",Sheet1!P792="SIM"),"Sim","")</f>
        <v/>
      </c>
      <c r="AD792" s="70" t="str">
        <f>IF(AC792="sim",Sheet1!I792,"")</f>
        <v/>
      </c>
    </row>
    <row r="793" spans="29:30" x14ac:dyDescent="0.25">
      <c r="AC793" s="70" t="str">
        <f>IF(AND(Sheet1!O793="SIM",Sheet1!P793="SIM"),"Sim","")</f>
        <v/>
      </c>
      <c r="AD793" s="70" t="str">
        <f>IF(AC793="sim",Sheet1!I793,"")</f>
        <v/>
      </c>
    </row>
    <row r="794" spans="29:30" x14ac:dyDescent="0.25">
      <c r="AC794" s="70" t="str">
        <f>IF(AND(Sheet1!O794="SIM",Sheet1!P794="SIM"),"Sim","")</f>
        <v/>
      </c>
      <c r="AD794" s="70" t="str">
        <f>IF(AC794="sim",Sheet1!I794,"")</f>
        <v/>
      </c>
    </row>
    <row r="795" spans="29:30" x14ac:dyDescent="0.25">
      <c r="AC795" s="70" t="str">
        <f>IF(AND(Sheet1!O795="SIM",Sheet1!P795="SIM"),"Sim","")</f>
        <v/>
      </c>
      <c r="AD795" s="70" t="str">
        <f>IF(AC795="sim",Sheet1!I795,"")</f>
        <v/>
      </c>
    </row>
    <row r="796" spans="29:30" x14ac:dyDescent="0.25">
      <c r="AC796" s="70" t="str">
        <f>IF(AND(Sheet1!O796="SIM",Sheet1!P796="SIM"),"Sim","")</f>
        <v/>
      </c>
      <c r="AD796" s="70" t="str">
        <f>IF(AC796="sim",Sheet1!I796,"")</f>
        <v/>
      </c>
    </row>
    <row r="797" spans="29:30" x14ac:dyDescent="0.25">
      <c r="AC797" s="70" t="str">
        <f>IF(AND(Sheet1!O797="SIM",Sheet1!P797="SIM"),"Sim","")</f>
        <v/>
      </c>
      <c r="AD797" s="70" t="str">
        <f>IF(AC797="sim",Sheet1!I797,"")</f>
        <v/>
      </c>
    </row>
    <row r="798" spans="29:30" x14ac:dyDescent="0.25">
      <c r="AC798" s="70" t="str">
        <f>IF(AND(Sheet1!O798="SIM",Sheet1!P798="SIM"),"Sim","")</f>
        <v/>
      </c>
      <c r="AD798" s="70" t="str">
        <f>IF(AC798="sim",Sheet1!I798,"")</f>
        <v/>
      </c>
    </row>
    <row r="799" spans="29:30" x14ac:dyDescent="0.25">
      <c r="AC799" s="70" t="str">
        <f>IF(AND(Sheet1!O799="SIM",Sheet1!P799="SIM"),"Sim","")</f>
        <v/>
      </c>
      <c r="AD799" s="70" t="str">
        <f>IF(AC799="sim",Sheet1!I799,"")</f>
        <v/>
      </c>
    </row>
    <row r="800" spans="29:30" x14ac:dyDescent="0.25">
      <c r="AC800" s="70" t="str">
        <f>IF(AND(Sheet1!O800="SIM",Sheet1!P800="SIM"),"Sim","")</f>
        <v/>
      </c>
      <c r="AD800" s="70" t="str">
        <f>IF(AC800="sim",Sheet1!I800,"")</f>
        <v/>
      </c>
    </row>
    <row r="801" spans="29:30" x14ac:dyDescent="0.25">
      <c r="AC801" s="70" t="str">
        <f>IF(AND(Sheet1!O801="SIM",Sheet1!P801="SIM"),"Sim","")</f>
        <v/>
      </c>
      <c r="AD801" s="70" t="str">
        <f>IF(AC801="sim",Sheet1!I801,"")</f>
        <v/>
      </c>
    </row>
    <row r="802" spans="29:30" x14ac:dyDescent="0.25">
      <c r="AC802" s="70" t="str">
        <f>IF(AND(Sheet1!O802="SIM",Sheet1!P802="SIM"),"Sim","")</f>
        <v/>
      </c>
      <c r="AD802" s="70" t="str">
        <f>IF(AC802="sim",Sheet1!I802,"")</f>
        <v/>
      </c>
    </row>
    <row r="803" spans="29:30" x14ac:dyDescent="0.25">
      <c r="AC803" s="70" t="str">
        <f>IF(AND(Sheet1!O803="SIM",Sheet1!P803="SIM"),"Sim","")</f>
        <v/>
      </c>
      <c r="AD803" s="70" t="str">
        <f>IF(AC803="sim",Sheet1!I803,"")</f>
        <v/>
      </c>
    </row>
    <row r="804" spans="29:30" x14ac:dyDescent="0.25">
      <c r="AC804" s="70" t="str">
        <f>IF(AND(Sheet1!O804="SIM",Sheet1!P804="SIM"),"Sim","")</f>
        <v/>
      </c>
      <c r="AD804" s="70" t="str">
        <f>IF(AC804="sim",Sheet1!I804,"")</f>
        <v/>
      </c>
    </row>
    <row r="805" spans="29:30" x14ac:dyDescent="0.25">
      <c r="AC805" s="70" t="str">
        <f>IF(AND(Sheet1!O805="SIM",Sheet1!P805="SIM"),"Sim","")</f>
        <v/>
      </c>
      <c r="AD805" s="70" t="str">
        <f>IF(AC805="sim",Sheet1!I805,"")</f>
        <v/>
      </c>
    </row>
    <row r="806" spans="29:30" x14ac:dyDescent="0.25">
      <c r="AC806" s="70" t="str">
        <f>IF(AND(Sheet1!O806="SIM",Sheet1!P806="SIM"),"Sim","")</f>
        <v/>
      </c>
      <c r="AD806" s="70" t="str">
        <f>IF(AC806="sim",Sheet1!I806,"")</f>
        <v/>
      </c>
    </row>
    <row r="807" spans="29:30" x14ac:dyDescent="0.25">
      <c r="AC807" s="70" t="str">
        <f>IF(AND(Sheet1!O807="SIM",Sheet1!P807="SIM"),"Sim","")</f>
        <v/>
      </c>
      <c r="AD807" s="70" t="str">
        <f>IF(AC807="sim",Sheet1!I807,"")</f>
        <v/>
      </c>
    </row>
    <row r="808" spans="29:30" x14ac:dyDescent="0.25">
      <c r="AC808" s="70" t="str">
        <f>IF(AND(Sheet1!O808="SIM",Sheet1!P808="SIM"),"Sim","")</f>
        <v/>
      </c>
      <c r="AD808" s="70" t="str">
        <f>IF(AC808="sim",Sheet1!I808,"")</f>
        <v/>
      </c>
    </row>
    <row r="809" spans="29:30" x14ac:dyDescent="0.25">
      <c r="AC809" s="70" t="str">
        <f>IF(AND(Sheet1!O809="SIM",Sheet1!P809="SIM"),"Sim","")</f>
        <v/>
      </c>
      <c r="AD809" s="70" t="str">
        <f>IF(AC809="sim",Sheet1!I809,"")</f>
        <v/>
      </c>
    </row>
    <row r="810" spans="29:30" x14ac:dyDescent="0.25">
      <c r="AC810" s="70" t="str">
        <f>IF(AND(Sheet1!O810="SIM",Sheet1!P810="SIM"),"Sim","")</f>
        <v/>
      </c>
      <c r="AD810" s="70" t="str">
        <f>IF(AC810="sim",Sheet1!I810,"")</f>
        <v/>
      </c>
    </row>
    <row r="811" spans="29:30" x14ac:dyDescent="0.25">
      <c r="AC811" s="70" t="str">
        <f>IF(AND(Sheet1!O811="SIM",Sheet1!P811="SIM"),"Sim","")</f>
        <v/>
      </c>
      <c r="AD811" s="70" t="str">
        <f>IF(AC811="sim",Sheet1!I811,"")</f>
        <v/>
      </c>
    </row>
    <row r="812" spans="29:30" x14ac:dyDescent="0.25">
      <c r="AC812" s="70" t="str">
        <f>IF(AND(Sheet1!O812="SIM",Sheet1!P812="SIM"),"Sim","")</f>
        <v/>
      </c>
      <c r="AD812" s="70" t="str">
        <f>IF(AC812="sim",Sheet1!I812,"")</f>
        <v/>
      </c>
    </row>
    <row r="813" spans="29:30" x14ac:dyDescent="0.25">
      <c r="AC813" s="70" t="str">
        <f>IF(AND(Sheet1!O813="SIM",Sheet1!P813="SIM"),"Sim","")</f>
        <v/>
      </c>
      <c r="AD813" s="70" t="str">
        <f>IF(AC813="sim",Sheet1!I813,"")</f>
        <v/>
      </c>
    </row>
    <row r="814" spans="29:30" x14ac:dyDescent="0.25">
      <c r="AC814" s="70" t="str">
        <f>IF(AND(Sheet1!O814="SIM",Sheet1!P814="SIM"),"Sim","")</f>
        <v/>
      </c>
      <c r="AD814" s="70" t="str">
        <f>IF(AC814="sim",Sheet1!I814,"")</f>
        <v/>
      </c>
    </row>
    <row r="815" spans="29:30" x14ac:dyDescent="0.25">
      <c r="AC815" s="70" t="str">
        <f>IF(AND(Sheet1!O815="SIM",Sheet1!P815="SIM"),"Sim","")</f>
        <v/>
      </c>
      <c r="AD815" s="70" t="str">
        <f>IF(AC815="sim",Sheet1!I815,"")</f>
        <v/>
      </c>
    </row>
    <row r="816" spans="29:30" x14ac:dyDescent="0.25">
      <c r="AC816" s="70" t="str">
        <f>IF(AND(Sheet1!O816="SIM",Sheet1!P816="SIM"),"Sim","")</f>
        <v/>
      </c>
      <c r="AD816" s="70" t="str">
        <f>IF(AC816="sim",Sheet1!I816,"")</f>
        <v/>
      </c>
    </row>
    <row r="817" spans="29:30" x14ac:dyDescent="0.25">
      <c r="AC817" s="70" t="str">
        <f>IF(AND(Sheet1!O817="SIM",Sheet1!P817="SIM"),"Sim","")</f>
        <v/>
      </c>
      <c r="AD817" s="70" t="str">
        <f>IF(AC817="sim",Sheet1!I817,"")</f>
        <v/>
      </c>
    </row>
    <row r="818" spans="29:30" x14ac:dyDescent="0.25">
      <c r="AC818" s="70" t="str">
        <f>IF(AND(Sheet1!O818="SIM",Sheet1!P818="SIM"),"Sim","")</f>
        <v/>
      </c>
      <c r="AD818" s="70" t="str">
        <f>IF(AC818="sim",Sheet1!I818,"")</f>
        <v/>
      </c>
    </row>
    <row r="819" spans="29:30" x14ac:dyDescent="0.25">
      <c r="AC819" s="70" t="str">
        <f>IF(AND(Sheet1!O819="SIM",Sheet1!P819="SIM"),"Sim","")</f>
        <v/>
      </c>
      <c r="AD819" s="70" t="str">
        <f>IF(AC819="sim",Sheet1!I819,"")</f>
        <v/>
      </c>
    </row>
    <row r="820" spans="29:30" x14ac:dyDescent="0.25">
      <c r="AC820" s="70" t="str">
        <f>IF(AND(Sheet1!O820="SIM",Sheet1!P820="SIM"),"Sim","")</f>
        <v/>
      </c>
      <c r="AD820" s="70" t="str">
        <f>IF(AC820="sim",Sheet1!I820,"")</f>
        <v/>
      </c>
    </row>
    <row r="821" spans="29:30" x14ac:dyDescent="0.25">
      <c r="AC821" s="70" t="str">
        <f>IF(AND(Sheet1!O821="SIM",Sheet1!P821="SIM"),"Sim","")</f>
        <v/>
      </c>
      <c r="AD821" s="70" t="str">
        <f>IF(AC821="sim",Sheet1!I821,"")</f>
        <v/>
      </c>
    </row>
    <row r="822" spans="29:30" x14ac:dyDescent="0.25">
      <c r="AC822" s="70" t="str">
        <f>IF(AND(Sheet1!O822="SIM",Sheet1!P822="SIM"),"Sim","")</f>
        <v/>
      </c>
      <c r="AD822" s="70" t="str">
        <f>IF(AC822="sim",Sheet1!I822,"")</f>
        <v/>
      </c>
    </row>
    <row r="823" spans="29:30" x14ac:dyDescent="0.25">
      <c r="AC823" s="70" t="str">
        <f>IF(AND(Sheet1!O823="SIM",Sheet1!P823="SIM"),"Sim","")</f>
        <v/>
      </c>
      <c r="AD823" s="70" t="str">
        <f>IF(AC823="sim",Sheet1!I823,"")</f>
        <v/>
      </c>
    </row>
    <row r="824" spans="29:30" x14ac:dyDescent="0.25">
      <c r="AC824" s="70" t="str">
        <f>IF(AND(Sheet1!O824="SIM",Sheet1!P824="SIM"),"Sim","")</f>
        <v/>
      </c>
      <c r="AD824" s="70" t="str">
        <f>IF(AC824="sim",Sheet1!I824,"")</f>
        <v/>
      </c>
    </row>
    <row r="825" spans="29:30" x14ac:dyDescent="0.25">
      <c r="AC825" s="70" t="str">
        <f>IF(AND(Sheet1!O825="SIM",Sheet1!P825="SIM"),"Sim","")</f>
        <v/>
      </c>
      <c r="AD825" s="70" t="str">
        <f>IF(AC825="sim",Sheet1!I825,"")</f>
        <v/>
      </c>
    </row>
    <row r="826" spans="29:30" x14ac:dyDescent="0.25">
      <c r="AC826" s="70" t="str">
        <f>IF(AND(Sheet1!O826="SIM",Sheet1!P826="SIM"),"Sim","")</f>
        <v/>
      </c>
      <c r="AD826" s="70" t="str">
        <f>IF(AC826="sim",Sheet1!I826,"")</f>
        <v/>
      </c>
    </row>
    <row r="827" spans="29:30" x14ac:dyDescent="0.25">
      <c r="AC827" s="70" t="str">
        <f>IF(AND(Sheet1!O827="SIM",Sheet1!P827="SIM"),"Sim","")</f>
        <v/>
      </c>
      <c r="AD827" s="70" t="str">
        <f>IF(AC827="sim",Sheet1!I827,"")</f>
        <v/>
      </c>
    </row>
    <row r="828" spans="29:30" x14ac:dyDescent="0.25">
      <c r="AC828" s="70" t="str">
        <f>IF(AND(Sheet1!O828="SIM",Sheet1!P828="SIM"),"Sim","")</f>
        <v/>
      </c>
      <c r="AD828" s="70" t="str">
        <f>IF(AC828="sim",Sheet1!I828,"")</f>
        <v/>
      </c>
    </row>
    <row r="829" spans="29:30" x14ac:dyDescent="0.25">
      <c r="AC829" s="70" t="str">
        <f>IF(AND(Sheet1!O829="SIM",Sheet1!P829="SIM"),"Sim","")</f>
        <v/>
      </c>
      <c r="AD829" s="70" t="str">
        <f>IF(AC829="sim",Sheet1!I829,"")</f>
        <v/>
      </c>
    </row>
    <row r="830" spans="29:30" x14ac:dyDescent="0.25">
      <c r="AC830" s="70" t="str">
        <f>IF(AND(Sheet1!O830="SIM",Sheet1!P830="SIM"),"Sim","")</f>
        <v/>
      </c>
      <c r="AD830" s="70" t="str">
        <f>IF(AC830="sim",Sheet1!I830,"")</f>
        <v/>
      </c>
    </row>
    <row r="831" spans="29:30" x14ac:dyDescent="0.25">
      <c r="AC831" s="70" t="str">
        <f>IF(AND(Sheet1!O831="SIM",Sheet1!P831="SIM"),"Sim","")</f>
        <v/>
      </c>
      <c r="AD831" s="70" t="str">
        <f>IF(AC831="sim",Sheet1!I831,"")</f>
        <v/>
      </c>
    </row>
    <row r="832" spans="29:30" x14ac:dyDescent="0.25">
      <c r="AC832" s="70" t="str">
        <f>IF(AND(Sheet1!O832="SIM",Sheet1!P832="SIM"),"Sim","")</f>
        <v/>
      </c>
      <c r="AD832" s="70" t="str">
        <f>IF(AC832="sim",Sheet1!I832,"")</f>
        <v/>
      </c>
    </row>
    <row r="833" spans="29:30" x14ac:dyDescent="0.25">
      <c r="AC833" s="70" t="str">
        <f>IF(AND(Sheet1!O833="SIM",Sheet1!P833="SIM"),"Sim","")</f>
        <v/>
      </c>
      <c r="AD833" s="70" t="str">
        <f>IF(AC833="sim",Sheet1!I833,"")</f>
        <v/>
      </c>
    </row>
    <row r="834" spans="29:30" x14ac:dyDescent="0.25">
      <c r="AC834" s="70" t="str">
        <f>IF(AND(Sheet1!O834="SIM",Sheet1!P834="SIM"),"Sim","")</f>
        <v/>
      </c>
      <c r="AD834" s="70" t="str">
        <f>IF(AC834="sim",Sheet1!I834,"")</f>
        <v/>
      </c>
    </row>
    <row r="835" spans="29:30" x14ac:dyDescent="0.25">
      <c r="AC835" s="70" t="str">
        <f>IF(AND(Sheet1!O835="SIM",Sheet1!P835="SIM"),"Sim","")</f>
        <v/>
      </c>
      <c r="AD835" s="70" t="str">
        <f>IF(AC835="sim",Sheet1!I835,"")</f>
        <v/>
      </c>
    </row>
    <row r="836" spans="29:30" x14ac:dyDescent="0.25">
      <c r="AC836" s="70" t="str">
        <f>IF(AND(Sheet1!O836="SIM",Sheet1!P836="SIM"),"Sim","")</f>
        <v/>
      </c>
      <c r="AD836" s="70" t="str">
        <f>IF(AC836="sim",Sheet1!I836,"")</f>
        <v/>
      </c>
    </row>
    <row r="837" spans="29:30" x14ac:dyDescent="0.25">
      <c r="AC837" s="70" t="str">
        <f>IF(AND(Sheet1!O837="SIM",Sheet1!P837="SIM"),"Sim","")</f>
        <v/>
      </c>
      <c r="AD837" s="70" t="str">
        <f>IF(AC837="sim",Sheet1!I837,"")</f>
        <v/>
      </c>
    </row>
    <row r="838" spans="29:30" x14ac:dyDescent="0.25">
      <c r="AC838" s="70" t="str">
        <f>IF(AND(Sheet1!O838="SIM",Sheet1!P838="SIM"),"Sim","")</f>
        <v/>
      </c>
      <c r="AD838" s="70" t="str">
        <f>IF(AC838="sim",Sheet1!I838,"")</f>
        <v/>
      </c>
    </row>
    <row r="839" spans="29:30" x14ac:dyDescent="0.25">
      <c r="AC839" s="70" t="str">
        <f>IF(AND(Sheet1!O839="SIM",Sheet1!P839="SIM"),"Sim","")</f>
        <v/>
      </c>
      <c r="AD839" s="70" t="str">
        <f>IF(AC839="sim",Sheet1!I839,"")</f>
        <v/>
      </c>
    </row>
    <row r="840" spans="29:30" x14ac:dyDescent="0.25">
      <c r="AC840" s="70" t="str">
        <f>IF(AND(Sheet1!O840="SIM",Sheet1!P840="SIM"),"Sim","")</f>
        <v/>
      </c>
      <c r="AD840" s="70" t="str">
        <f>IF(AC840="sim",Sheet1!I840,"")</f>
        <v/>
      </c>
    </row>
    <row r="841" spans="29:30" x14ac:dyDescent="0.25">
      <c r="AC841" s="70" t="str">
        <f>IF(AND(Sheet1!O841="SIM",Sheet1!P841="SIM"),"Sim","")</f>
        <v/>
      </c>
      <c r="AD841" s="70" t="str">
        <f>IF(AC841="sim",Sheet1!I841,"")</f>
        <v/>
      </c>
    </row>
    <row r="842" spans="29:30" x14ac:dyDescent="0.25">
      <c r="AC842" s="70" t="str">
        <f>IF(AND(Sheet1!O842="SIM",Sheet1!P842="SIM"),"Sim","")</f>
        <v/>
      </c>
      <c r="AD842" s="70" t="str">
        <f>IF(AC842="sim",Sheet1!I842,"")</f>
        <v/>
      </c>
    </row>
    <row r="843" spans="29:30" x14ac:dyDescent="0.25">
      <c r="AC843" s="70" t="str">
        <f>IF(AND(Sheet1!O843="SIM",Sheet1!P843="SIM"),"Sim","")</f>
        <v/>
      </c>
      <c r="AD843" s="70" t="str">
        <f>IF(AC843="sim",Sheet1!I843,"")</f>
        <v/>
      </c>
    </row>
    <row r="844" spans="29:30" x14ac:dyDescent="0.25">
      <c r="AC844" s="70" t="str">
        <f>IF(AND(Sheet1!O844="SIM",Sheet1!P844="SIM"),"Sim","")</f>
        <v/>
      </c>
      <c r="AD844" s="70" t="str">
        <f>IF(AC844="sim",Sheet1!I844,"")</f>
        <v/>
      </c>
    </row>
    <row r="845" spans="29:30" x14ac:dyDescent="0.25">
      <c r="AC845" s="70" t="str">
        <f>IF(AND(Sheet1!O845="SIM",Sheet1!P845="SIM"),"Sim","")</f>
        <v/>
      </c>
      <c r="AD845" s="70" t="str">
        <f>IF(AC845="sim",Sheet1!I845,"")</f>
        <v/>
      </c>
    </row>
    <row r="846" spans="29:30" x14ac:dyDescent="0.25">
      <c r="AC846" s="70" t="str">
        <f>IF(AND(Sheet1!O846="SIM",Sheet1!P846="SIM"),"Sim","")</f>
        <v/>
      </c>
      <c r="AD846" s="70" t="str">
        <f>IF(AC846="sim",Sheet1!I846,"")</f>
        <v/>
      </c>
    </row>
    <row r="847" spans="29:30" x14ac:dyDescent="0.25">
      <c r="AC847" s="70" t="str">
        <f>IF(AND(Sheet1!O847="SIM",Sheet1!P847="SIM"),"Sim","")</f>
        <v/>
      </c>
      <c r="AD847" s="70" t="str">
        <f>IF(AC847="sim",Sheet1!I847,"")</f>
        <v/>
      </c>
    </row>
    <row r="848" spans="29:30" x14ac:dyDescent="0.25">
      <c r="AC848" s="70" t="str">
        <f>IF(AND(Sheet1!O848="SIM",Sheet1!P848="SIM"),"Sim","")</f>
        <v/>
      </c>
      <c r="AD848" s="70" t="str">
        <f>IF(AC848="sim",Sheet1!I848,"")</f>
        <v/>
      </c>
    </row>
    <row r="849" spans="29:30" x14ac:dyDescent="0.25">
      <c r="AC849" s="70" t="str">
        <f>IF(AND(Sheet1!O849="SIM",Sheet1!P849="SIM"),"Sim","")</f>
        <v/>
      </c>
      <c r="AD849" s="70" t="str">
        <f>IF(AC849="sim",Sheet1!I849,"")</f>
        <v/>
      </c>
    </row>
    <row r="850" spans="29:30" x14ac:dyDescent="0.25">
      <c r="AC850" s="70" t="str">
        <f>IF(AND(Sheet1!O850="SIM",Sheet1!P850="SIM"),"Sim","")</f>
        <v/>
      </c>
      <c r="AD850" s="70" t="str">
        <f>IF(AC850="sim",Sheet1!I850,"")</f>
        <v/>
      </c>
    </row>
    <row r="851" spans="29:30" x14ac:dyDescent="0.25">
      <c r="AC851" s="70" t="str">
        <f>IF(AND(Sheet1!O851="SIM",Sheet1!P851="SIM"),"Sim","")</f>
        <v/>
      </c>
      <c r="AD851" s="70" t="str">
        <f>IF(AC851="sim",Sheet1!I851,"")</f>
        <v/>
      </c>
    </row>
    <row r="852" spans="29:30" x14ac:dyDescent="0.25">
      <c r="AC852" s="70" t="str">
        <f>IF(AND(Sheet1!O852="SIM",Sheet1!P852="SIM"),"Sim","")</f>
        <v/>
      </c>
      <c r="AD852" s="70" t="str">
        <f>IF(AC852="sim",Sheet1!I852,"")</f>
        <v/>
      </c>
    </row>
    <row r="853" spans="29:30" x14ac:dyDescent="0.25">
      <c r="AC853" s="70" t="str">
        <f>IF(AND(Sheet1!O853="SIM",Sheet1!P853="SIM"),"Sim","")</f>
        <v/>
      </c>
      <c r="AD853" s="70" t="str">
        <f>IF(AC853="sim",Sheet1!I853,"")</f>
        <v/>
      </c>
    </row>
    <row r="854" spans="29:30" x14ac:dyDescent="0.25">
      <c r="AC854" s="70" t="str">
        <f>IF(AND(Sheet1!O854="SIM",Sheet1!P854="SIM"),"Sim","")</f>
        <v/>
      </c>
      <c r="AD854" s="70" t="str">
        <f>IF(AC854="sim",Sheet1!I854,"")</f>
        <v/>
      </c>
    </row>
    <row r="855" spans="29:30" x14ac:dyDescent="0.25">
      <c r="AC855" s="70" t="str">
        <f>IF(AND(Sheet1!O855="SIM",Sheet1!P855="SIM"),"Sim","")</f>
        <v/>
      </c>
      <c r="AD855" s="70" t="str">
        <f>IF(AC855="sim",Sheet1!I855,"")</f>
        <v/>
      </c>
    </row>
    <row r="856" spans="29:30" x14ac:dyDescent="0.25">
      <c r="AC856" s="70" t="str">
        <f>IF(AND(Sheet1!O856="SIM",Sheet1!P856="SIM"),"Sim","")</f>
        <v/>
      </c>
      <c r="AD856" s="70" t="str">
        <f>IF(AC856="sim",Sheet1!I856,"")</f>
        <v/>
      </c>
    </row>
    <row r="857" spans="29:30" x14ac:dyDescent="0.25">
      <c r="AC857" s="70" t="str">
        <f>IF(AND(Sheet1!O857="SIM",Sheet1!P857="SIM"),"Sim","")</f>
        <v/>
      </c>
      <c r="AD857" s="70" t="str">
        <f>IF(AC857="sim",Sheet1!I857,"")</f>
        <v/>
      </c>
    </row>
    <row r="858" spans="29:30" x14ac:dyDescent="0.25">
      <c r="AC858" s="70" t="str">
        <f>IF(AND(Sheet1!O858="SIM",Sheet1!P858="SIM"),"Sim","")</f>
        <v/>
      </c>
      <c r="AD858" s="70" t="str">
        <f>IF(AC858="sim",Sheet1!I858,"")</f>
        <v/>
      </c>
    </row>
    <row r="859" spans="29:30" x14ac:dyDescent="0.25">
      <c r="AC859" s="70" t="str">
        <f>IF(AND(Sheet1!O859="SIM",Sheet1!P859="SIM"),"Sim","")</f>
        <v/>
      </c>
      <c r="AD859" s="70" t="str">
        <f>IF(AC859="sim",Sheet1!I859,"")</f>
        <v/>
      </c>
    </row>
    <row r="860" spans="29:30" x14ac:dyDescent="0.25">
      <c r="AC860" s="70" t="str">
        <f>IF(AND(Sheet1!O860="SIM",Sheet1!P860="SIM"),"Sim","")</f>
        <v/>
      </c>
      <c r="AD860" s="70" t="str">
        <f>IF(AC860="sim",Sheet1!I860,"")</f>
        <v/>
      </c>
    </row>
    <row r="861" spans="29:30" x14ac:dyDescent="0.25">
      <c r="AC861" s="70" t="str">
        <f>IF(AND(Sheet1!O861="SIM",Sheet1!P861="SIM"),"Sim","")</f>
        <v/>
      </c>
      <c r="AD861" s="70" t="str">
        <f>IF(AC861="sim",Sheet1!I861,"")</f>
        <v/>
      </c>
    </row>
    <row r="862" spans="29:30" x14ac:dyDescent="0.25">
      <c r="AC862" s="70" t="str">
        <f>IF(AND(Sheet1!O862="SIM",Sheet1!P862="SIM"),"Sim","")</f>
        <v/>
      </c>
      <c r="AD862" s="70" t="str">
        <f>IF(AC862="sim",Sheet1!I862,"")</f>
        <v/>
      </c>
    </row>
    <row r="863" spans="29:30" x14ac:dyDescent="0.25">
      <c r="AC863" s="70" t="str">
        <f>IF(AND(Sheet1!O863="SIM",Sheet1!P863="SIM"),"Sim","")</f>
        <v/>
      </c>
      <c r="AD863" s="70" t="str">
        <f>IF(AC863="sim",Sheet1!I863,"")</f>
        <v/>
      </c>
    </row>
    <row r="864" spans="29:30" x14ac:dyDescent="0.25">
      <c r="AC864" s="70" t="str">
        <f>IF(AND(Sheet1!O864="SIM",Sheet1!P864="SIM"),"Sim","")</f>
        <v/>
      </c>
      <c r="AD864" s="70" t="str">
        <f>IF(AC864="sim",Sheet1!I864,"")</f>
        <v/>
      </c>
    </row>
    <row r="865" spans="29:30" x14ac:dyDescent="0.25">
      <c r="AC865" s="70" t="str">
        <f>IF(AND(Sheet1!O865="SIM",Sheet1!P865="SIM"),"Sim","")</f>
        <v/>
      </c>
      <c r="AD865" s="70" t="str">
        <f>IF(AC865="sim",Sheet1!I865,"")</f>
        <v/>
      </c>
    </row>
    <row r="866" spans="29:30" x14ac:dyDescent="0.25">
      <c r="AC866" s="70" t="str">
        <f>IF(AND(Sheet1!O866="SIM",Sheet1!P866="SIM"),"Sim","")</f>
        <v/>
      </c>
      <c r="AD866" s="70" t="str">
        <f>IF(AC866="sim",Sheet1!I866,"")</f>
        <v/>
      </c>
    </row>
    <row r="867" spans="29:30" x14ac:dyDescent="0.25">
      <c r="AC867" s="70" t="str">
        <f>IF(AND(Sheet1!O867="SIM",Sheet1!P867="SIM"),"Sim","")</f>
        <v/>
      </c>
      <c r="AD867" s="70" t="str">
        <f>IF(AC867="sim",Sheet1!I867,"")</f>
        <v/>
      </c>
    </row>
    <row r="868" spans="29:30" x14ac:dyDescent="0.25">
      <c r="AC868" s="70" t="str">
        <f>IF(AND(Sheet1!O868="SIM",Sheet1!P868="SIM"),"Sim","")</f>
        <v/>
      </c>
      <c r="AD868" s="70" t="str">
        <f>IF(AC868="sim",Sheet1!I868,"")</f>
        <v/>
      </c>
    </row>
    <row r="869" spans="29:30" x14ac:dyDescent="0.25">
      <c r="AC869" s="70" t="str">
        <f>IF(AND(Sheet1!O869="SIM",Sheet1!P869="SIM"),"Sim","")</f>
        <v/>
      </c>
      <c r="AD869" s="70" t="str">
        <f>IF(AC869="sim",Sheet1!I869,"")</f>
        <v/>
      </c>
    </row>
    <row r="870" spans="29:30" x14ac:dyDescent="0.25">
      <c r="AC870" s="70" t="str">
        <f>IF(AND(Sheet1!O870="SIM",Sheet1!P870="SIM"),"Sim","")</f>
        <v/>
      </c>
      <c r="AD870" s="70" t="str">
        <f>IF(AC870="sim",Sheet1!I870,"")</f>
        <v/>
      </c>
    </row>
    <row r="871" spans="29:30" x14ac:dyDescent="0.25">
      <c r="AC871" s="70" t="str">
        <f>IF(AND(Sheet1!O871="SIM",Sheet1!P871="SIM"),"Sim","")</f>
        <v/>
      </c>
      <c r="AD871" s="70" t="str">
        <f>IF(AC871="sim",Sheet1!I871,"")</f>
        <v/>
      </c>
    </row>
    <row r="872" spans="29:30" x14ac:dyDescent="0.25">
      <c r="AC872" s="70" t="str">
        <f>IF(AND(Sheet1!O872="SIM",Sheet1!P872="SIM"),"Sim","")</f>
        <v/>
      </c>
      <c r="AD872" s="70" t="str">
        <f>IF(AC872="sim",Sheet1!I872,"")</f>
        <v/>
      </c>
    </row>
    <row r="873" spans="29:30" x14ac:dyDescent="0.25">
      <c r="AC873" s="70" t="str">
        <f>IF(AND(Sheet1!O873="SIM",Sheet1!P873="SIM"),"Sim","")</f>
        <v/>
      </c>
      <c r="AD873" s="70" t="str">
        <f>IF(AC873="sim",Sheet1!I873,"")</f>
        <v/>
      </c>
    </row>
    <row r="874" spans="29:30" x14ac:dyDescent="0.25">
      <c r="AC874" s="70" t="str">
        <f>IF(AND(Sheet1!O874="SIM",Sheet1!P874="SIM"),"Sim","")</f>
        <v/>
      </c>
      <c r="AD874" s="70" t="str">
        <f>IF(AC874="sim",Sheet1!I874,"")</f>
        <v/>
      </c>
    </row>
    <row r="875" spans="29:30" x14ac:dyDescent="0.25">
      <c r="AC875" s="70" t="str">
        <f>IF(AND(Sheet1!O875="SIM",Sheet1!P875="SIM"),"Sim","")</f>
        <v/>
      </c>
      <c r="AD875" s="70" t="str">
        <f>IF(AC875="sim",Sheet1!I875,"")</f>
        <v/>
      </c>
    </row>
    <row r="876" spans="29:30" x14ac:dyDescent="0.25">
      <c r="AC876" s="70" t="str">
        <f>IF(AND(Sheet1!O876="SIM",Sheet1!P876="SIM"),"Sim","")</f>
        <v/>
      </c>
      <c r="AD876" s="70" t="str">
        <f>IF(AC876="sim",Sheet1!I876,"")</f>
        <v/>
      </c>
    </row>
    <row r="877" spans="29:30" x14ac:dyDescent="0.25">
      <c r="AC877" s="70" t="str">
        <f>IF(AND(Sheet1!O877="SIM",Sheet1!P877="SIM"),"Sim","")</f>
        <v/>
      </c>
      <c r="AD877" s="70" t="str">
        <f>IF(AC877="sim",Sheet1!I877,"")</f>
        <v/>
      </c>
    </row>
    <row r="878" spans="29:30" x14ac:dyDescent="0.25">
      <c r="AC878" s="70" t="str">
        <f>IF(AND(Sheet1!O878="SIM",Sheet1!P878="SIM"),"Sim","")</f>
        <v/>
      </c>
      <c r="AD878" s="70" t="str">
        <f>IF(AC878="sim",Sheet1!I878,"")</f>
        <v/>
      </c>
    </row>
    <row r="879" spans="29:30" x14ac:dyDescent="0.25">
      <c r="AC879" s="70" t="str">
        <f>IF(AND(Sheet1!O879="SIM",Sheet1!P879="SIM"),"Sim","")</f>
        <v/>
      </c>
      <c r="AD879" s="70" t="str">
        <f>IF(AC879="sim",Sheet1!I879,"")</f>
        <v/>
      </c>
    </row>
    <row r="880" spans="29:30" x14ac:dyDescent="0.25">
      <c r="AC880" s="70" t="str">
        <f>IF(AND(Sheet1!O880="SIM",Sheet1!P880="SIM"),"Sim","")</f>
        <v/>
      </c>
      <c r="AD880" s="70" t="str">
        <f>IF(AC880="sim",Sheet1!I880,"")</f>
        <v/>
      </c>
    </row>
    <row r="881" spans="29:30" x14ac:dyDescent="0.25">
      <c r="AC881" s="70" t="str">
        <f>IF(AND(Sheet1!O881="SIM",Sheet1!P881="SIM"),"Sim","")</f>
        <v/>
      </c>
      <c r="AD881" s="70" t="str">
        <f>IF(AC881="sim",Sheet1!I881,"")</f>
        <v/>
      </c>
    </row>
    <row r="882" spans="29:30" x14ac:dyDescent="0.25">
      <c r="AC882" s="70" t="str">
        <f>IF(AND(Sheet1!O882="SIM",Sheet1!P882="SIM"),"Sim","")</f>
        <v/>
      </c>
      <c r="AD882" s="70" t="str">
        <f>IF(AC882="sim",Sheet1!I882,"")</f>
        <v/>
      </c>
    </row>
    <row r="883" spans="29:30" x14ac:dyDescent="0.25">
      <c r="AC883" s="70" t="str">
        <f>IF(AND(Sheet1!O883="SIM",Sheet1!P883="SIM"),"Sim","")</f>
        <v/>
      </c>
      <c r="AD883" s="70" t="str">
        <f>IF(AC883="sim",Sheet1!I883,"")</f>
        <v/>
      </c>
    </row>
    <row r="884" spans="29:30" x14ac:dyDescent="0.25">
      <c r="AC884" s="70" t="str">
        <f>IF(AND(Sheet1!O884="SIM",Sheet1!P884="SIM"),"Sim","")</f>
        <v/>
      </c>
      <c r="AD884" s="70" t="str">
        <f>IF(AC884="sim",Sheet1!I884,"")</f>
        <v/>
      </c>
    </row>
    <row r="885" spans="29:30" x14ac:dyDescent="0.25">
      <c r="AC885" s="70" t="str">
        <f>IF(AND(Sheet1!O885="SIM",Sheet1!P885="SIM"),"Sim","")</f>
        <v/>
      </c>
      <c r="AD885" s="70" t="str">
        <f>IF(AC885="sim",Sheet1!I885,"")</f>
        <v/>
      </c>
    </row>
    <row r="886" spans="29:30" x14ac:dyDescent="0.25">
      <c r="AC886" s="70" t="str">
        <f>IF(AND(Sheet1!O886="SIM",Sheet1!P886="SIM"),"Sim","")</f>
        <v/>
      </c>
      <c r="AD886" s="70" t="str">
        <f>IF(AC886="sim",Sheet1!I886,"")</f>
        <v/>
      </c>
    </row>
    <row r="887" spans="29:30" x14ac:dyDescent="0.25">
      <c r="AC887" s="70" t="str">
        <f>IF(AND(Sheet1!O887="SIM",Sheet1!P887="SIM"),"Sim","")</f>
        <v/>
      </c>
      <c r="AD887" s="70" t="str">
        <f>IF(AC887="sim",Sheet1!I887,"")</f>
        <v/>
      </c>
    </row>
    <row r="888" spans="29:30" x14ac:dyDescent="0.25">
      <c r="AC888" s="70" t="str">
        <f>IF(AND(Sheet1!O888="SIM",Sheet1!P888="SIM"),"Sim","")</f>
        <v/>
      </c>
      <c r="AD888" s="70" t="str">
        <f>IF(AC888="sim",Sheet1!I888,"")</f>
        <v/>
      </c>
    </row>
    <row r="889" spans="29:30" x14ac:dyDescent="0.25">
      <c r="AC889" s="70" t="str">
        <f>IF(AND(Sheet1!O889="SIM",Sheet1!P889="SIM"),"Sim","")</f>
        <v/>
      </c>
      <c r="AD889" s="70" t="str">
        <f>IF(AC889="sim",Sheet1!I889,"")</f>
        <v/>
      </c>
    </row>
    <row r="890" spans="29:30" x14ac:dyDescent="0.25">
      <c r="AC890" s="70" t="str">
        <f>IF(AND(Sheet1!O890="SIM",Sheet1!P890="SIM"),"Sim","")</f>
        <v/>
      </c>
      <c r="AD890" s="70" t="str">
        <f>IF(AC890="sim",Sheet1!I890,"")</f>
        <v/>
      </c>
    </row>
    <row r="891" spans="29:30" x14ac:dyDescent="0.25">
      <c r="AC891" s="70" t="str">
        <f>IF(AND(Sheet1!O891="SIM",Sheet1!P891="SIM"),"Sim","")</f>
        <v/>
      </c>
      <c r="AD891" s="70" t="str">
        <f>IF(AC891="sim",Sheet1!I891,"")</f>
        <v/>
      </c>
    </row>
    <row r="892" spans="29:30" x14ac:dyDescent="0.25">
      <c r="AC892" s="70" t="str">
        <f>IF(AND(Sheet1!O892="SIM",Sheet1!P892="SIM"),"Sim","")</f>
        <v/>
      </c>
      <c r="AD892" s="70" t="str">
        <f>IF(AC892="sim",Sheet1!I892,"")</f>
        <v/>
      </c>
    </row>
    <row r="893" spans="29:30" x14ac:dyDescent="0.25">
      <c r="AC893" s="70" t="str">
        <f>IF(AND(Sheet1!O893="SIM",Sheet1!P893="SIM"),"Sim","")</f>
        <v/>
      </c>
      <c r="AD893" s="70" t="str">
        <f>IF(AC893="sim",Sheet1!I893,"")</f>
        <v/>
      </c>
    </row>
    <row r="894" spans="29:30" x14ac:dyDescent="0.25">
      <c r="AC894" s="70" t="str">
        <f>IF(AND(Sheet1!O894="SIM",Sheet1!P894="SIM"),"Sim","")</f>
        <v/>
      </c>
      <c r="AD894" s="70" t="str">
        <f>IF(AC894="sim",Sheet1!I894,"")</f>
        <v/>
      </c>
    </row>
    <row r="895" spans="29:30" x14ac:dyDescent="0.25">
      <c r="AC895" s="70" t="str">
        <f>IF(AND(Sheet1!O895="SIM",Sheet1!P895="SIM"),"Sim","")</f>
        <v/>
      </c>
      <c r="AD895" s="70" t="str">
        <f>IF(AC895="sim",Sheet1!I895,"")</f>
        <v/>
      </c>
    </row>
    <row r="896" spans="29:30" x14ac:dyDescent="0.25">
      <c r="AC896" s="70" t="str">
        <f>IF(AND(Sheet1!O896="SIM",Sheet1!P896="SIM"),"Sim","")</f>
        <v/>
      </c>
      <c r="AD896" s="70" t="str">
        <f>IF(AC896="sim",Sheet1!I896,"")</f>
        <v/>
      </c>
    </row>
    <row r="897" spans="29:30" x14ac:dyDescent="0.25">
      <c r="AC897" s="70" t="str">
        <f>IF(AND(Sheet1!O897="SIM",Sheet1!P897="SIM"),"Sim","")</f>
        <v/>
      </c>
      <c r="AD897" s="70" t="str">
        <f>IF(AC897="sim",Sheet1!I897,"")</f>
        <v/>
      </c>
    </row>
    <row r="898" spans="29:30" x14ac:dyDescent="0.25">
      <c r="AC898" s="70" t="str">
        <f>IF(AND(Sheet1!O898="SIM",Sheet1!P898="SIM"),"Sim","")</f>
        <v/>
      </c>
      <c r="AD898" s="70" t="str">
        <f>IF(AC898="sim",Sheet1!I898,"")</f>
        <v/>
      </c>
    </row>
    <row r="899" spans="29:30" x14ac:dyDescent="0.25">
      <c r="AC899" s="70" t="str">
        <f>IF(AND(Sheet1!O899="SIM",Sheet1!P899="SIM"),"Sim","")</f>
        <v/>
      </c>
      <c r="AD899" s="70" t="str">
        <f>IF(AC899="sim",Sheet1!I899,"")</f>
        <v/>
      </c>
    </row>
    <row r="900" spans="29:30" x14ac:dyDescent="0.25">
      <c r="AC900" s="70" t="str">
        <f>IF(AND(Sheet1!O900="SIM",Sheet1!P900="SIM"),"Sim","")</f>
        <v/>
      </c>
      <c r="AD900" s="70" t="str">
        <f>IF(AC900="sim",Sheet1!I900,"")</f>
        <v/>
      </c>
    </row>
    <row r="901" spans="29:30" x14ac:dyDescent="0.25">
      <c r="AC901" s="70" t="str">
        <f>IF(AND(Sheet1!O901="SIM",Sheet1!P901="SIM"),"Sim","")</f>
        <v/>
      </c>
      <c r="AD901" s="70" t="str">
        <f>IF(AC901="sim",Sheet1!I901,"")</f>
        <v/>
      </c>
    </row>
    <row r="902" spans="29:30" x14ac:dyDescent="0.25">
      <c r="AC902" s="70" t="str">
        <f>IF(AND(Sheet1!O902="SIM",Sheet1!P902="SIM"),"Sim","")</f>
        <v/>
      </c>
      <c r="AD902" s="70" t="str">
        <f>IF(AC902="sim",Sheet1!I902,"")</f>
        <v/>
      </c>
    </row>
    <row r="903" spans="29:30" x14ac:dyDescent="0.25">
      <c r="AC903" s="70" t="str">
        <f>IF(AND(Sheet1!O903="SIM",Sheet1!P903="SIM"),"Sim","")</f>
        <v/>
      </c>
      <c r="AD903" s="70" t="str">
        <f>IF(AC903="sim",Sheet1!I903,"")</f>
        <v/>
      </c>
    </row>
    <row r="904" spans="29:30" x14ac:dyDescent="0.25">
      <c r="AC904" s="70" t="str">
        <f>IF(AND(Sheet1!O904="SIM",Sheet1!P904="SIM"),"Sim","")</f>
        <v/>
      </c>
      <c r="AD904" s="70" t="str">
        <f>IF(AC904="sim",Sheet1!I904,"")</f>
        <v/>
      </c>
    </row>
    <row r="905" spans="29:30" x14ac:dyDescent="0.25">
      <c r="AC905" s="70" t="str">
        <f>IF(AND(Sheet1!O905="SIM",Sheet1!P905="SIM"),"Sim","")</f>
        <v/>
      </c>
      <c r="AD905" s="70" t="str">
        <f>IF(AC905="sim",Sheet1!I905,"")</f>
        <v/>
      </c>
    </row>
    <row r="906" spans="29:30" x14ac:dyDescent="0.25">
      <c r="AC906" s="70" t="str">
        <f>IF(AND(Sheet1!O906="SIM",Sheet1!P906="SIM"),"Sim","")</f>
        <v/>
      </c>
      <c r="AD906" s="70" t="str">
        <f>IF(AC906="sim",Sheet1!I906,"")</f>
        <v/>
      </c>
    </row>
    <row r="907" spans="29:30" x14ac:dyDescent="0.25">
      <c r="AC907" s="70" t="str">
        <f>IF(AND(Sheet1!O907="SIM",Sheet1!P907="SIM"),"Sim","")</f>
        <v/>
      </c>
      <c r="AD907" s="70" t="str">
        <f>IF(AC907="sim",Sheet1!I907,"")</f>
        <v/>
      </c>
    </row>
    <row r="908" spans="29:30" x14ac:dyDescent="0.25">
      <c r="AC908" s="70" t="str">
        <f>IF(AND(Sheet1!O908="SIM",Sheet1!P908="SIM"),"Sim","")</f>
        <v/>
      </c>
      <c r="AD908" s="70" t="str">
        <f>IF(AC908="sim",Sheet1!I908,"")</f>
        <v/>
      </c>
    </row>
    <row r="909" spans="29:30" x14ac:dyDescent="0.25">
      <c r="AC909" s="70" t="str">
        <f>IF(AND(Sheet1!O909="SIM",Sheet1!P909="SIM"),"Sim","")</f>
        <v/>
      </c>
      <c r="AD909" s="70" t="str">
        <f>IF(AC909="sim",Sheet1!I909,"")</f>
        <v/>
      </c>
    </row>
    <row r="910" spans="29:30" x14ac:dyDescent="0.25">
      <c r="AC910" s="70" t="str">
        <f>IF(AND(Sheet1!O910="SIM",Sheet1!P910="SIM"),"Sim","")</f>
        <v/>
      </c>
      <c r="AD910" s="70" t="str">
        <f>IF(AC910="sim",Sheet1!I910,"")</f>
        <v/>
      </c>
    </row>
    <row r="911" spans="29:30" x14ac:dyDescent="0.25">
      <c r="AC911" s="70" t="str">
        <f>IF(AND(Sheet1!O911="SIM",Sheet1!P911="SIM"),"Sim","")</f>
        <v/>
      </c>
      <c r="AD911" s="70" t="str">
        <f>IF(AC911="sim",Sheet1!I911,"")</f>
        <v/>
      </c>
    </row>
    <row r="912" spans="29:30" x14ac:dyDescent="0.25">
      <c r="AC912" s="70" t="str">
        <f>IF(AND(Sheet1!O912="SIM",Sheet1!P912="SIM"),"Sim","")</f>
        <v/>
      </c>
      <c r="AD912" s="70" t="str">
        <f>IF(AC912="sim",Sheet1!I912,"")</f>
        <v/>
      </c>
    </row>
    <row r="913" spans="29:30" x14ac:dyDescent="0.25">
      <c r="AC913" s="70" t="str">
        <f>IF(AND(Sheet1!O913="SIM",Sheet1!P913="SIM"),"Sim","")</f>
        <v/>
      </c>
      <c r="AD913" s="70" t="str">
        <f>IF(AC913="sim",Sheet1!I913,"")</f>
        <v/>
      </c>
    </row>
    <row r="914" spans="29:30" x14ac:dyDescent="0.25">
      <c r="AC914" s="70" t="str">
        <f>IF(AND(Sheet1!O914="SIM",Sheet1!P914="SIM"),"Sim","")</f>
        <v/>
      </c>
      <c r="AD914" s="70" t="str">
        <f>IF(AC914="sim",Sheet1!I914,"")</f>
        <v/>
      </c>
    </row>
    <row r="915" spans="29:30" x14ac:dyDescent="0.25">
      <c r="AC915" s="70" t="str">
        <f>IF(AND(Sheet1!O915="SIM",Sheet1!P915="SIM"),"Sim","")</f>
        <v/>
      </c>
      <c r="AD915" s="70" t="str">
        <f>IF(AC915="sim",Sheet1!I915,"")</f>
        <v/>
      </c>
    </row>
    <row r="916" spans="29:30" x14ac:dyDescent="0.25">
      <c r="AC916" s="70" t="str">
        <f>IF(AND(Sheet1!O916="SIM",Sheet1!P916="SIM"),"Sim","")</f>
        <v/>
      </c>
      <c r="AD916" s="70" t="str">
        <f>IF(AC916="sim",Sheet1!I916,"")</f>
        <v/>
      </c>
    </row>
    <row r="917" spans="29:30" x14ac:dyDescent="0.25">
      <c r="AC917" s="70" t="str">
        <f>IF(AND(Sheet1!O917="SIM",Sheet1!P917="SIM"),"Sim","")</f>
        <v/>
      </c>
      <c r="AD917" s="70" t="str">
        <f>IF(AC917="sim",Sheet1!I917,"")</f>
        <v/>
      </c>
    </row>
    <row r="918" spans="29:30" x14ac:dyDescent="0.25">
      <c r="AC918" s="70" t="str">
        <f>IF(AND(Sheet1!O918="SIM",Sheet1!P918="SIM"),"Sim","")</f>
        <v/>
      </c>
      <c r="AD918" s="70" t="str">
        <f>IF(AC918="sim",Sheet1!I918,"")</f>
        <v/>
      </c>
    </row>
    <row r="919" spans="29:30" x14ac:dyDescent="0.25">
      <c r="AC919" s="70" t="str">
        <f>IF(AND(Sheet1!O919="SIM",Sheet1!P919="SIM"),"Sim","")</f>
        <v/>
      </c>
      <c r="AD919" s="70" t="str">
        <f>IF(AC919="sim",Sheet1!I919,"")</f>
        <v/>
      </c>
    </row>
    <row r="920" spans="29:30" x14ac:dyDescent="0.25">
      <c r="AC920" s="70" t="str">
        <f>IF(AND(Sheet1!O920="SIM",Sheet1!P920="SIM"),"Sim","")</f>
        <v/>
      </c>
      <c r="AD920" s="70" t="str">
        <f>IF(AC920="sim",Sheet1!I920,"")</f>
        <v/>
      </c>
    </row>
    <row r="921" spans="29:30" x14ac:dyDescent="0.25">
      <c r="AC921" s="70" t="str">
        <f>IF(AND(Sheet1!O921="SIM",Sheet1!P921="SIM"),"Sim","")</f>
        <v/>
      </c>
      <c r="AD921" s="70" t="str">
        <f>IF(AC921="sim",Sheet1!I921,"")</f>
        <v/>
      </c>
    </row>
    <row r="922" spans="29:30" x14ac:dyDescent="0.25">
      <c r="AC922" s="70" t="str">
        <f>IF(AND(Sheet1!O922="SIM",Sheet1!P922="SIM"),"Sim","")</f>
        <v/>
      </c>
      <c r="AD922" s="70" t="str">
        <f>IF(AC922="sim",Sheet1!I922,"")</f>
        <v/>
      </c>
    </row>
    <row r="923" spans="29:30" x14ac:dyDescent="0.25">
      <c r="AC923" s="70" t="str">
        <f>IF(AND(Sheet1!O923="SIM",Sheet1!P923="SIM"),"Sim","")</f>
        <v/>
      </c>
      <c r="AD923" s="70" t="str">
        <f>IF(AC923="sim",Sheet1!I923,"")</f>
        <v/>
      </c>
    </row>
    <row r="924" spans="29:30" x14ac:dyDescent="0.25">
      <c r="AC924" s="70" t="str">
        <f>IF(AND(Sheet1!O924="SIM",Sheet1!P924="SIM"),"Sim","")</f>
        <v/>
      </c>
      <c r="AD924" s="70" t="str">
        <f>IF(AC924="sim",Sheet1!I924,"")</f>
        <v/>
      </c>
    </row>
    <row r="925" spans="29:30" x14ac:dyDescent="0.25">
      <c r="AC925" s="70" t="str">
        <f>IF(AND(Sheet1!O925="SIM",Sheet1!P925="SIM"),"Sim","")</f>
        <v/>
      </c>
      <c r="AD925" s="70" t="str">
        <f>IF(AC925="sim",Sheet1!I925,"")</f>
        <v/>
      </c>
    </row>
    <row r="926" spans="29:30" x14ac:dyDescent="0.25">
      <c r="AC926" s="70" t="str">
        <f>IF(AND(Sheet1!O926="SIM",Sheet1!P926="SIM"),"Sim","")</f>
        <v/>
      </c>
      <c r="AD926" s="70" t="str">
        <f>IF(AC926="sim",Sheet1!I926,"")</f>
        <v/>
      </c>
    </row>
    <row r="927" spans="29:30" x14ac:dyDescent="0.25">
      <c r="AC927" s="70" t="str">
        <f>IF(AND(Sheet1!O927="SIM",Sheet1!P927="SIM"),"Sim","")</f>
        <v/>
      </c>
      <c r="AD927" s="70" t="str">
        <f>IF(AC927="sim",Sheet1!I927,"")</f>
        <v/>
      </c>
    </row>
    <row r="928" spans="29:30" x14ac:dyDescent="0.25">
      <c r="AC928" s="70" t="str">
        <f>IF(AND(Sheet1!O928="SIM",Sheet1!P928="SIM"),"Sim","")</f>
        <v/>
      </c>
      <c r="AD928" s="70" t="str">
        <f>IF(AC928="sim",Sheet1!I928,"")</f>
        <v/>
      </c>
    </row>
    <row r="929" spans="29:30" x14ac:dyDescent="0.25">
      <c r="AC929" s="70" t="str">
        <f>IF(AND(Sheet1!O929="SIM",Sheet1!P929="SIM"),"Sim","")</f>
        <v/>
      </c>
      <c r="AD929" s="70" t="str">
        <f>IF(AC929="sim",Sheet1!I929,"")</f>
        <v/>
      </c>
    </row>
    <row r="930" spans="29:30" x14ac:dyDescent="0.25">
      <c r="AC930" s="70" t="str">
        <f>IF(AND(Sheet1!O930="SIM",Sheet1!P930="SIM"),"Sim","")</f>
        <v/>
      </c>
      <c r="AD930" s="70" t="str">
        <f>IF(AC930="sim",Sheet1!I930,"")</f>
        <v/>
      </c>
    </row>
    <row r="931" spans="29:30" x14ac:dyDescent="0.25">
      <c r="AC931" s="70" t="str">
        <f>IF(AND(Sheet1!O931="SIM",Sheet1!P931="SIM"),"Sim","")</f>
        <v/>
      </c>
      <c r="AD931" s="70" t="str">
        <f>IF(AC931="sim",Sheet1!I931,"")</f>
        <v/>
      </c>
    </row>
    <row r="932" spans="29:30" x14ac:dyDescent="0.25">
      <c r="AC932" s="70" t="str">
        <f>IF(AND(Sheet1!O932="SIM",Sheet1!P932="SIM"),"Sim","")</f>
        <v/>
      </c>
      <c r="AD932" s="70" t="str">
        <f>IF(AC932="sim",Sheet1!I932,"")</f>
        <v/>
      </c>
    </row>
    <row r="933" spans="29:30" x14ac:dyDescent="0.25">
      <c r="AC933" s="70" t="str">
        <f>IF(AND(Sheet1!O933="SIM",Sheet1!P933="SIM"),"Sim","")</f>
        <v/>
      </c>
      <c r="AD933" s="70" t="str">
        <f>IF(AC933="sim",Sheet1!I933,"")</f>
        <v/>
      </c>
    </row>
    <row r="934" spans="29:30" x14ac:dyDescent="0.25">
      <c r="AC934" s="70" t="str">
        <f>IF(AND(Sheet1!O934="SIM",Sheet1!P934="SIM"),"Sim","")</f>
        <v/>
      </c>
      <c r="AD934" s="70" t="str">
        <f>IF(AC934="sim",Sheet1!I934,"")</f>
        <v/>
      </c>
    </row>
    <row r="935" spans="29:30" x14ac:dyDescent="0.25">
      <c r="AC935" s="70" t="str">
        <f>IF(AND(Sheet1!O935="SIM",Sheet1!P935="SIM"),"Sim","")</f>
        <v/>
      </c>
      <c r="AD935" s="70" t="str">
        <f>IF(AC935="sim",Sheet1!I935,"")</f>
        <v/>
      </c>
    </row>
    <row r="936" spans="29:30" x14ac:dyDescent="0.25">
      <c r="AC936" s="70" t="str">
        <f>IF(AND(Sheet1!O936="SIM",Sheet1!P936="SIM"),"Sim","")</f>
        <v/>
      </c>
      <c r="AD936" s="70" t="str">
        <f>IF(AC936="sim",Sheet1!I936,"")</f>
        <v/>
      </c>
    </row>
    <row r="937" spans="29:30" x14ac:dyDescent="0.25">
      <c r="AC937" s="70" t="str">
        <f>IF(AND(Sheet1!O937="SIM",Sheet1!P937="SIM"),"Sim","")</f>
        <v/>
      </c>
      <c r="AD937" s="70" t="str">
        <f>IF(AC937="sim",Sheet1!I937,"")</f>
        <v/>
      </c>
    </row>
    <row r="938" spans="29:30" x14ac:dyDescent="0.25">
      <c r="AC938" s="70" t="str">
        <f>IF(AND(Sheet1!O938="SIM",Sheet1!P938="SIM"),"Sim","")</f>
        <v/>
      </c>
      <c r="AD938" s="70" t="str">
        <f>IF(AC938="sim",Sheet1!I938,"")</f>
        <v/>
      </c>
    </row>
    <row r="939" spans="29:30" x14ac:dyDescent="0.25">
      <c r="AC939" s="70" t="str">
        <f>IF(AND(Sheet1!O939="SIM",Sheet1!P939="SIM"),"Sim","")</f>
        <v/>
      </c>
      <c r="AD939" s="70" t="str">
        <f>IF(AC939="sim",Sheet1!I939,"")</f>
        <v/>
      </c>
    </row>
    <row r="940" spans="29:30" x14ac:dyDescent="0.25">
      <c r="AC940" s="70" t="str">
        <f>IF(AND(Sheet1!O940="SIM",Sheet1!P940="SIM"),"Sim","")</f>
        <v/>
      </c>
      <c r="AD940" s="70" t="str">
        <f>IF(AC940="sim",Sheet1!I940,"")</f>
        <v/>
      </c>
    </row>
    <row r="941" spans="29:30" x14ac:dyDescent="0.25">
      <c r="AC941" s="70" t="str">
        <f>IF(AND(Sheet1!O941="SIM",Sheet1!P941="SIM"),"Sim","")</f>
        <v/>
      </c>
      <c r="AD941" s="70" t="str">
        <f>IF(AC941="sim",Sheet1!I941,"")</f>
        <v/>
      </c>
    </row>
    <row r="942" spans="29:30" x14ac:dyDescent="0.25">
      <c r="AC942" s="70" t="str">
        <f>IF(AND(Sheet1!O942="SIM",Sheet1!P942="SIM"),"Sim","")</f>
        <v/>
      </c>
      <c r="AD942" s="70" t="str">
        <f>IF(AC942="sim",Sheet1!I942,"")</f>
        <v/>
      </c>
    </row>
    <row r="943" spans="29:30" x14ac:dyDescent="0.25">
      <c r="AC943" s="70" t="str">
        <f>IF(AND(Sheet1!O943="SIM",Sheet1!P943="SIM"),"Sim","")</f>
        <v/>
      </c>
      <c r="AD943" s="70" t="str">
        <f>IF(AC943="sim",Sheet1!I943,"")</f>
        <v/>
      </c>
    </row>
    <row r="944" spans="29:30" x14ac:dyDescent="0.25">
      <c r="AC944" s="70" t="str">
        <f>IF(AND(Sheet1!O944="SIM",Sheet1!P944="SIM"),"Sim","")</f>
        <v/>
      </c>
      <c r="AD944" s="70" t="str">
        <f>IF(AC944="sim",Sheet1!I944,"")</f>
        <v/>
      </c>
    </row>
    <row r="945" spans="29:30" x14ac:dyDescent="0.25">
      <c r="AC945" s="70" t="str">
        <f>IF(AND(Sheet1!O945="SIM",Sheet1!P945="SIM"),"Sim","")</f>
        <v/>
      </c>
      <c r="AD945" s="70" t="str">
        <f>IF(AC945="sim",Sheet1!I945,"")</f>
        <v/>
      </c>
    </row>
    <row r="946" spans="29:30" x14ac:dyDescent="0.25">
      <c r="AC946" s="70" t="str">
        <f>IF(AND(Sheet1!O946="SIM",Sheet1!P946="SIM"),"Sim","")</f>
        <v/>
      </c>
      <c r="AD946" s="70" t="str">
        <f>IF(AC946="sim",Sheet1!I946,"")</f>
        <v/>
      </c>
    </row>
    <row r="947" spans="29:30" x14ac:dyDescent="0.25">
      <c r="AC947" s="70" t="str">
        <f>IF(AND(Sheet1!O947="SIM",Sheet1!P947="SIM"),"Sim","")</f>
        <v/>
      </c>
      <c r="AD947" s="70" t="str">
        <f>IF(AC947="sim",Sheet1!I947,"")</f>
        <v/>
      </c>
    </row>
    <row r="948" spans="29:30" x14ac:dyDescent="0.25">
      <c r="AC948" s="70" t="str">
        <f>IF(AND(Sheet1!O948="SIM",Sheet1!P948="SIM"),"Sim","")</f>
        <v/>
      </c>
      <c r="AD948" s="70" t="str">
        <f>IF(AC948="sim",Sheet1!I948,"")</f>
        <v/>
      </c>
    </row>
    <row r="949" spans="29:30" x14ac:dyDescent="0.25">
      <c r="AC949" s="70" t="str">
        <f>IF(AND(Sheet1!O949="SIM",Sheet1!P949="SIM"),"Sim","")</f>
        <v/>
      </c>
      <c r="AD949" s="70" t="str">
        <f>IF(AC949="sim",Sheet1!I949,"")</f>
        <v/>
      </c>
    </row>
    <row r="950" spans="29:30" x14ac:dyDescent="0.25">
      <c r="AC950" s="70" t="str">
        <f>IF(AND(Sheet1!O950="SIM",Sheet1!P950="SIM"),"Sim","")</f>
        <v/>
      </c>
      <c r="AD950" s="70" t="str">
        <f>IF(AC950="sim",Sheet1!I950,"")</f>
        <v/>
      </c>
    </row>
    <row r="951" spans="29:30" x14ac:dyDescent="0.25">
      <c r="AC951" s="70" t="str">
        <f>IF(AND(Sheet1!O951="SIM",Sheet1!P951="SIM"),"Sim","")</f>
        <v/>
      </c>
      <c r="AD951" s="70" t="str">
        <f>IF(AC951="sim",Sheet1!I951,"")</f>
        <v/>
      </c>
    </row>
    <row r="952" spans="29:30" x14ac:dyDescent="0.25">
      <c r="AC952" s="70" t="str">
        <f>IF(AND(Sheet1!O952="SIM",Sheet1!P952="SIM"),"Sim","")</f>
        <v/>
      </c>
      <c r="AD952" s="70" t="str">
        <f>IF(AC952="sim",Sheet1!I952,"")</f>
        <v/>
      </c>
    </row>
    <row r="953" spans="29:30" x14ac:dyDescent="0.25">
      <c r="AC953" s="70" t="str">
        <f>IF(AND(Sheet1!O953="SIM",Sheet1!P953="SIM"),"Sim","")</f>
        <v/>
      </c>
      <c r="AD953" s="70" t="str">
        <f>IF(AC953="sim",Sheet1!I953,"")</f>
        <v/>
      </c>
    </row>
    <row r="954" spans="29:30" x14ac:dyDescent="0.25">
      <c r="AC954" s="70" t="str">
        <f>IF(AND(Sheet1!O954="SIM",Sheet1!P954="SIM"),"Sim","")</f>
        <v/>
      </c>
      <c r="AD954" s="70" t="str">
        <f>IF(AC954="sim",Sheet1!I954,"")</f>
        <v/>
      </c>
    </row>
    <row r="955" spans="29:30" x14ac:dyDescent="0.25">
      <c r="AC955" s="70" t="str">
        <f>IF(AND(Sheet1!O955="SIM",Sheet1!P955="SIM"),"Sim","")</f>
        <v/>
      </c>
      <c r="AD955" s="70" t="str">
        <f>IF(AC955="sim",Sheet1!I955,"")</f>
        <v/>
      </c>
    </row>
    <row r="956" spans="29:30" x14ac:dyDescent="0.25">
      <c r="AC956" s="70" t="str">
        <f>IF(AND(Sheet1!O956="SIM",Sheet1!P956="SIM"),"Sim","")</f>
        <v/>
      </c>
      <c r="AD956" s="70" t="str">
        <f>IF(AC956="sim",Sheet1!I956,"")</f>
        <v/>
      </c>
    </row>
    <row r="957" spans="29:30" x14ac:dyDescent="0.25">
      <c r="AC957" s="70" t="str">
        <f>IF(AND(Sheet1!O957="SIM",Sheet1!P957="SIM"),"Sim","")</f>
        <v/>
      </c>
      <c r="AD957" s="70" t="str">
        <f>IF(AC957="sim",Sheet1!I957,"")</f>
        <v/>
      </c>
    </row>
    <row r="958" spans="29:30" x14ac:dyDescent="0.25">
      <c r="AC958" s="70" t="str">
        <f>IF(AND(Sheet1!O958="SIM",Sheet1!P958="SIM"),"Sim","")</f>
        <v/>
      </c>
      <c r="AD958" s="70" t="str">
        <f>IF(AC958="sim",Sheet1!I958,"")</f>
        <v/>
      </c>
    </row>
    <row r="959" spans="29:30" x14ac:dyDescent="0.25">
      <c r="AC959" s="70" t="str">
        <f>IF(AND(Sheet1!O959="SIM",Sheet1!P959="SIM"),"Sim","")</f>
        <v/>
      </c>
      <c r="AD959" s="70" t="str">
        <f>IF(AC959="sim",Sheet1!I959,"")</f>
        <v/>
      </c>
    </row>
    <row r="960" spans="29:30" x14ac:dyDescent="0.25">
      <c r="AC960" s="70" t="str">
        <f>IF(AND(Sheet1!O960="SIM",Sheet1!P960="SIM"),"Sim","")</f>
        <v/>
      </c>
      <c r="AD960" s="70" t="str">
        <f>IF(AC960="sim",Sheet1!I960,"")</f>
        <v/>
      </c>
    </row>
    <row r="961" spans="29:30" x14ac:dyDescent="0.25">
      <c r="AC961" s="70" t="str">
        <f>IF(AND(Sheet1!O961="SIM",Sheet1!P961="SIM"),"Sim","")</f>
        <v/>
      </c>
      <c r="AD961" s="70" t="str">
        <f>IF(AC961="sim",Sheet1!I961,"")</f>
        <v/>
      </c>
    </row>
    <row r="962" spans="29:30" x14ac:dyDescent="0.25">
      <c r="AC962" s="70" t="str">
        <f>IF(AND(Sheet1!O962="SIM",Sheet1!P962="SIM"),"Sim","")</f>
        <v/>
      </c>
      <c r="AD962" s="70" t="str">
        <f>IF(AC962="sim",Sheet1!I962,"")</f>
        <v/>
      </c>
    </row>
    <row r="963" spans="29:30" x14ac:dyDescent="0.25">
      <c r="AC963" s="70" t="str">
        <f>IF(AND(Sheet1!O963="SIM",Sheet1!P963="SIM"),"Sim","")</f>
        <v/>
      </c>
      <c r="AD963" s="70" t="str">
        <f>IF(AC963="sim",Sheet1!I963,"")</f>
        <v/>
      </c>
    </row>
    <row r="964" spans="29:30" x14ac:dyDescent="0.25">
      <c r="AC964" s="70" t="str">
        <f>IF(AND(Sheet1!O964="SIM",Sheet1!P964="SIM"),"Sim","")</f>
        <v/>
      </c>
      <c r="AD964" s="70" t="str">
        <f>IF(AC964="sim",Sheet1!I964,"")</f>
        <v/>
      </c>
    </row>
    <row r="965" spans="29:30" x14ac:dyDescent="0.25">
      <c r="AC965" s="70" t="str">
        <f>IF(AND(Sheet1!O965="SIM",Sheet1!P965="SIM"),"Sim","")</f>
        <v/>
      </c>
      <c r="AD965" s="70" t="str">
        <f>IF(AC965="sim",Sheet1!I965,"")</f>
        <v/>
      </c>
    </row>
    <row r="966" spans="29:30" x14ac:dyDescent="0.25">
      <c r="AC966" s="70" t="str">
        <f>IF(AND(Sheet1!O966="SIM",Sheet1!P966="SIM"),"Sim","")</f>
        <v/>
      </c>
      <c r="AD966" s="70" t="str">
        <f>IF(AC966="sim",Sheet1!I966,"")</f>
        <v/>
      </c>
    </row>
    <row r="967" spans="29:30" x14ac:dyDescent="0.25">
      <c r="AC967" s="70" t="str">
        <f>IF(AND(Sheet1!O967="SIM",Sheet1!P967="SIM"),"Sim","")</f>
        <v/>
      </c>
      <c r="AD967" s="70" t="str">
        <f>IF(AC967="sim",Sheet1!I967,"")</f>
        <v/>
      </c>
    </row>
    <row r="968" spans="29:30" x14ac:dyDescent="0.25">
      <c r="AC968" s="70" t="str">
        <f>IF(AND(Sheet1!O968="SIM",Sheet1!P968="SIM"),"Sim","")</f>
        <v/>
      </c>
      <c r="AD968" s="70" t="str">
        <f>IF(AC968="sim",Sheet1!I968,"")</f>
        <v/>
      </c>
    </row>
    <row r="969" spans="29:30" x14ac:dyDescent="0.25">
      <c r="AC969" s="70" t="str">
        <f>IF(AND(Sheet1!O969="SIM",Sheet1!P969="SIM"),"Sim","")</f>
        <v/>
      </c>
      <c r="AD969" s="70" t="str">
        <f>IF(AC969="sim",Sheet1!I969,"")</f>
        <v/>
      </c>
    </row>
    <row r="970" spans="29:30" x14ac:dyDescent="0.25">
      <c r="AC970" s="70" t="str">
        <f>IF(AND(Sheet1!O970="SIM",Sheet1!P970="SIM"),"Sim","")</f>
        <v/>
      </c>
      <c r="AD970" s="70" t="str">
        <f>IF(AC970="sim",Sheet1!I970,"")</f>
        <v/>
      </c>
    </row>
    <row r="971" spans="29:30" x14ac:dyDescent="0.25">
      <c r="AC971" s="70" t="str">
        <f>IF(AND(Sheet1!O971="SIM",Sheet1!P971="SIM"),"Sim","")</f>
        <v/>
      </c>
      <c r="AD971" s="70" t="str">
        <f>IF(AC971="sim",Sheet1!I971,"")</f>
        <v/>
      </c>
    </row>
    <row r="972" spans="29:30" x14ac:dyDescent="0.25">
      <c r="AC972" s="70" t="str">
        <f>IF(AND(Sheet1!O972="SIM",Sheet1!P972="SIM"),"Sim","")</f>
        <v/>
      </c>
      <c r="AD972" s="70" t="str">
        <f>IF(AC972="sim",Sheet1!I972,"")</f>
        <v/>
      </c>
    </row>
    <row r="973" spans="29:30" x14ac:dyDescent="0.25">
      <c r="AC973" s="70" t="str">
        <f>IF(AND(Sheet1!O973="SIM",Sheet1!P973="SIM"),"Sim","")</f>
        <v/>
      </c>
      <c r="AD973" s="70" t="str">
        <f>IF(AC973="sim",Sheet1!I973,"")</f>
        <v/>
      </c>
    </row>
    <row r="974" spans="29:30" x14ac:dyDescent="0.25">
      <c r="AC974" s="70" t="str">
        <f>IF(AND(Sheet1!O974="SIM",Sheet1!P974="SIM"),"Sim","")</f>
        <v/>
      </c>
      <c r="AD974" s="70" t="str">
        <f>IF(AC974="sim",Sheet1!I974,"")</f>
        <v/>
      </c>
    </row>
    <row r="975" spans="29:30" x14ac:dyDescent="0.25">
      <c r="AC975" s="70" t="str">
        <f>IF(AND(Sheet1!O975="SIM",Sheet1!P975="SIM"),"Sim","")</f>
        <v/>
      </c>
      <c r="AD975" s="70" t="str">
        <f>IF(AC975="sim",Sheet1!I975,"")</f>
        <v/>
      </c>
    </row>
    <row r="976" spans="29:30" x14ac:dyDescent="0.25">
      <c r="AC976" s="70" t="str">
        <f>IF(AND(Sheet1!O976="SIM",Sheet1!P976="SIM"),"Sim","")</f>
        <v/>
      </c>
      <c r="AD976" s="70" t="str">
        <f>IF(AC976="sim",Sheet1!I976,"")</f>
        <v/>
      </c>
    </row>
    <row r="977" spans="29:30" x14ac:dyDescent="0.25">
      <c r="AC977" s="70" t="str">
        <f>IF(AND(Sheet1!O977="SIM",Sheet1!P977="SIM"),"Sim","")</f>
        <v/>
      </c>
      <c r="AD977" s="70" t="str">
        <f>IF(AC977="sim",Sheet1!I977,"")</f>
        <v/>
      </c>
    </row>
    <row r="978" spans="29:30" x14ac:dyDescent="0.25">
      <c r="AC978" s="70" t="str">
        <f>IF(AND(Sheet1!O978="SIM",Sheet1!P978="SIM"),"Sim","")</f>
        <v/>
      </c>
      <c r="AD978" s="70" t="str">
        <f>IF(AC978="sim",Sheet1!I978,"")</f>
        <v/>
      </c>
    </row>
    <row r="979" spans="29:30" x14ac:dyDescent="0.25">
      <c r="AC979" s="70" t="str">
        <f>IF(AND(Sheet1!O979="SIM",Sheet1!P979="SIM"),"Sim","")</f>
        <v/>
      </c>
      <c r="AD979" s="70" t="str">
        <f>IF(AC979="sim",Sheet1!I979,"")</f>
        <v/>
      </c>
    </row>
    <row r="980" spans="29:30" x14ac:dyDescent="0.25">
      <c r="AC980" s="70" t="str">
        <f>IF(AND(Sheet1!O980="SIM",Sheet1!P980="SIM"),"Sim","")</f>
        <v/>
      </c>
      <c r="AD980" s="70" t="str">
        <f>IF(AC980="sim",Sheet1!I980,"")</f>
        <v/>
      </c>
    </row>
    <row r="981" spans="29:30" x14ac:dyDescent="0.25">
      <c r="AC981" s="70" t="str">
        <f>IF(AND(Sheet1!O981="SIM",Sheet1!P981="SIM"),"Sim","")</f>
        <v/>
      </c>
      <c r="AD981" s="70" t="str">
        <f>IF(AC981="sim",Sheet1!I981,"")</f>
        <v/>
      </c>
    </row>
    <row r="982" spans="29:30" x14ac:dyDescent="0.25">
      <c r="AC982" s="70" t="str">
        <f>IF(AND(Sheet1!O982="SIM",Sheet1!P982="SIM"),"Sim","")</f>
        <v/>
      </c>
      <c r="AD982" s="70" t="str">
        <f>IF(AC982="sim",Sheet1!I982,"")</f>
        <v/>
      </c>
    </row>
    <row r="983" spans="29:30" x14ac:dyDescent="0.25">
      <c r="AC983" s="70" t="str">
        <f>IF(AND(Sheet1!O983="SIM",Sheet1!P983="SIM"),"Sim","")</f>
        <v/>
      </c>
      <c r="AD983" s="70" t="str">
        <f>IF(AC983="sim",Sheet1!I983,"")</f>
        <v/>
      </c>
    </row>
    <row r="984" spans="29:30" x14ac:dyDescent="0.25">
      <c r="AC984" s="70" t="str">
        <f>IF(AND(Sheet1!O984="SIM",Sheet1!P984="SIM"),"Sim","")</f>
        <v/>
      </c>
      <c r="AD984" s="70" t="str">
        <f>IF(AC984="sim",Sheet1!I984,"")</f>
        <v/>
      </c>
    </row>
    <row r="985" spans="29:30" x14ac:dyDescent="0.25">
      <c r="AC985" s="70" t="str">
        <f>IF(AND(Sheet1!O985="SIM",Sheet1!P985="SIM"),"Sim","")</f>
        <v/>
      </c>
      <c r="AD985" s="70" t="str">
        <f>IF(AC985="sim",Sheet1!I985,"")</f>
        <v/>
      </c>
    </row>
    <row r="986" spans="29:30" x14ac:dyDescent="0.25">
      <c r="AC986" s="70" t="str">
        <f>IF(AND(Sheet1!O986="SIM",Sheet1!P986="SIM"),"Sim","")</f>
        <v/>
      </c>
      <c r="AD986" s="70" t="str">
        <f>IF(AC986="sim",Sheet1!I986,"")</f>
        <v/>
      </c>
    </row>
    <row r="987" spans="29:30" x14ac:dyDescent="0.25">
      <c r="AC987" s="70" t="str">
        <f>IF(AND(Sheet1!O987="SIM",Sheet1!P987="SIM"),"Sim","")</f>
        <v/>
      </c>
      <c r="AD987" s="70" t="str">
        <f>IF(AC987="sim",Sheet1!I987,"")</f>
        <v/>
      </c>
    </row>
    <row r="988" spans="29:30" x14ac:dyDescent="0.25">
      <c r="AC988" s="70" t="str">
        <f>IF(AND(Sheet1!O988="SIM",Sheet1!P988="SIM"),"Sim","")</f>
        <v/>
      </c>
      <c r="AD988" s="70" t="str">
        <f>IF(AC988="sim",Sheet1!I988,"")</f>
        <v/>
      </c>
    </row>
    <row r="989" spans="29:30" x14ac:dyDescent="0.25">
      <c r="AC989" s="70" t="str">
        <f>IF(AND(Sheet1!O989="SIM",Sheet1!P989="SIM"),"Sim","")</f>
        <v/>
      </c>
      <c r="AD989" s="70" t="str">
        <f>IF(AC989="sim",Sheet1!I989,"")</f>
        <v/>
      </c>
    </row>
    <row r="990" spans="29:30" x14ac:dyDescent="0.25">
      <c r="AC990" s="70" t="str">
        <f>IF(AND(Sheet1!O990="SIM",Sheet1!P990="SIM"),"Sim","")</f>
        <v/>
      </c>
      <c r="AD990" s="70" t="str">
        <f>IF(AC990="sim",Sheet1!I990,"")</f>
        <v/>
      </c>
    </row>
    <row r="991" spans="29:30" x14ac:dyDescent="0.25">
      <c r="AC991" s="70" t="str">
        <f>IF(AND(Sheet1!O991="SIM",Sheet1!P991="SIM"),"Sim","")</f>
        <v/>
      </c>
      <c r="AD991" s="70" t="str">
        <f>IF(AC991="sim",Sheet1!I991,"")</f>
        <v/>
      </c>
    </row>
    <row r="992" spans="29:30" x14ac:dyDescent="0.25">
      <c r="AC992" s="70" t="str">
        <f>IF(AND(Sheet1!O992="SIM",Sheet1!P992="SIM"),"Sim","")</f>
        <v/>
      </c>
      <c r="AD992" s="70" t="str">
        <f>IF(AC992="sim",Sheet1!I992,"")</f>
        <v/>
      </c>
    </row>
    <row r="993" spans="29:30" x14ac:dyDescent="0.25">
      <c r="AC993" s="70" t="str">
        <f>IF(AND(Sheet1!O993="SIM",Sheet1!P993="SIM"),"Sim","")</f>
        <v/>
      </c>
      <c r="AD993" s="70" t="str">
        <f>IF(AC993="sim",Sheet1!I993,"")</f>
        <v/>
      </c>
    </row>
    <row r="994" spans="29:30" x14ac:dyDescent="0.25">
      <c r="AC994" s="70" t="str">
        <f>IF(AND(Sheet1!O994="SIM",Sheet1!P994="SIM"),"Sim","")</f>
        <v/>
      </c>
      <c r="AD994" s="70" t="str">
        <f>IF(AC994="sim",Sheet1!I994,"")</f>
        <v/>
      </c>
    </row>
    <row r="995" spans="29:30" x14ac:dyDescent="0.25">
      <c r="AC995" s="70" t="str">
        <f>IF(AND(Sheet1!O995="SIM",Sheet1!P995="SIM"),"Sim","")</f>
        <v/>
      </c>
      <c r="AD995" s="70" t="str">
        <f>IF(AC995="sim",Sheet1!I995,"")</f>
        <v/>
      </c>
    </row>
    <row r="996" spans="29:30" x14ac:dyDescent="0.25">
      <c r="AC996" s="70" t="str">
        <f>IF(AND(Sheet1!O996="SIM",Sheet1!P996="SIM"),"Sim","")</f>
        <v/>
      </c>
      <c r="AD996" s="70" t="str">
        <f>IF(AC996="sim",Sheet1!I996,"")</f>
        <v/>
      </c>
    </row>
    <row r="997" spans="29:30" x14ac:dyDescent="0.25">
      <c r="AC997" s="70" t="str">
        <f>IF(AND(Sheet1!O997="SIM",Sheet1!P997="SIM"),"Sim","")</f>
        <v/>
      </c>
      <c r="AD997" s="70" t="str">
        <f>IF(AC997="sim",Sheet1!I997,"")</f>
        <v/>
      </c>
    </row>
    <row r="998" spans="29:30" x14ac:dyDescent="0.25">
      <c r="AC998" s="70" t="str">
        <f>IF(AND(Sheet1!O998="SIM",Sheet1!P998="SIM"),"Sim","")</f>
        <v/>
      </c>
      <c r="AD998" s="70" t="str">
        <f>IF(AC998="sim",Sheet1!I998,"")</f>
        <v/>
      </c>
    </row>
    <row r="999" spans="29:30" x14ac:dyDescent="0.25">
      <c r="AC999" s="70" t="str">
        <f>IF(AND(Sheet1!O999="SIM",Sheet1!P999="SIM"),"Sim","")</f>
        <v/>
      </c>
      <c r="AD999" s="70" t="str">
        <f>IF(AC999="sim",Sheet1!I999,"")</f>
        <v/>
      </c>
    </row>
    <row r="1000" spans="29:30" x14ac:dyDescent="0.25">
      <c r="AC1000" s="70" t="str">
        <f>IF(AND(Sheet1!O1000="SIM",Sheet1!P1000="SIM"),"Sim","")</f>
        <v/>
      </c>
      <c r="AD1000" s="70" t="str">
        <f>IF(AC1000="sim",Sheet1!I1000,"")</f>
        <v/>
      </c>
    </row>
    <row r="1001" spans="29:30" x14ac:dyDescent="0.25">
      <c r="AC1001" s="70" t="str">
        <f>IF(AND(Sheet1!O1001="SIM",Sheet1!P1001="SIM"),"Sim","")</f>
        <v/>
      </c>
      <c r="AD1001" s="70" t="str">
        <f>IF(AC1001="sim",Sheet1!I1001,"")</f>
        <v/>
      </c>
    </row>
    <row r="1002" spans="29:30" x14ac:dyDescent="0.25">
      <c r="AC1002" s="70" t="str">
        <f>IF(AND(Sheet1!O1002="SIM",Sheet1!P1002="SIM"),"Sim","")</f>
        <v/>
      </c>
      <c r="AD1002" s="70" t="str">
        <f>IF(AC1002="sim",Sheet1!I1002,"")</f>
        <v/>
      </c>
    </row>
    <row r="1003" spans="29:30" x14ac:dyDescent="0.25">
      <c r="AC1003" s="70" t="str">
        <f>IF(AND(Sheet1!O1003="SIM",Sheet1!P1003="SIM"),"Sim","")</f>
        <v/>
      </c>
      <c r="AD1003" s="70" t="str">
        <f>IF(AC1003="sim",Sheet1!I1003,"")</f>
        <v/>
      </c>
    </row>
    <row r="1004" spans="29:30" x14ac:dyDescent="0.25">
      <c r="AC1004" s="70" t="str">
        <f>IF(AND(Sheet1!O1004="SIM",Sheet1!P1004="SIM"),"Sim","")</f>
        <v/>
      </c>
      <c r="AD1004" s="70" t="str">
        <f>IF(AC1004="sim",Sheet1!I1004,"")</f>
        <v/>
      </c>
    </row>
    <row r="1005" spans="29:30" x14ac:dyDescent="0.25">
      <c r="AC1005" s="70" t="str">
        <f>IF(AND(Sheet1!O1005="SIM",Sheet1!P1005="SIM"),"Sim","")</f>
        <v/>
      </c>
      <c r="AD1005" s="70" t="str">
        <f>IF(AC1005="sim",Sheet1!I1005,"")</f>
        <v/>
      </c>
    </row>
    <row r="1006" spans="29:30" x14ac:dyDescent="0.25">
      <c r="AC1006" s="70" t="str">
        <f>IF(AND(Sheet1!O1006="SIM",Sheet1!P1006="SIM"),"Sim","")</f>
        <v/>
      </c>
      <c r="AD1006" s="70" t="str">
        <f>IF(AC1006="sim",Sheet1!I1006,"")</f>
        <v/>
      </c>
    </row>
    <row r="1007" spans="29:30" x14ac:dyDescent="0.25">
      <c r="AC1007" s="70" t="str">
        <f>IF(AND(Sheet1!O1007="SIM",Sheet1!P1007="SIM"),"Sim","")</f>
        <v/>
      </c>
      <c r="AD1007" s="70" t="str">
        <f>IF(AC1007="sim",Sheet1!I1007,"")</f>
        <v/>
      </c>
    </row>
    <row r="1008" spans="29:30" x14ac:dyDescent="0.25">
      <c r="AC1008" s="70" t="str">
        <f>IF(AND(Sheet1!O1008="SIM",Sheet1!P1008="SIM"),"Sim","")</f>
        <v/>
      </c>
      <c r="AD1008" s="70" t="str">
        <f>IF(AC1008="sim",Sheet1!I1008,"")</f>
        <v/>
      </c>
    </row>
    <row r="1009" spans="29:30" x14ac:dyDescent="0.25">
      <c r="AC1009" s="70" t="str">
        <f>IF(AND(Sheet1!O1009="SIM",Sheet1!P1009="SIM"),"Sim","")</f>
        <v/>
      </c>
      <c r="AD1009" s="70" t="str">
        <f>IF(AC1009="sim",Sheet1!I1009,"")</f>
        <v/>
      </c>
    </row>
    <row r="1010" spans="29:30" x14ac:dyDescent="0.25">
      <c r="AC1010" s="70" t="str">
        <f>IF(AND(Sheet1!O1010="SIM",Sheet1!P1010="SIM"),"Sim","")</f>
        <v/>
      </c>
      <c r="AD1010" s="70" t="str">
        <f>IF(AC1010="sim",Sheet1!I1010,"")</f>
        <v/>
      </c>
    </row>
    <row r="1011" spans="29:30" x14ac:dyDescent="0.25">
      <c r="AC1011" s="70" t="str">
        <f>IF(AND(Sheet1!O1011="SIM",Sheet1!P1011="SIM"),"Sim","")</f>
        <v/>
      </c>
      <c r="AD1011" s="70" t="str">
        <f>IF(AC1011="sim",Sheet1!I1011,"")</f>
        <v/>
      </c>
    </row>
    <row r="1012" spans="29:30" x14ac:dyDescent="0.25">
      <c r="AC1012" s="70" t="str">
        <f>IF(AND(Sheet1!O1012="SIM",Sheet1!P1012="SIM"),"Sim","")</f>
        <v/>
      </c>
      <c r="AD1012" s="70" t="str">
        <f>IF(AC1012="sim",Sheet1!I1012,"")</f>
        <v/>
      </c>
    </row>
    <row r="1013" spans="29:30" x14ac:dyDescent="0.25">
      <c r="AC1013" s="70" t="str">
        <f>IF(AND(Sheet1!O1013="SIM",Sheet1!P1013="SIM"),"Sim","")</f>
        <v/>
      </c>
      <c r="AD1013" s="70" t="str">
        <f>IF(AC1013="sim",Sheet1!I1013,"")</f>
        <v/>
      </c>
    </row>
    <row r="1014" spans="29:30" x14ac:dyDescent="0.25">
      <c r="AC1014" s="70" t="str">
        <f>IF(AND(Sheet1!O1014="SIM",Sheet1!P1014="SIM"),"Sim","")</f>
        <v/>
      </c>
      <c r="AD1014" s="70" t="str">
        <f>IF(AC1014="sim",Sheet1!I1014,"")</f>
        <v/>
      </c>
    </row>
    <row r="1015" spans="29:30" x14ac:dyDescent="0.25">
      <c r="AC1015" s="70" t="str">
        <f>IF(AND(Sheet1!O1015="SIM",Sheet1!P1015="SIM"),"Sim","")</f>
        <v/>
      </c>
      <c r="AD1015" s="70" t="str">
        <f>IF(AC1015="sim",Sheet1!I1015,"")</f>
        <v/>
      </c>
    </row>
    <row r="1016" spans="29:30" x14ac:dyDescent="0.25">
      <c r="AC1016" s="70" t="str">
        <f>IF(AND(Sheet1!O1016="SIM",Sheet1!P1016="SIM"),"Sim","")</f>
        <v/>
      </c>
      <c r="AD1016" s="70" t="str">
        <f>IF(AC1016="sim",Sheet1!I1016,"")</f>
        <v/>
      </c>
    </row>
    <row r="1017" spans="29:30" x14ac:dyDescent="0.25">
      <c r="AC1017" s="70" t="str">
        <f>IF(AND(Sheet1!O1017="SIM",Sheet1!P1017="SIM"),"Sim","")</f>
        <v/>
      </c>
      <c r="AD1017" s="70" t="str">
        <f>IF(AC1017="sim",Sheet1!I1017,"")</f>
        <v/>
      </c>
    </row>
    <row r="1018" spans="29:30" x14ac:dyDescent="0.25">
      <c r="AC1018" s="70" t="str">
        <f>IF(AND(Sheet1!O1018="SIM",Sheet1!P1018="SIM"),"Sim","")</f>
        <v/>
      </c>
      <c r="AD1018" s="70" t="str">
        <f>IF(AC1018="sim",Sheet1!I1018,"")</f>
        <v/>
      </c>
    </row>
    <row r="1019" spans="29:30" x14ac:dyDescent="0.25">
      <c r="AC1019" s="70" t="str">
        <f>IF(AND(Sheet1!O1019="SIM",Sheet1!P1019="SIM"),"Sim","")</f>
        <v/>
      </c>
      <c r="AD1019" s="70" t="str">
        <f>IF(AC1019="sim",Sheet1!I1019,"")</f>
        <v/>
      </c>
    </row>
    <row r="1020" spans="29:30" x14ac:dyDescent="0.25">
      <c r="AC1020" s="70" t="str">
        <f>IF(AND(Sheet1!O1020="SIM",Sheet1!P1020="SIM"),"Sim","")</f>
        <v/>
      </c>
      <c r="AD1020" s="70" t="str">
        <f>IF(AC1020="sim",Sheet1!I1020,"")</f>
        <v/>
      </c>
    </row>
    <row r="1021" spans="29:30" x14ac:dyDescent="0.25">
      <c r="AC1021" s="70" t="str">
        <f>IF(AND(Sheet1!O1021="SIM",Sheet1!P1021="SIM"),"Sim","")</f>
        <v/>
      </c>
      <c r="AD1021" s="70" t="str">
        <f>IF(AC1021="sim",Sheet1!I1021,"")</f>
        <v/>
      </c>
    </row>
    <row r="1022" spans="29:30" x14ac:dyDescent="0.25">
      <c r="AC1022" s="70" t="str">
        <f>IF(AND(Sheet1!O1022="SIM",Sheet1!P1022="SIM"),"Sim","")</f>
        <v/>
      </c>
      <c r="AD1022" s="70" t="str">
        <f>IF(AC1022="sim",Sheet1!I1022,"")</f>
        <v/>
      </c>
    </row>
    <row r="1023" spans="29:30" x14ac:dyDescent="0.25">
      <c r="AC1023" s="70" t="str">
        <f>IF(AND(Sheet1!O1023="SIM",Sheet1!P1023="SIM"),"Sim","")</f>
        <v/>
      </c>
      <c r="AD1023" s="70" t="str">
        <f>IF(AC1023="sim",Sheet1!I1023,"")</f>
        <v/>
      </c>
    </row>
    <row r="1024" spans="29:30" x14ac:dyDescent="0.25">
      <c r="AC1024" s="70" t="str">
        <f>IF(AND(Sheet1!O1024="SIM",Sheet1!P1024="SIM"),"Sim","")</f>
        <v/>
      </c>
      <c r="AD1024" s="70" t="str">
        <f>IF(AC1024="sim",Sheet1!I1024,"")</f>
        <v/>
      </c>
    </row>
    <row r="1025" spans="29:30" x14ac:dyDescent="0.25">
      <c r="AC1025" s="70" t="str">
        <f>IF(AND(Sheet1!O1025="SIM",Sheet1!P1025="SIM"),"Sim","")</f>
        <v/>
      </c>
      <c r="AD1025" s="70" t="str">
        <f>IF(AC1025="sim",Sheet1!I1025,"")</f>
        <v/>
      </c>
    </row>
    <row r="1026" spans="29:30" x14ac:dyDescent="0.25">
      <c r="AC1026" s="70" t="str">
        <f>IF(AND(Sheet1!O1026="SIM",Sheet1!P1026="SIM"),"Sim","")</f>
        <v/>
      </c>
      <c r="AD1026" s="70" t="str">
        <f>IF(AC1026="sim",Sheet1!I1026,"")</f>
        <v/>
      </c>
    </row>
    <row r="1027" spans="29:30" x14ac:dyDescent="0.25">
      <c r="AC1027" s="70" t="str">
        <f>IF(AND(Sheet1!O1027="SIM",Sheet1!P1027="SIM"),"Sim","")</f>
        <v/>
      </c>
      <c r="AD1027" s="70" t="str">
        <f>IF(AC1027="sim",Sheet1!I1027,"")</f>
        <v/>
      </c>
    </row>
    <row r="1028" spans="29:30" x14ac:dyDescent="0.25">
      <c r="AC1028" s="70" t="str">
        <f>IF(AND(Sheet1!O1028="SIM",Sheet1!P1028="SIM"),"Sim","")</f>
        <v/>
      </c>
      <c r="AD1028" s="70" t="str">
        <f>IF(AC1028="sim",Sheet1!I1028,"")</f>
        <v/>
      </c>
    </row>
    <row r="1029" spans="29:30" x14ac:dyDescent="0.25">
      <c r="AC1029" s="70" t="str">
        <f>IF(AND(Sheet1!O1029="SIM",Sheet1!P1029="SIM"),"Sim","")</f>
        <v/>
      </c>
      <c r="AD1029" s="70" t="str">
        <f>IF(AC1029="sim",Sheet1!I1029,"")</f>
        <v/>
      </c>
    </row>
    <row r="1030" spans="29:30" x14ac:dyDescent="0.25">
      <c r="AC1030" s="70" t="str">
        <f>IF(AND(Sheet1!O1030="SIM",Sheet1!P1030="SIM"),"Sim","")</f>
        <v/>
      </c>
      <c r="AD1030" s="70" t="str">
        <f>IF(AC1030="sim",Sheet1!I1030,"")</f>
        <v/>
      </c>
    </row>
    <row r="1031" spans="29:30" x14ac:dyDescent="0.25">
      <c r="AC1031" s="70" t="str">
        <f>IF(AND(Sheet1!O1031="SIM",Sheet1!P1031="SIM"),"Sim","")</f>
        <v/>
      </c>
      <c r="AD1031" s="70" t="str">
        <f>IF(AC1031="sim",Sheet1!I1031,"")</f>
        <v/>
      </c>
    </row>
    <row r="1032" spans="29:30" x14ac:dyDescent="0.25">
      <c r="AC1032" s="70" t="str">
        <f>IF(AND(Sheet1!O1032="SIM",Sheet1!P1032="SIM"),"Sim","")</f>
        <v/>
      </c>
      <c r="AD1032" s="70" t="str">
        <f>IF(AC1032="sim",Sheet1!I1032,"")</f>
        <v/>
      </c>
    </row>
    <row r="1033" spans="29:30" x14ac:dyDescent="0.25">
      <c r="AC1033" s="70" t="str">
        <f>IF(AND(Sheet1!O1033="SIM",Sheet1!P1033="SIM"),"Sim","")</f>
        <v/>
      </c>
      <c r="AD1033" s="70" t="str">
        <f>IF(AC1033="sim",Sheet1!I1033,"")</f>
        <v/>
      </c>
    </row>
    <row r="1034" spans="29:30" x14ac:dyDescent="0.25">
      <c r="AC1034" s="70" t="str">
        <f>IF(AND(Sheet1!O1034="SIM",Sheet1!P1034="SIM"),"Sim","")</f>
        <v/>
      </c>
      <c r="AD1034" s="70" t="str">
        <f>IF(AC1034="sim",Sheet1!I1034,"")</f>
        <v/>
      </c>
    </row>
    <row r="1035" spans="29:30" x14ac:dyDescent="0.25">
      <c r="AC1035" s="70" t="str">
        <f>IF(AND(Sheet1!O1035="SIM",Sheet1!P1035="SIM"),"Sim","")</f>
        <v/>
      </c>
      <c r="AD1035" s="70" t="str">
        <f>IF(AC1035="sim",Sheet1!I1035,"")</f>
        <v/>
      </c>
    </row>
    <row r="1036" spans="29:30" x14ac:dyDescent="0.25">
      <c r="AC1036" s="70" t="str">
        <f>IF(AND(Sheet1!O1036="SIM",Sheet1!P1036="SIM"),"Sim","")</f>
        <v/>
      </c>
      <c r="AD1036" s="70" t="str">
        <f>IF(AC1036="sim",Sheet1!I1036,"")</f>
        <v/>
      </c>
    </row>
    <row r="1037" spans="29:30" x14ac:dyDescent="0.25">
      <c r="AC1037" s="70" t="str">
        <f>IF(AND(Sheet1!O1037="SIM",Sheet1!P1037="SIM"),"Sim","")</f>
        <v/>
      </c>
      <c r="AD1037" s="70" t="str">
        <f>IF(AC1037="sim",Sheet1!I1037,"")</f>
        <v/>
      </c>
    </row>
    <row r="1038" spans="29:30" x14ac:dyDescent="0.25">
      <c r="AC1038" s="70" t="str">
        <f>IF(AND(Sheet1!O1038="SIM",Sheet1!P1038="SIM"),"Sim","")</f>
        <v/>
      </c>
      <c r="AD1038" s="70" t="str">
        <f>IF(AC1038="sim",Sheet1!I1038,"")</f>
        <v/>
      </c>
    </row>
    <row r="1039" spans="29:30" x14ac:dyDescent="0.25">
      <c r="AC1039" s="70" t="str">
        <f>IF(AND(Sheet1!O1039="SIM",Sheet1!P1039="SIM"),"Sim","")</f>
        <v/>
      </c>
      <c r="AD1039" s="70" t="str">
        <f>IF(AC1039="sim",Sheet1!I1039,"")</f>
        <v/>
      </c>
    </row>
    <row r="1040" spans="29:30" x14ac:dyDescent="0.25">
      <c r="AC1040" s="70" t="str">
        <f>IF(AND(Sheet1!O1040="SIM",Sheet1!P1040="SIM"),"Sim","")</f>
        <v/>
      </c>
      <c r="AD1040" s="70" t="str">
        <f>IF(AC1040="sim",Sheet1!I1040,"")</f>
        <v/>
      </c>
    </row>
    <row r="1041" spans="29:30" x14ac:dyDescent="0.25">
      <c r="AC1041" s="70" t="str">
        <f>IF(AND(Sheet1!O1041="SIM",Sheet1!P1041="SIM"),"Sim","")</f>
        <v/>
      </c>
      <c r="AD1041" s="70" t="str">
        <f>IF(AC1041="sim",Sheet1!I1041,"")</f>
        <v/>
      </c>
    </row>
    <row r="1042" spans="29:30" x14ac:dyDescent="0.25">
      <c r="AC1042" s="70" t="str">
        <f>IF(AND(Sheet1!O1042="SIM",Sheet1!P1042="SIM"),"Sim","")</f>
        <v/>
      </c>
      <c r="AD1042" s="70" t="str">
        <f>IF(AC1042="sim",Sheet1!I1042,"")</f>
        <v/>
      </c>
    </row>
    <row r="1043" spans="29:30" x14ac:dyDescent="0.25">
      <c r="AC1043" s="70" t="str">
        <f>IF(AND(Sheet1!O1043="SIM",Sheet1!P1043="SIM"),"Sim","")</f>
        <v/>
      </c>
      <c r="AD1043" s="70" t="str">
        <f>IF(AC1043="sim",Sheet1!I1043,"")</f>
        <v/>
      </c>
    </row>
    <row r="1044" spans="29:30" x14ac:dyDescent="0.25">
      <c r="AC1044" s="70" t="str">
        <f>IF(AND(Sheet1!O1044="SIM",Sheet1!P1044="SIM"),"Sim","")</f>
        <v/>
      </c>
      <c r="AD1044" s="70" t="str">
        <f>IF(AC1044="sim",Sheet1!I1044,"")</f>
        <v/>
      </c>
    </row>
    <row r="1045" spans="29:30" x14ac:dyDescent="0.25">
      <c r="AC1045" s="70" t="str">
        <f>IF(AND(Sheet1!O1045="SIM",Sheet1!P1045="SIM"),"Sim","")</f>
        <v/>
      </c>
      <c r="AD1045" s="70" t="str">
        <f>IF(AC1045="sim",Sheet1!I1045,"")</f>
        <v/>
      </c>
    </row>
    <row r="1046" spans="29:30" x14ac:dyDescent="0.25">
      <c r="AC1046" s="70" t="str">
        <f>IF(AND(Sheet1!O1046="SIM",Sheet1!P1046="SIM"),"Sim","")</f>
        <v/>
      </c>
      <c r="AD1046" s="70" t="str">
        <f>IF(AC1046="sim",Sheet1!I1046,"")</f>
        <v/>
      </c>
    </row>
    <row r="1047" spans="29:30" x14ac:dyDescent="0.25">
      <c r="AC1047" s="70" t="str">
        <f>IF(AND(Sheet1!O1047="SIM",Sheet1!P1047="SIM"),"Sim","")</f>
        <v/>
      </c>
      <c r="AD1047" s="70" t="str">
        <f>IF(AC1047="sim",Sheet1!I1047,"")</f>
        <v/>
      </c>
    </row>
    <row r="1048" spans="29:30" x14ac:dyDescent="0.25">
      <c r="AC1048" s="70" t="str">
        <f>IF(AND(Sheet1!O1048="SIM",Sheet1!P1048="SIM"),"Sim","")</f>
        <v/>
      </c>
      <c r="AD1048" s="70" t="str">
        <f>IF(AC1048="sim",Sheet1!I1048,"")</f>
        <v/>
      </c>
    </row>
    <row r="1049" spans="29:30" x14ac:dyDescent="0.25">
      <c r="AC1049" s="70" t="str">
        <f>IF(AND(Sheet1!O1049="SIM",Sheet1!P1049="SIM"),"Sim","")</f>
        <v/>
      </c>
      <c r="AD1049" s="70" t="str">
        <f>IF(AC1049="sim",Sheet1!I1049,"")</f>
        <v/>
      </c>
    </row>
    <row r="1050" spans="29:30" x14ac:dyDescent="0.25">
      <c r="AC1050" s="70" t="str">
        <f>IF(AND(Sheet1!O1050="SIM",Sheet1!P1050="SIM"),"Sim","")</f>
        <v/>
      </c>
      <c r="AD1050" s="70" t="str">
        <f>IF(AC1050="sim",Sheet1!I1050,"")</f>
        <v/>
      </c>
    </row>
    <row r="1051" spans="29:30" x14ac:dyDescent="0.25">
      <c r="AC1051" s="70" t="str">
        <f>IF(AND(Sheet1!O1051="SIM",Sheet1!P1051="SIM"),"Sim","")</f>
        <v/>
      </c>
      <c r="AD1051" s="70" t="str">
        <f>IF(AC1051="sim",Sheet1!I1051,"")</f>
        <v/>
      </c>
    </row>
    <row r="1052" spans="29:30" x14ac:dyDescent="0.25">
      <c r="AC1052" s="70" t="str">
        <f>IF(AND(Sheet1!O1052="SIM",Sheet1!P1052="SIM"),"Sim","")</f>
        <v/>
      </c>
      <c r="AD1052" s="70" t="str">
        <f>IF(AC1052="sim",Sheet1!I1052,"")</f>
        <v/>
      </c>
    </row>
    <row r="1053" spans="29:30" x14ac:dyDescent="0.25">
      <c r="AC1053" s="70" t="str">
        <f>IF(AND(Sheet1!O1053="SIM",Sheet1!P1053="SIM"),"Sim","")</f>
        <v/>
      </c>
      <c r="AD1053" s="70" t="str">
        <f>IF(AC1053="sim",Sheet1!I1053,"")</f>
        <v/>
      </c>
    </row>
    <row r="1054" spans="29:30" x14ac:dyDescent="0.25">
      <c r="AC1054" s="70" t="str">
        <f>IF(AND(Sheet1!O1054="SIM",Sheet1!P1054="SIM"),"Sim","")</f>
        <v/>
      </c>
      <c r="AD1054" s="70" t="str">
        <f>IF(AC1054="sim",Sheet1!I1054,"")</f>
        <v/>
      </c>
    </row>
    <row r="1055" spans="29:30" x14ac:dyDescent="0.25">
      <c r="AC1055" s="70" t="str">
        <f>IF(AND(Sheet1!O1055="SIM",Sheet1!P1055="SIM"),"Sim","")</f>
        <v/>
      </c>
      <c r="AD1055" s="70" t="str">
        <f>IF(AC1055="sim",Sheet1!I1055,"")</f>
        <v/>
      </c>
    </row>
    <row r="1056" spans="29:30" x14ac:dyDescent="0.25">
      <c r="AC1056" s="70" t="str">
        <f>IF(AND(Sheet1!O1056="SIM",Sheet1!P1056="SIM"),"Sim","")</f>
        <v/>
      </c>
      <c r="AD1056" s="70" t="str">
        <f>IF(AC1056="sim",Sheet1!I1056,"")</f>
        <v/>
      </c>
    </row>
    <row r="1057" spans="29:30" x14ac:dyDescent="0.25">
      <c r="AC1057" s="70" t="str">
        <f>IF(AND(Sheet1!O1057="SIM",Sheet1!P1057="SIM"),"Sim","")</f>
        <v/>
      </c>
      <c r="AD1057" s="70" t="str">
        <f>IF(AC1057="sim",Sheet1!I1057,"")</f>
        <v/>
      </c>
    </row>
    <row r="1058" spans="29:30" x14ac:dyDescent="0.25">
      <c r="AC1058" s="70" t="str">
        <f>IF(AND(Sheet1!O1058="SIM",Sheet1!P1058="SIM"),"Sim","")</f>
        <v/>
      </c>
      <c r="AD1058" s="70" t="str">
        <f>IF(AC1058="sim",Sheet1!I1058,"")</f>
        <v/>
      </c>
    </row>
    <row r="1059" spans="29:30" x14ac:dyDescent="0.25">
      <c r="AC1059" s="70" t="str">
        <f>IF(AND(Sheet1!O1059="SIM",Sheet1!P1059="SIM"),"Sim","")</f>
        <v/>
      </c>
      <c r="AD1059" s="70" t="str">
        <f>IF(AC1059="sim",Sheet1!I1059,"")</f>
        <v/>
      </c>
    </row>
    <row r="1060" spans="29:30" x14ac:dyDescent="0.25">
      <c r="AC1060" s="70" t="str">
        <f>IF(AND(Sheet1!O1060="SIM",Sheet1!P1060="SIM"),"Sim","")</f>
        <v/>
      </c>
      <c r="AD1060" s="70" t="str">
        <f>IF(AC1060="sim",Sheet1!I1060,"")</f>
        <v/>
      </c>
    </row>
    <row r="1061" spans="29:30" x14ac:dyDescent="0.25">
      <c r="AC1061" s="70" t="str">
        <f>IF(AND(Sheet1!O1061="SIM",Sheet1!P1061="SIM"),"Sim","")</f>
        <v/>
      </c>
      <c r="AD1061" s="70" t="str">
        <f>IF(AC1061="sim",Sheet1!I1061,"")</f>
        <v/>
      </c>
    </row>
    <row r="1062" spans="29:30" x14ac:dyDescent="0.25">
      <c r="AC1062" s="70" t="str">
        <f>IF(AND(Sheet1!O1062="SIM",Sheet1!P1062="SIM"),"Sim","")</f>
        <v/>
      </c>
      <c r="AD1062" s="70" t="str">
        <f>IF(AC1062="sim",Sheet1!I1062,"")</f>
        <v/>
      </c>
    </row>
    <row r="1063" spans="29:30" x14ac:dyDescent="0.25">
      <c r="AC1063" s="70" t="str">
        <f>IF(AND(Sheet1!O1063="SIM",Sheet1!P1063="SIM"),"Sim","")</f>
        <v/>
      </c>
      <c r="AD1063" s="70" t="str">
        <f>IF(AC1063="sim",Sheet1!I1063,"")</f>
        <v/>
      </c>
    </row>
    <row r="1064" spans="29:30" x14ac:dyDescent="0.25">
      <c r="AC1064" s="70" t="str">
        <f>IF(AND(Sheet1!O1064="SIM",Sheet1!P1064="SIM"),"Sim","")</f>
        <v/>
      </c>
      <c r="AD1064" s="70" t="str">
        <f>IF(AC1064="sim",Sheet1!I1064,"")</f>
        <v/>
      </c>
    </row>
    <row r="1065" spans="29:30" x14ac:dyDescent="0.25">
      <c r="AC1065" s="70" t="str">
        <f>IF(AND(Sheet1!O1065="SIM",Sheet1!P1065="SIM"),"Sim","")</f>
        <v/>
      </c>
      <c r="AD1065" s="70" t="str">
        <f>IF(AC1065="sim",Sheet1!I1065,"")</f>
        <v/>
      </c>
    </row>
    <row r="1066" spans="29:30" x14ac:dyDescent="0.25">
      <c r="AC1066" s="70" t="str">
        <f>IF(AND(Sheet1!O1066="SIM",Sheet1!P1066="SIM"),"Sim","")</f>
        <v/>
      </c>
      <c r="AD1066" s="70" t="str">
        <f>IF(AC1066="sim",Sheet1!I1066,"")</f>
        <v/>
      </c>
    </row>
    <row r="1067" spans="29:30" x14ac:dyDescent="0.25">
      <c r="AC1067" s="70" t="str">
        <f>IF(AND(Sheet1!O1067="SIM",Sheet1!P1067="SIM"),"Sim","")</f>
        <v/>
      </c>
      <c r="AD1067" s="70" t="str">
        <f>IF(AC1067="sim",Sheet1!I1067,"")</f>
        <v/>
      </c>
    </row>
    <row r="1068" spans="29:30" x14ac:dyDescent="0.25">
      <c r="AC1068" s="70" t="str">
        <f>IF(AND(Sheet1!O1068="SIM",Sheet1!P1068="SIM"),"Sim","")</f>
        <v/>
      </c>
      <c r="AD1068" s="70" t="str">
        <f>IF(AC1068="sim",Sheet1!I1068,"")</f>
        <v/>
      </c>
    </row>
    <row r="1069" spans="29:30" x14ac:dyDescent="0.25">
      <c r="AC1069" s="70" t="str">
        <f>IF(AND(Sheet1!O1069="SIM",Sheet1!P1069="SIM"),"Sim","")</f>
        <v/>
      </c>
      <c r="AD1069" s="70" t="str">
        <f>IF(AC1069="sim",Sheet1!I1069,"")</f>
        <v/>
      </c>
    </row>
    <row r="1070" spans="29:30" x14ac:dyDescent="0.25">
      <c r="AC1070" s="70" t="str">
        <f>IF(AND(Sheet1!O1070="SIM",Sheet1!P1070="SIM"),"Sim","")</f>
        <v/>
      </c>
      <c r="AD1070" s="70" t="str">
        <f>IF(AC1070="sim",Sheet1!I1070,"")</f>
        <v/>
      </c>
    </row>
    <row r="1071" spans="29:30" x14ac:dyDescent="0.25">
      <c r="AC1071" s="70" t="str">
        <f>IF(AND(Sheet1!O1071="SIM",Sheet1!P1071="SIM"),"Sim","")</f>
        <v/>
      </c>
      <c r="AD1071" s="70" t="str">
        <f>IF(AC1071="sim",Sheet1!I1071,"")</f>
        <v/>
      </c>
    </row>
    <row r="1072" spans="29:30" x14ac:dyDescent="0.25">
      <c r="AC1072" s="70" t="str">
        <f>IF(AND(Sheet1!O1072="SIM",Sheet1!P1072="SIM"),"Sim","")</f>
        <v/>
      </c>
      <c r="AD1072" s="70" t="str">
        <f>IF(AC1072="sim",Sheet1!I1072,"")</f>
        <v/>
      </c>
    </row>
    <row r="1073" spans="29:30" x14ac:dyDescent="0.25">
      <c r="AC1073" s="70" t="str">
        <f>IF(AND(Sheet1!O1073="SIM",Sheet1!P1073="SIM"),"Sim","")</f>
        <v/>
      </c>
      <c r="AD1073" s="70" t="str">
        <f>IF(AC1073="sim",Sheet1!I1073,"")</f>
        <v/>
      </c>
    </row>
    <row r="1074" spans="29:30" x14ac:dyDescent="0.25">
      <c r="AC1074" s="70" t="str">
        <f>IF(AND(Sheet1!O1074="SIM",Sheet1!P1074="SIM"),"Sim","")</f>
        <v/>
      </c>
      <c r="AD1074" s="70" t="str">
        <f>IF(AC1074="sim",Sheet1!I1074,"")</f>
        <v/>
      </c>
    </row>
    <row r="1075" spans="29:30" x14ac:dyDescent="0.25">
      <c r="AC1075" s="70" t="str">
        <f>IF(AND(Sheet1!O1075="SIM",Sheet1!P1075="SIM"),"Sim","")</f>
        <v/>
      </c>
      <c r="AD1075" s="70" t="str">
        <f>IF(AC1075="sim",Sheet1!I1075,"")</f>
        <v/>
      </c>
    </row>
    <row r="1076" spans="29:30" x14ac:dyDescent="0.25">
      <c r="AC1076" s="70" t="str">
        <f>IF(AND(Sheet1!O1076="SIM",Sheet1!P1076="SIM"),"Sim","")</f>
        <v/>
      </c>
      <c r="AD1076" s="70" t="str">
        <f>IF(AC1076="sim",Sheet1!I1076,"")</f>
        <v/>
      </c>
    </row>
    <row r="1077" spans="29:30" x14ac:dyDescent="0.25">
      <c r="AC1077" s="70" t="str">
        <f>IF(AND(Sheet1!O1077="SIM",Sheet1!P1077="SIM"),"Sim","")</f>
        <v/>
      </c>
      <c r="AD1077" s="70" t="str">
        <f>IF(AC1077="sim",Sheet1!I1077,"")</f>
        <v/>
      </c>
    </row>
    <row r="1078" spans="29:30" x14ac:dyDescent="0.25">
      <c r="AC1078" s="70" t="str">
        <f>IF(AND(Sheet1!O1078="SIM",Sheet1!P1078="SIM"),"Sim","")</f>
        <v/>
      </c>
      <c r="AD1078" s="70" t="str">
        <f>IF(AC1078="sim",Sheet1!I1078,"")</f>
        <v/>
      </c>
    </row>
    <row r="1079" spans="29:30" x14ac:dyDescent="0.25">
      <c r="AC1079" s="70" t="str">
        <f>IF(AND(Sheet1!O1079="SIM",Sheet1!P1079="SIM"),"Sim","")</f>
        <v/>
      </c>
      <c r="AD1079" s="70" t="str">
        <f>IF(AC1079="sim",Sheet1!I1079,"")</f>
        <v/>
      </c>
    </row>
    <row r="1080" spans="29:30" x14ac:dyDescent="0.25">
      <c r="AC1080" s="70" t="str">
        <f>IF(AND(Sheet1!O1080="SIM",Sheet1!P1080="SIM"),"Sim","")</f>
        <v/>
      </c>
      <c r="AD1080" s="70" t="str">
        <f>IF(AC1080="sim",Sheet1!I1080,"")</f>
        <v/>
      </c>
    </row>
    <row r="1081" spans="29:30" x14ac:dyDescent="0.25">
      <c r="AC1081" s="70" t="str">
        <f>IF(AND(Sheet1!O1081="SIM",Sheet1!P1081="SIM"),"Sim","")</f>
        <v/>
      </c>
      <c r="AD1081" s="70" t="str">
        <f>IF(AC1081="sim",Sheet1!I1081,"")</f>
        <v/>
      </c>
    </row>
    <row r="1082" spans="29:30" x14ac:dyDescent="0.25">
      <c r="AC1082" s="70" t="str">
        <f>IF(AND(Sheet1!O1082="SIM",Sheet1!P1082="SIM"),"Sim","")</f>
        <v/>
      </c>
      <c r="AD1082" s="70" t="str">
        <f>IF(AC1082="sim",Sheet1!I1082,"")</f>
        <v/>
      </c>
    </row>
    <row r="1083" spans="29:30" x14ac:dyDescent="0.25">
      <c r="AC1083" s="70" t="str">
        <f>IF(AND(Sheet1!O1083="SIM",Sheet1!P1083="SIM"),"Sim","")</f>
        <v/>
      </c>
      <c r="AD1083" s="70" t="str">
        <f>IF(AC1083="sim",Sheet1!I1083,"")</f>
        <v/>
      </c>
    </row>
    <row r="1084" spans="29:30" x14ac:dyDescent="0.25">
      <c r="AC1084" s="70" t="str">
        <f>IF(AND(Sheet1!O1084="SIM",Sheet1!P1084="SIM"),"Sim","")</f>
        <v/>
      </c>
      <c r="AD1084" s="70" t="str">
        <f>IF(AC1084="sim",Sheet1!I1084,"")</f>
        <v/>
      </c>
    </row>
    <row r="1085" spans="29:30" x14ac:dyDescent="0.25">
      <c r="AC1085" s="70" t="str">
        <f>IF(AND(Sheet1!O1085="SIM",Sheet1!P1085="SIM"),"Sim","")</f>
        <v/>
      </c>
      <c r="AD1085" s="70" t="str">
        <f>IF(AC1085="sim",Sheet1!I1085,"")</f>
        <v/>
      </c>
    </row>
    <row r="1086" spans="29:30" x14ac:dyDescent="0.25">
      <c r="AC1086" s="70" t="str">
        <f>IF(AND(Sheet1!O1086="SIM",Sheet1!P1086="SIM"),"Sim","")</f>
        <v/>
      </c>
      <c r="AD1086" s="70" t="str">
        <f>IF(AC1086="sim",Sheet1!I1086,"")</f>
        <v/>
      </c>
    </row>
    <row r="1087" spans="29:30" x14ac:dyDescent="0.25">
      <c r="AC1087" s="70" t="str">
        <f>IF(AND(Sheet1!O1087="SIM",Sheet1!P1087="SIM"),"Sim","")</f>
        <v/>
      </c>
      <c r="AD1087" s="70" t="str">
        <f>IF(AC1087="sim",Sheet1!I1087,"")</f>
        <v/>
      </c>
    </row>
    <row r="1088" spans="29:30" x14ac:dyDescent="0.25">
      <c r="AC1088" s="70" t="str">
        <f>IF(AND(Sheet1!O1088="SIM",Sheet1!P1088="SIM"),"Sim","")</f>
        <v/>
      </c>
      <c r="AD1088" s="70" t="str">
        <f>IF(AC1088="sim",Sheet1!I1088,"")</f>
        <v/>
      </c>
    </row>
    <row r="1089" spans="29:30" x14ac:dyDescent="0.25">
      <c r="AC1089" s="70" t="str">
        <f>IF(AND(Sheet1!O1089="SIM",Sheet1!P1089="SIM"),"Sim","")</f>
        <v/>
      </c>
      <c r="AD1089" s="70" t="str">
        <f>IF(AC1089="sim",Sheet1!I1089,"")</f>
        <v/>
      </c>
    </row>
    <row r="1090" spans="29:30" x14ac:dyDescent="0.25">
      <c r="AC1090" s="70" t="str">
        <f>IF(AND(Sheet1!O1090="SIM",Sheet1!P1090="SIM"),"Sim","")</f>
        <v/>
      </c>
      <c r="AD1090" s="70" t="str">
        <f>IF(AC1090="sim",Sheet1!I1090,"")</f>
        <v/>
      </c>
    </row>
    <row r="1091" spans="29:30" x14ac:dyDescent="0.25">
      <c r="AC1091" s="70" t="str">
        <f>IF(AND(Sheet1!O1091="SIM",Sheet1!P1091="SIM"),"Sim","")</f>
        <v/>
      </c>
      <c r="AD1091" s="70" t="str">
        <f>IF(AC1091="sim",Sheet1!I1091,"")</f>
        <v/>
      </c>
    </row>
    <row r="1092" spans="29:30" x14ac:dyDescent="0.25">
      <c r="AC1092" s="70" t="str">
        <f>IF(AND(Sheet1!O1092="SIM",Sheet1!P1092="SIM"),"Sim","")</f>
        <v/>
      </c>
      <c r="AD1092" s="70" t="str">
        <f>IF(AC1092="sim",Sheet1!I1092,"")</f>
        <v/>
      </c>
    </row>
    <row r="1093" spans="29:30" x14ac:dyDescent="0.25">
      <c r="AC1093" s="70" t="str">
        <f>IF(AND(Sheet1!O1093="SIM",Sheet1!P1093="SIM"),"Sim","")</f>
        <v/>
      </c>
      <c r="AD1093" s="70" t="str">
        <f>IF(AC1093="sim",Sheet1!I1093,"")</f>
        <v/>
      </c>
    </row>
    <row r="1094" spans="29:30" x14ac:dyDescent="0.25">
      <c r="AC1094" s="70" t="str">
        <f>IF(AND(Sheet1!O1094="SIM",Sheet1!P1094="SIM"),"Sim","")</f>
        <v/>
      </c>
      <c r="AD1094" s="70" t="str">
        <f>IF(AC1094="sim",Sheet1!I1094,"")</f>
        <v/>
      </c>
    </row>
    <row r="1095" spans="29:30" x14ac:dyDescent="0.25">
      <c r="AC1095" s="70" t="str">
        <f>IF(AND(Sheet1!O1095="SIM",Sheet1!P1095="SIM"),"Sim","")</f>
        <v/>
      </c>
      <c r="AD1095" s="70" t="str">
        <f>IF(AC1095="sim",Sheet1!I1095,"")</f>
        <v/>
      </c>
    </row>
    <row r="1096" spans="29:30" x14ac:dyDescent="0.25">
      <c r="AC1096" s="70" t="str">
        <f>IF(AND(Sheet1!O1096="SIM",Sheet1!P1096="SIM"),"Sim","")</f>
        <v/>
      </c>
      <c r="AD1096" s="70" t="str">
        <f>IF(AC1096="sim",Sheet1!I1096,"")</f>
        <v/>
      </c>
    </row>
    <row r="1097" spans="29:30" x14ac:dyDescent="0.25">
      <c r="AC1097" s="70" t="str">
        <f>IF(AND(Sheet1!O1097="SIM",Sheet1!P1097="SIM"),"Sim","")</f>
        <v/>
      </c>
      <c r="AD1097" s="70" t="str">
        <f>IF(AC1097="sim",Sheet1!I1097,"")</f>
        <v/>
      </c>
    </row>
    <row r="1098" spans="29:30" x14ac:dyDescent="0.25">
      <c r="AC1098" s="70" t="str">
        <f>IF(AND(Sheet1!O1098="SIM",Sheet1!P1098="SIM"),"Sim","")</f>
        <v/>
      </c>
      <c r="AD1098" s="70" t="str">
        <f>IF(AC1098="sim",Sheet1!I1098,"")</f>
        <v/>
      </c>
    </row>
    <row r="1099" spans="29:30" x14ac:dyDescent="0.25">
      <c r="AC1099" s="70" t="str">
        <f>IF(AND(Sheet1!O1099="SIM",Sheet1!P1099="SIM"),"Sim","")</f>
        <v/>
      </c>
      <c r="AD1099" s="70" t="str">
        <f>IF(AC1099="sim",Sheet1!I1099,"")</f>
        <v/>
      </c>
    </row>
    <row r="1100" spans="29:30" x14ac:dyDescent="0.25">
      <c r="AC1100" s="70" t="str">
        <f>IF(AND(Sheet1!O1100="SIM",Sheet1!P1100="SIM"),"Sim","")</f>
        <v/>
      </c>
      <c r="AD1100" s="70" t="str">
        <f>IF(AC1100="sim",Sheet1!I1100,"")</f>
        <v/>
      </c>
    </row>
    <row r="1101" spans="29:30" x14ac:dyDescent="0.25">
      <c r="AC1101" s="70" t="str">
        <f>IF(AND(Sheet1!O1101="SIM",Sheet1!P1101="SIM"),"Sim","")</f>
        <v/>
      </c>
      <c r="AD1101" s="70" t="str">
        <f>IF(AC1101="sim",Sheet1!I1101,"")</f>
        <v/>
      </c>
    </row>
    <row r="1102" spans="29:30" x14ac:dyDescent="0.25">
      <c r="AC1102" s="70" t="str">
        <f>IF(AND(Sheet1!O1102="SIM",Sheet1!P1102="SIM"),"Sim","")</f>
        <v/>
      </c>
      <c r="AD1102" s="70" t="str">
        <f>IF(AC1102="sim",Sheet1!I1102,"")</f>
        <v/>
      </c>
    </row>
    <row r="1103" spans="29:30" x14ac:dyDescent="0.25">
      <c r="AC1103" s="70" t="str">
        <f>IF(AND(Sheet1!O1103="SIM",Sheet1!P1103="SIM"),"Sim","")</f>
        <v/>
      </c>
      <c r="AD1103" s="70" t="str">
        <f>IF(AC1103="sim",Sheet1!I1103,"")</f>
        <v/>
      </c>
    </row>
    <row r="1104" spans="29:30" x14ac:dyDescent="0.25">
      <c r="AC1104" s="70" t="str">
        <f>IF(AND(Sheet1!O1104="SIM",Sheet1!P1104="SIM"),"Sim","")</f>
        <v/>
      </c>
      <c r="AD1104" s="70" t="str">
        <f>IF(AC1104="sim",Sheet1!I1104,"")</f>
        <v/>
      </c>
    </row>
    <row r="1105" spans="29:30" x14ac:dyDescent="0.25">
      <c r="AC1105" s="70" t="str">
        <f>IF(AND(Sheet1!O1105="SIM",Sheet1!P1105="SIM"),"Sim","")</f>
        <v/>
      </c>
      <c r="AD1105" s="70" t="str">
        <f>IF(AC1105="sim",Sheet1!I1105,"")</f>
        <v/>
      </c>
    </row>
    <row r="1106" spans="29:30" x14ac:dyDescent="0.25">
      <c r="AC1106" s="70" t="str">
        <f>IF(AND(Sheet1!O1106="SIM",Sheet1!P1106="SIM"),"Sim","")</f>
        <v/>
      </c>
      <c r="AD1106" s="70" t="str">
        <f>IF(AC1106="sim",Sheet1!I1106,"")</f>
        <v/>
      </c>
    </row>
    <row r="1107" spans="29:30" x14ac:dyDescent="0.25">
      <c r="AC1107" s="70" t="str">
        <f>IF(AND(Sheet1!O1107="SIM",Sheet1!P1107="SIM"),"Sim","")</f>
        <v/>
      </c>
      <c r="AD1107" s="70" t="str">
        <f>IF(AC1107="sim",Sheet1!I1107,"")</f>
        <v/>
      </c>
    </row>
    <row r="1108" spans="29:30" x14ac:dyDescent="0.25">
      <c r="AC1108" s="70" t="str">
        <f>IF(AND(Sheet1!O1108="SIM",Sheet1!P1108="SIM"),"Sim","")</f>
        <v/>
      </c>
      <c r="AD1108" s="70" t="str">
        <f>IF(AC1108="sim",Sheet1!I1108,"")</f>
        <v/>
      </c>
    </row>
    <row r="1109" spans="29:30" x14ac:dyDescent="0.25">
      <c r="AC1109" s="70" t="str">
        <f>IF(AND(Sheet1!O1109="SIM",Sheet1!P1109="SIM"),"Sim","")</f>
        <v/>
      </c>
      <c r="AD1109" s="70" t="str">
        <f>IF(AC1109="sim",Sheet1!I1109,"")</f>
        <v/>
      </c>
    </row>
    <row r="1110" spans="29:30" x14ac:dyDescent="0.25">
      <c r="AC1110" s="70" t="str">
        <f>IF(AND(Sheet1!O1110="SIM",Sheet1!P1110="SIM"),"Sim","")</f>
        <v/>
      </c>
      <c r="AD1110" s="70" t="str">
        <f>IF(AC1110="sim",Sheet1!I1110,"")</f>
        <v/>
      </c>
    </row>
    <row r="1111" spans="29:30" x14ac:dyDescent="0.25">
      <c r="AC1111" s="70" t="str">
        <f>IF(AND(Sheet1!O1111="SIM",Sheet1!P1111="SIM"),"Sim","")</f>
        <v/>
      </c>
      <c r="AD1111" s="70" t="str">
        <f>IF(AC1111="sim",Sheet1!I1111,"")</f>
        <v/>
      </c>
    </row>
    <row r="1112" spans="29:30" x14ac:dyDescent="0.25">
      <c r="AC1112" s="70" t="str">
        <f>IF(AND(Sheet1!O1112="SIM",Sheet1!P1112="SIM"),"Sim","")</f>
        <v/>
      </c>
      <c r="AD1112" s="70" t="str">
        <f>IF(AC1112="sim",Sheet1!I1112,"")</f>
        <v/>
      </c>
    </row>
    <row r="1113" spans="29:30" x14ac:dyDescent="0.25">
      <c r="AC1113" s="70" t="str">
        <f>IF(AND(Sheet1!O1113="SIM",Sheet1!P1113="SIM"),"Sim","")</f>
        <v/>
      </c>
      <c r="AD1113" s="70" t="str">
        <f>IF(AC1113="sim",Sheet1!I1113,"")</f>
        <v/>
      </c>
    </row>
    <row r="1114" spans="29:30" x14ac:dyDescent="0.25">
      <c r="AC1114" s="70" t="str">
        <f>IF(AND(Sheet1!O1114="SIM",Sheet1!P1114="SIM"),"Sim","")</f>
        <v/>
      </c>
      <c r="AD1114" s="70" t="str">
        <f>IF(AC1114="sim",Sheet1!I1114,"")</f>
        <v/>
      </c>
    </row>
    <row r="1115" spans="29:30" x14ac:dyDescent="0.25">
      <c r="AC1115" s="70" t="str">
        <f>IF(AND(Sheet1!O1115="SIM",Sheet1!P1115="SIM"),"Sim","")</f>
        <v/>
      </c>
      <c r="AD1115" s="70" t="str">
        <f>IF(AC1115="sim",Sheet1!I1115,"")</f>
        <v/>
      </c>
    </row>
    <row r="1116" spans="29:30" x14ac:dyDescent="0.25">
      <c r="AC1116" s="70" t="str">
        <f>IF(AND(Sheet1!O1116="SIM",Sheet1!P1116="SIM"),"Sim","")</f>
        <v/>
      </c>
      <c r="AD1116" s="70" t="str">
        <f>IF(AC1116="sim",Sheet1!I1116,"")</f>
        <v/>
      </c>
    </row>
    <row r="1117" spans="29:30" x14ac:dyDescent="0.25">
      <c r="AC1117" s="70" t="str">
        <f>IF(AND(Sheet1!O1117="SIM",Sheet1!P1117="SIM"),"Sim","")</f>
        <v/>
      </c>
      <c r="AD1117" s="70" t="str">
        <f>IF(AC1117="sim",Sheet1!I1117,"")</f>
        <v/>
      </c>
    </row>
    <row r="1118" spans="29:30" x14ac:dyDescent="0.25">
      <c r="AC1118" s="70" t="str">
        <f>IF(AND(Sheet1!O1118="SIM",Sheet1!P1118="SIM"),"Sim","")</f>
        <v/>
      </c>
      <c r="AD1118" s="70" t="str">
        <f>IF(AC1118="sim",Sheet1!I1118,"")</f>
        <v/>
      </c>
    </row>
    <row r="1119" spans="29:30" x14ac:dyDescent="0.25">
      <c r="AC1119" s="70" t="str">
        <f>IF(AND(Sheet1!O1119="SIM",Sheet1!P1119="SIM"),"Sim","")</f>
        <v/>
      </c>
      <c r="AD1119" s="70" t="str">
        <f>IF(AC1119="sim",Sheet1!I1119,"")</f>
        <v/>
      </c>
    </row>
    <row r="1120" spans="29:30" x14ac:dyDescent="0.25">
      <c r="AC1120" s="70" t="str">
        <f>IF(AND(Sheet1!O1120="SIM",Sheet1!P1120="SIM"),"Sim","")</f>
        <v/>
      </c>
      <c r="AD1120" s="70" t="str">
        <f>IF(AC1120="sim",Sheet1!I1120,"")</f>
        <v/>
      </c>
    </row>
    <row r="1121" spans="29:30" x14ac:dyDescent="0.25">
      <c r="AC1121" s="70" t="str">
        <f>IF(AND(Sheet1!O1121="SIM",Sheet1!P1121="SIM"),"Sim","")</f>
        <v/>
      </c>
      <c r="AD1121" s="70" t="str">
        <f>IF(AC1121="sim",Sheet1!I1121,"")</f>
        <v/>
      </c>
    </row>
    <row r="1122" spans="29:30" x14ac:dyDescent="0.25">
      <c r="AC1122" s="70" t="str">
        <f>IF(AND(Sheet1!O1122="SIM",Sheet1!P1122="SIM"),"Sim","")</f>
        <v/>
      </c>
      <c r="AD1122" s="70" t="str">
        <f>IF(AC1122="sim",Sheet1!I1122,"")</f>
        <v/>
      </c>
    </row>
    <row r="1123" spans="29:30" x14ac:dyDescent="0.25">
      <c r="AC1123" s="70" t="str">
        <f>IF(AND(Sheet1!O1123="SIM",Sheet1!P1123="SIM"),"Sim","")</f>
        <v/>
      </c>
      <c r="AD1123" s="70" t="str">
        <f>IF(AC1123="sim",Sheet1!I1123,"")</f>
        <v/>
      </c>
    </row>
    <row r="1124" spans="29:30" x14ac:dyDescent="0.25">
      <c r="AC1124" s="70" t="str">
        <f>IF(AND(Sheet1!O1124="SIM",Sheet1!P1124="SIM"),"Sim","")</f>
        <v/>
      </c>
      <c r="AD1124" s="70" t="str">
        <f>IF(AC1124="sim",Sheet1!I1124,"")</f>
        <v/>
      </c>
    </row>
    <row r="1125" spans="29:30" x14ac:dyDescent="0.25">
      <c r="AC1125" s="70" t="str">
        <f>IF(AND(Sheet1!O1125="SIM",Sheet1!P1125="SIM"),"Sim","")</f>
        <v/>
      </c>
      <c r="AD1125" s="70" t="str">
        <f>IF(AC1125="sim",Sheet1!I1125,"")</f>
        <v/>
      </c>
    </row>
    <row r="1126" spans="29:30" x14ac:dyDescent="0.25">
      <c r="AC1126" s="70" t="str">
        <f>IF(AND(Sheet1!O1126="SIM",Sheet1!P1126="SIM"),"Sim","")</f>
        <v/>
      </c>
      <c r="AD1126" s="70" t="str">
        <f>IF(AC1126="sim",Sheet1!I1126,"")</f>
        <v/>
      </c>
    </row>
    <row r="1127" spans="29:30" x14ac:dyDescent="0.25">
      <c r="AC1127" s="70" t="str">
        <f>IF(AND(Sheet1!O1127="SIM",Sheet1!P1127="SIM"),"Sim","")</f>
        <v/>
      </c>
      <c r="AD1127" s="70" t="str">
        <f>IF(AC1127="sim",Sheet1!I1127,"")</f>
        <v/>
      </c>
    </row>
    <row r="1128" spans="29:30" x14ac:dyDescent="0.25">
      <c r="AC1128" s="70" t="str">
        <f>IF(AND(Sheet1!O1128="SIM",Sheet1!P1128="SIM"),"Sim","")</f>
        <v/>
      </c>
      <c r="AD1128" s="70" t="str">
        <f>IF(AC1128="sim",Sheet1!I1128,"")</f>
        <v/>
      </c>
    </row>
    <row r="1129" spans="29:30" x14ac:dyDescent="0.25">
      <c r="AC1129" s="70" t="str">
        <f>IF(AND(Sheet1!O1129="SIM",Sheet1!P1129="SIM"),"Sim","")</f>
        <v/>
      </c>
      <c r="AD1129" s="70" t="str">
        <f>IF(AC1129="sim",Sheet1!I1129,"")</f>
        <v/>
      </c>
    </row>
    <row r="1130" spans="29:30" x14ac:dyDescent="0.25">
      <c r="AC1130" s="70" t="str">
        <f>IF(AND(Sheet1!O1130="SIM",Sheet1!P1130="SIM"),"Sim","")</f>
        <v/>
      </c>
      <c r="AD1130" s="70" t="str">
        <f>IF(AC1130="sim",Sheet1!I1130,"")</f>
        <v/>
      </c>
    </row>
    <row r="1131" spans="29:30" x14ac:dyDescent="0.25">
      <c r="AC1131" s="70" t="str">
        <f>IF(AND(Sheet1!O1131="SIM",Sheet1!P1131="SIM"),"Sim","")</f>
        <v/>
      </c>
      <c r="AD1131" s="70" t="str">
        <f>IF(AC1131="sim",Sheet1!I1131,"")</f>
        <v/>
      </c>
    </row>
    <row r="1132" spans="29:30" x14ac:dyDescent="0.25">
      <c r="AC1132" s="70" t="str">
        <f>IF(AND(Sheet1!O1132="SIM",Sheet1!P1132="SIM"),"Sim","")</f>
        <v/>
      </c>
      <c r="AD1132" s="70" t="str">
        <f>IF(AC1132="sim",Sheet1!I1132,"")</f>
        <v/>
      </c>
    </row>
    <row r="1133" spans="29:30" x14ac:dyDescent="0.25">
      <c r="AC1133" s="70" t="str">
        <f>IF(AND(Sheet1!O1133="SIM",Sheet1!P1133="SIM"),"Sim","")</f>
        <v/>
      </c>
      <c r="AD1133" s="70" t="str">
        <f>IF(AC1133="sim",Sheet1!I1133,"")</f>
        <v/>
      </c>
    </row>
    <row r="1134" spans="29:30" x14ac:dyDescent="0.25">
      <c r="AC1134" s="70" t="str">
        <f>IF(AND(Sheet1!O1134="SIM",Sheet1!P1134="SIM"),"Sim","")</f>
        <v/>
      </c>
      <c r="AD1134" s="70" t="str">
        <f>IF(AC1134="sim",Sheet1!I1134,"")</f>
        <v/>
      </c>
    </row>
    <row r="1135" spans="29:30" x14ac:dyDescent="0.25">
      <c r="AC1135" s="70" t="str">
        <f>IF(AND(Sheet1!O1135="SIM",Sheet1!P1135="SIM"),"Sim","")</f>
        <v/>
      </c>
      <c r="AD1135" s="70" t="str">
        <f>IF(AC1135="sim",Sheet1!I1135,"")</f>
        <v/>
      </c>
    </row>
    <row r="1136" spans="29:30" x14ac:dyDescent="0.25">
      <c r="AC1136" s="70" t="str">
        <f>IF(AND(Sheet1!O1136="SIM",Sheet1!P1136="SIM"),"Sim","")</f>
        <v/>
      </c>
      <c r="AD1136" s="70" t="str">
        <f>IF(AC1136="sim",Sheet1!I1136,"")</f>
        <v/>
      </c>
    </row>
    <row r="1137" spans="29:30" x14ac:dyDescent="0.25">
      <c r="AC1137" s="70" t="str">
        <f>IF(AND(Sheet1!O1137="SIM",Sheet1!P1137="SIM"),"Sim","")</f>
        <v/>
      </c>
      <c r="AD1137" s="70" t="str">
        <f>IF(AC1137="sim",Sheet1!I1137,"")</f>
        <v/>
      </c>
    </row>
    <row r="1138" spans="29:30" x14ac:dyDescent="0.25">
      <c r="AC1138" s="70" t="str">
        <f>IF(AND(Sheet1!O1138="SIM",Sheet1!P1138="SIM"),"Sim","")</f>
        <v/>
      </c>
      <c r="AD1138" s="70" t="str">
        <f>IF(AC1138="sim",Sheet1!I1138,"")</f>
        <v/>
      </c>
    </row>
    <row r="1139" spans="29:30" x14ac:dyDescent="0.25">
      <c r="AC1139" s="70" t="str">
        <f>IF(AND(Sheet1!O1139="SIM",Sheet1!P1139="SIM"),"Sim","")</f>
        <v/>
      </c>
      <c r="AD1139" s="70" t="str">
        <f>IF(AC1139="sim",Sheet1!I1139,"")</f>
        <v/>
      </c>
    </row>
    <row r="1140" spans="29:30" x14ac:dyDescent="0.25">
      <c r="AC1140" s="70" t="str">
        <f>IF(AND(Sheet1!O1140="SIM",Sheet1!P1140="SIM"),"Sim","")</f>
        <v/>
      </c>
      <c r="AD1140" s="70" t="str">
        <f>IF(AC1140="sim",Sheet1!I1140,"")</f>
        <v/>
      </c>
    </row>
    <row r="1141" spans="29:30" x14ac:dyDescent="0.25">
      <c r="AC1141" s="70" t="str">
        <f>IF(AND(Sheet1!O1141="SIM",Sheet1!P1141="SIM"),"Sim","")</f>
        <v/>
      </c>
      <c r="AD1141" s="70" t="str">
        <f>IF(AC1141="sim",Sheet1!I1141,"")</f>
        <v/>
      </c>
    </row>
    <row r="1142" spans="29:30" x14ac:dyDescent="0.25">
      <c r="AC1142" s="70" t="str">
        <f>IF(AND(Sheet1!O1142="SIM",Sheet1!P1142="SIM"),"Sim","")</f>
        <v/>
      </c>
      <c r="AD1142" s="70" t="str">
        <f>IF(AC1142="sim",Sheet1!I1142,"")</f>
        <v/>
      </c>
    </row>
    <row r="1143" spans="29:30" x14ac:dyDescent="0.25">
      <c r="AC1143" s="70" t="str">
        <f>IF(AND(Sheet1!O1143="SIM",Sheet1!P1143="SIM"),"Sim","")</f>
        <v/>
      </c>
      <c r="AD1143" s="70" t="str">
        <f>IF(AC1143="sim",Sheet1!I1143,"")</f>
        <v/>
      </c>
    </row>
    <row r="1144" spans="29:30" x14ac:dyDescent="0.25">
      <c r="AC1144" s="70" t="str">
        <f>IF(AND(Sheet1!O1144="SIM",Sheet1!P1144="SIM"),"Sim","")</f>
        <v/>
      </c>
      <c r="AD1144" s="70" t="str">
        <f>IF(AC1144="sim",Sheet1!I1144,"")</f>
        <v/>
      </c>
    </row>
    <row r="1145" spans="29:30" x14ac:dyDescent="0.25">
      <c r="AC1145" s="70" t="str">
        <f>IF(AND(Sheet1!O1145="SIM",Sheet1!P1145="SIM"),"Sim","")</f>
        <v/>
      </c>
      <c r="AD1145" s="70" t="str">
        <f>IF(AC1145="sim",Sheet1!I1145,"")</f>
        <v/>
      </c>
    </row>
    <row r="1146" spans="29:30" x14ac:dyDescent="0.25">
      <c r="AC1146" s="70" t="str">
        <f>IF(AND(Sheet1!O1146="SIM",Sheet1!P1146="SIM"),"Sim","")</f>
        <v/>
      </c>
      <c r="AD1146" s="70" t="str">
        <f>IF(AC1146="sim",Sheet1!I1146,"")</f>
        <v/>
      </c>
    </row>
    <row r="1147" spans="29:30" x14ac:dyDescent="0.25">
      <c r="AC1147" s="70" t="str">
        <f>IF(AND(Sheet1!O1147="SIM",Sheet1!P1147="SIM"),"Sim","")</f>
        <v/>
      </c>
      <c r="AD1147" s="70" t="str">
        <f>IF(AC1147="sim",Sheet1!I1147,"")</f>
        <v/>
      </c>
    </row>
    <row r="1148" spans="29:30" x14ac:dyDescent="0.25">
      <c r="AC1148" s="70" t="str">
        <f>IF(AND(Sheet1!O1148="SIM",Sheet1!P1148="SIM"),"Sim","")</f>
        <v/>
      </c>
      <c r="AD1148" s="70" t="str">
        <f>IF(AC1148="sim",Sheet1!I1148,"")</f>
        <v/>
      </c>
    </row>
    <row r="1149" spans="29:30" x14ac:dyDescent="0.25">
      <c r="AC1149" s="70" t="str">
        <f>IF(AND(Sheet1!O1149="SIM",Sheet1!P1149="SIM"),"Sim","")</f>
        <v/>
      </c>
      <c r="AD1149" s="70" t="str">
        <f>IF(AC1149="sim",Sheet1!I1149,"")</f>
        <v/>
      </c>
    </row>
    <row r="1150" spans="29:30" x14ac:dyDescent="0.25">
      <c r="AC1150" s="70" t="str">
        <f>IF(AND(Sheet1!O1150="SIM",Sheet1!P1150="SIM"),"Sim","")</f>
        <v/>
      </c>
      <c r="AD1150" s="70" t="str">
        <f>IF(AC1150="sim",Sheet1!I1150,"")</f>
        <v/>
      </c>
    </row>
    <row r="1151" spans="29:30" x14ac:dyDescent="0.25">
      <c r="AC1151" s="70" t="str">
        <f>IF(AND(Sheet1!O1151="SIM",Sheet1!P1151="SIM"),"Sim","")</f>
        <v/>
      </c>
      <c r="AD1151" s="70" t="str">
        <f>IF(AC1151="sim",Sheet1!I1151,"")</f>
        <v/>
      </c>
    </row>
    <row r="1152" spans="29:30" x14ac:dyDescent="0.25">
      <c r="AC1152" s="70" t="str">
        <f>IF(AND(Sheet1!O1152="SIM",Sheet1!P1152="SIM"),"Sim","")</f>
        <v/>
      </c>
      <c r="AD1152" s="70" t="str">
        <f>IF(AC1152="sim",Sheet1!I1152,"")</f>
        <v/>
      </c>
    </row>
    <row r="1153" spans="29:30" x14ac:dyDescent="0.25">
      <c r="AC1153" s="70" t="str">
        <f>IF(AND(Sheet1!O1153="SIM",Sheet1!P1153="SIM"),"Sim","")</f>
        <v/>
      </c>
      <c r="AD1153" s="70" t="str">
        <f>IF(AC1153="sim",Sheet1!I1153,"")</f>
        <v/>
      </c>
    </row>
    <row r="1154" spans="29:30" x14ac:dyDescent="0.25">
      <c r="AC1154" s="70" t="str">
        <f>IF(AND(Sheet1!O1154="SIM",Sheet1!P1154="SIM"),"Sim","")</f>
        <v/>
      </c>
      <c r="AD1154" s="70" t="str">
        <f>IF(AC1154="sim",Sheet1!I1154,"")</f>
        <v/>
      </c>
    </row>
    <row r="1155" spans="29:30" x14ac:dyDescent="0.25">
      <c r="AC1155" s="70" t="str">
        <f>IF(AND(Sheet1!O1155="SIM",Sheet1!P1155="SIM"),"Sim","")</f>
        <v/>
      </c>
      <c r="AD1155" s="70" t="str">
        <f>IF(AC1155="sim",Sheet1!I1155,"")</f>
        <v/>
      </c>
    </row>
    <row r="1156" spans="29:30" x14ac:dyDescent="0.25">
      <c r="AC1156" s="70" t="str">
        <f>IF(AND(Sheet1!O1156="SIM",Sheet1!P1156="SIM"),"Sim","")</f>
        <v/>
      </c>
      <c r="AD1156" s="70" t="str">
        <f>IF(AC1156="sim",Sheet1!I1156,"")</f>
        <v/>
      </c>
    </row>
    <row r="1157" spans="29:30" x14ac:dyDescent="0.25">
      <c r="AC1157" s="70" t="str">
        <f>IF(AND(Sheet1!O1157="SIM",Sheet1!P1157="SIM"),"Sim","")</f>
        <v/>
      </c>
      <c r="AD1157" s="70" t="str">
        <f>IF(AC1157="sim",Sheet1!I1157,"")</f>
        <v/>
      </c>
    </row>
    <row r="1158" spans="29:30" x14ac:dyDescent="0.25">
      <c r="AC1158" s="70" t="str">
        <f>IF(AND(Sheet1!O1158="SIM",Sheet1!P1158="SIM"),"Sim","")</f>
        <v/>
      </c>
      <c r="AD1158" s="70" t="str">
        <f>IF(AC1158="sim",Sheet1!I1158,"")</f>
        <v/>
      </c>
    </row>
    <row r="1159" spans="29:30" x14ac:dyDescent="0.25">
      <c r="AC1159" s="70" t="str">
        <f>IF(AND(Sheet1!O1159="SIM",Sheet1!P1159="SIM"),"Sim","")</f>
        <v/>
      </c>
      <c r="AD1159" s="70" t="str">
        <f>IF(AC1159="sim",Sheet1!I1159,"")</f>
        <v/>
      </c>
    </row>
    <row r="1160" spans="29:30" x14ac:dyDescent="0.25">
      <c r="AC1160" s="70" t="str">
        <f>IF(AND(Sheet1!O1160="SIM",Sheet1!P1160="SIM"),"Sim","")</f>
        <v/>
      </c>
      <c r="AD1160" s="70" t="str">
        <f>IF(AC1160="sim",Sheet1!I1160,"")</f>
        <v/>
      </c>
    </row>
    <row r="1161" spans="29:30" x14ac:dyDescent="0.25">
      <c r="AC1161" s="70" t="str">
        <f>IF(AND(Sheet1!O1161="SIM",Sheet1!P1161="SIM"),"Sim","")</f>
        <v/>
      </c>
      <c r="AD1161" s="70" t="str">
        <f>IF(AC1161="sim",Sheet1!I1161,"")</f>
        <v/>
      </c>
    </row>
    <row r="1162" spans="29:30" x14ac:dyDescent="0.25">
      <c r="AC1162" s="70" t="str">
        <f>IF(AND(Sheet1!O1162="SIM",Sheet1!P1162="SIM"),"Sim","")</f>
        <v/>
      </c>
      <c r="AD1162" s="70" t="str">
        <f>IF(AC1162="sim",Sheet1!I1162,"")</f>
        <v/>
      </c>
    </row>
    <row r="1163" spans="29:30" x14ac:dyDescent="0.25">
      <c r="AC1163" s="70" t="str">
        <f>IF(AND(Sheet1!O1163="SIM",Sheet1!P1163="SIM"),"Sim","")</f>
        <v/>
      </c>
      <c r="AD1163" s="70" t="str">
        <f>IF(AC1163="sim",Sheet1!I1163,"")</f>
        <v/>
      </c>
    </row>
    <row r="1164" spans="29:30" x14ac:dyDescent="0.25">
      <c r="AC1164" s="70" t="str">
        <f>IF(AND(Sheet1!O1164="SIM",Sheet1!P1164="SIM"),"Sim","")</f>
        <v/>
      </c>
      <c r="AD1164" s="70" t="str">
        <f>IF(AC1164="sim",Sheet1!I1164,"")</f>
        <v/>
      </c>
    </row>
    <row r="1165" spans="29:30" x14ac:dyDescent="0.25">
      <c r="AC1165" s="70" t="str">
        <f>IF(AND(Sheet1!O1165="SIM",Sheet1!P1165="SIM"),"Sim","")</f>
        <v/>
      </c>
      <c r="AD1165" s="70" t="str">
        <f>IF(AC1165="sim",Sheet1!I1165,"")</f>
        <v/>
      </c>
    </row>
    <row r="1166" spans="29:30" x14ac:dyDescent="0.25">
      <c r="AC1166" s="70" t="str">
        <f>IF(AND(Sheet1!O1166="SIM",Sheet1!P1166="SIM"),"Sim","")</f>
        <v/>
      </c>
      <c r="AD1166" s="70" t="str">
        <f>IF(AC1166="sim",Sheet1!I1166,"")</f>
        <v/>
      </c>
    </row>
    <row r="1167" spans="29:30" x14ac:dyDescent="0.25">
      <c r="AC1167" s="70" t="str">
        <f>IF(AND(Sheet1!O1167="SIM",Sheet1!P1167="SIM"),"Sim","")</f>
        <v/>
      </c>
      <c r="AD1167" s="70" t="str">
        <f>IF(AC1167="sim",Sheet1!I1167,"")</f>
        <v/>
      </c>
    </row>
    <row r="1168" spans="29:30" x14ac:dyDescent="0.25">
      <c r="AC1168" s="70" t="str">
        <f>IF(AND(Sheet1!O1168="SIM",Sheet1!P1168="SIM"),"Sim","")</f>
        <v/>
      </c>
      <c r="AD1168" s="70" t="str">
        <f>IF(AC1168="sim",Sheet1!I1168,"")</f>
        <v/>
      </c>
    </row>
    <row r="1169" spans="29:30" x14ac:dyDescent="0.25">
      <c r="AC1169" s="70" t="str">
        <f>IF(AND(Sheet1!O1169="SIM",Sheet1!P1169="SIM"),"Sim","")</f>
        <v/>
      </c>
      <c r="AD1169" s="70" t="str">
        <f>IF(AC1169="sim",Sheet1!I1169,"")</f>
        <v/>
      </c>
    </row>
    <row r="1170" spans="29:30" x14ac:dyDescent="0.25">
      <c r="AC1170" s="70" t="str">
        <f>IF(AND(Sheet1!O1170="SIM",Sheet1!P1170="SIM"),"Sim","")</f>
        <v/>
      </c>
      <c r="AD1170" s="70" t="str">
        <f>IF(AC1170="sim",Sheet1!I1170,"")</f>
        <v/>
      </c>
    </row>
    <row r="1171" spans="29:30" x14ac:dyDescent="0.25">
      <c r="AC1171" s="70" t="str">
        <f>IF(AND(Sheet1!O1171="SIM",Sheet1!P1171="SIM"),"Sim","")</f>
        <v/>
      </c>
      <c r="AD1171" s="70" t="str">
        <f>IF(AC1171="sim",Sheet1!I1171,"")</f>
        <v/>
      </c>
    </row>
    <row r="1172" spans="29:30" x14ac:dyDescent="0.25">
      <c r="AC1172" s="70" t="str">
        <f>IF(AND(Sheet1!O1172="SIM",Sheet1!P1172="SIM"),"Sim","")</f>
        <v/>
      </c>
      <c r="AD1172" s="70" t="str">
        <f>IF(AC1172="sim",Sheet1!I1172,"")</f>
        <v/>
      </c>
    </row>
    <row r="1173" spans="29:30" x14ac:dyDescent="0.25">
      <c r="AC1173" s="70" t="str">
        <f>IF(AND(Sheet1!O1173="SIM",Sheet1!P1173="SIM"),"Sim","")</f>
        <v/>
      </c>
      <c r="AD1173" s="70" t="str">
        <f>IF(AC1173="sim",Sheet1!I1173,"")</f>
        <v/>
      </c>
    </row>
    <row r="1174" spans="29:30" x14ac:dyDescent="0.25">
      <c r="AC1174" s="70" t="str">
        <f>IF(AND(Sheet1!O1174="SIM",Sheet1!P1174="SIM"),"Sim","")</f>
        <v/>
      </c>
      <c r="AD1174" s="70" t="str">
        <f>IF(AC1174="sim",Sheet1!I1174,"")</f>
        <v/>
      </c>
    </row>
    <row r="1175" spans="29:30" x14ac:dyDescent="0.25">
      <c r="AC1175" s="70" t="str">
        <f>IF(AND(Sheet1!O1175="SIM",Sheet1!P1175="SIM"),"Sim","")</f>
        <v/>
      </c>
      <c r="AD1175" s="70" t="str">
        <f>IF(AC1175="sim",Sheet1!I1175,"")</f>
        <v/>
      </c>
    </row>
    <row r="1176" spans="29:30" x14ac:dyDescent="0.25">
      <c r="AC1176" s="70" t="str">
        <f>IF(AND(Sheet1!O1176="SIM",Sheet1!P1176="SIM"),"Sim","")</f>
        <v/>
      </c>
      <c r="AD1176" s="70" t="str">
        <f>IF(AC1176="sim",Sheet1!I1176,"")</f>
        <v/>
      </c>
    </row>
    <row r="1177" spans="29:30" x14ac:dyDescent="0.25">
      <c r="AC1177" s="70" t="str">
        <f>IF(AND(Sheet1!O1177="SIM",Sheet1!P1177="SIM"),"Sim","")</f>
        <v/>
      </c>
      <c r="AD1177" s="70" t="str">
        <f>IF(AC1177="sim",Sheet1!I1177,"")</f>
        <v/>
      </c>
    </row>
    <row r="1178" spans="29:30" x14ac:dyDescent="0.25">
      <c r="AC1178" s="70" t="str">
        <f>IF(AND(Sheet1!O1178="SIM",Sheet1!P1178="SIM"),"Sim","")</f>
        <v/>
      </c>
      <c r="AD1178" s="70" t="str">
        <f>IF(AC1178="sim",Sheet1!I1178,"")</f>
        <v/>
      </c>
    </row>
    <row r="1179" spans="29:30" x14ac:dyDescent="0.25">
      <c r="AC1179" s="70" t="str">
        <f>IF(AND(Sheet1!O1179="SIM",Sheet1!P1179="SIM"),"Sim","")</f>
        <v/>
      </c>
      <c r="AD1179" s="70" t="str">
        <f>IF(AC1179="sim",Sheet1!I1179,"")</f>
        <v/>
      </c>
    </row>
    <row r="1180" spans="29:30" x14ac:dyDescent="0.25">
      <c r="AC1180" s="70" t="str">
        <f>IF(AND(Sheet1!O1180="SIM",Sheet1!P1180="SIM"),"Sim","")</f>
        <v/>
      </c>
      <c r="AD1180" s="70" t="str">
        <f>IF(AC1180="sim",Sheet1!I1180,"")</f>
        <v/>
      </c>
    </row>
    <row r="1181" spans="29:30" x14ac:dyDescent="0.25">
      <c r="AC1181" s="70" t="str">
        <f>IF(AND(Sheet1!O1181="SIM",Sheet1!P1181="SIM"),"Sim","")</f>
        <v/>
      </c>
      <c r="AD1181" s="70" t="str">
        <f>IF(AC1181="sim",Sheet1!I1181,"")</f>
        <v/>
      </c>
    </row>
    <row r="1182" spans="29:30" x14ac:dyDescent="0.25">
      <c r="AC1182" s="70" t="str">
        <f>IF(AND(Sheet1!O1182="SIM",Sheet1!P1182="SIM"),"Sim","")</f>
        <v/>
      </c>
      <c r="AD1182" s="70" t="str">
        <f>IF(AC1182="sim",Sheet1!I1182,"")</f>
        <v/>
      </c>
    </row>
    <row r="1183" spans="29:30" x14ac:dyDescent="0.25">
      <c r="AC1183" s="70" t="str">
        <f>IF(AND(Sheet1!O1183="SIM",Sheet1!P1183="SIM"),"Sim","")</f>
        <v/>
      </c>
      <c r="AD1183" s="70" t="str">
        <f>IF(AC1183="sim",Sheet1!I1183,"")</f>
        <v/>
      </c>
    </row>
    <row r="1184" spans="29:30" x14ac:dyDescent="0.25">
      <c r="AC1184" s="70" t="str">
        <f>IF(AND(Sheet1!O1184="SIM",Sheet1!P1184="SIM"),"Sim","")</f>
        <v/>
      </c>
      <c r="AD1184" s="70" t="str">
        <f>IF(AC1184="sim",Sheet1!I1184,"")</f>
        <v/>
      </c>
    </row>
    <row r="1185" spans="29:30" x14ac:dyDescent="0.25">
      <c r="AC1185" s="70" t="str">
        <f>IF(AND(Sheet1!O1185="SIM",Sheet1!P1185="SIM"),"Sim","")</f>
        <v/>
      </c>
      <c r="AD1185" s="70" t="str">
        <f>IF(AC1185="sim",Sheet1!I1185,"")</f>
        <v/>
      </c>
    </row>
    <row r="1186" spans="29:30" x14ac:dyDescent="0.25">
      <c r="AC1186" s="70" t="str">
        <f>IF(AND(Sheet1!O1186="SIM",Sheet1!P1186="SIM"),"Sim","")</f>
        <v/>
      </c>
      <c r="AD1186" s="70" t="str">
        <f>IF(AC1186="sim",Sheet1!I1186,"")</f>
        <v/>
      </c>
    </row>
    <row r="1187" spans="29:30" x14ac:dyDescent="0.25">
      <c r="AC1187" s="70" t="str">
        <f>IF(AND(Sheet1!O1187="SIM",Sheet1!P1187="SIM"),"Sim","")</f>
        <v/>
      </c>
      <c r="AD1187" s="70" t="str">
        <f>IF(AC1187="sim",Sheet1!I1187,"")</f>
        <v/>
      </c>
    </row>
    <row r="1188" spans="29:30" x14ac:dyDescent="0.25">
      <c r="AC1188" s="70" t="str">
        <f>IF(AND(Sheet1!O1188="SIM",Sheet1!P1188="SIM"),"Sim","")</f>
        <v/>
      </c>
      <c r="AD1188" s="70" t="str">
        <f>IF(AC1188="sim",Sheet1!I1188,"")</f>
        <v/>
      </c>
    </row>
    <row r="1189" spans="29:30" x14ac:dyDescent="0.25">
      <c r="AC1189" s="70" t="str">
        <f>IF(AND(Sheet1!O1189="SIM",Sheet1!P1189="SIM"),"Sim","")</f>
        <v/>
      </c>
      <c r="AD1189" s="70" t="str">
        <f>IF(AC1189="sim",Sheet1!I1189,"")</f>
        <v/>
      </c>
    </row>
    <row r="1190" spans="29:30" x14ac:dyDescent="0.25">
      <c r="AC1190" s="70" t="str">
        <f>IF(AND(Sheet1!O1190="SIM",Sheet1!P1190="SIM"),"Sim","")</f>
        <v/>
      </c>
      <c r="AD1190" s="70" t="str">
        <f>IF(AC1190="sim",Sheet1!I1190,"")</f>
        <v/>
      </c>
    </row>
    <row r="1191" spans="29:30" x14ac:dyDescent="0.25">
      <c r="AC1191" s="70" t="str">
        <f>IF(AND(Sheet1!O1191="SIM",Sheet1!P1191="SIM"),"Sim","")</f>
        <v/>
      </c>
      <c r="AD1191" s="70" t="str">
        <f>IF(AC1191="sim",Sheet1!I1191,"")</f>
        <v/>
      </c>
    </row>
    <row r="1192" spans="29:30" x14ac:dyDescent="0.25">
      <c r="AC1192" s="70" t="str">
        <f>IF(AND(Sheet1!O1192="SIM",Sheet1!P1192="SIM"),"Sim","")</f>
        <v/>
      </c>
      <c r="AD1192" s="70" t="str">
        <f>IF(AC1192="sim",Sheet1!I1192,"")</f>
        <v/>
      </c>
    </row>
    <row r="1193" spans="29:30" x14ac:dyDescent="0.25">
      <c r="AC1193" s="70" t="str">
        <f>IF(AND(Sheet1!O1193="SIM",Sheet1!P1193="SIM"),"Sim","")</f>
        <v/>
      </c>
      <c r="AD1193" s="70" t="str">
        <f>IF(AC1193="sim",Sheet1!I1193,"")</f>
        <v/>
      </c>
    </row>
    <row r="1194" spans="29:30" x14ac:dyDescent="0.25">
      <c r="AC1194" s="70" t="str">
        <f>IF(AND(Sheet1!O1194="SIM",Sheet1!P1194="SIM"),"Sim","")</f>
        <v/>
      </c>
      <c r="AD1194" s="70" t="str">
        <f>IF(AC1194="sim",Sheet1!I1194,"")</f>
        <v/>
      </c>
    </row>
    <row r="1195" spans="29:30" x14ac:dyDescent="0.25">
      <c r="AC1195" s="70" t="str">
        <f>IF(AND(Sheet1!O1195="SIM",Sheet1!P1195="SIM"),"Sim","")</f>
        <v/>
      </c>
      <c r="AD1195" s="70" t="str">
        <f>IF(AC1195="sim",Sheet1!I1195,"")</f>
        <v/>
      </c>
    </row>
    <row r="1196" spans="29:30" x14ac:dyDescent="0.25">
      <c r="AC1196" s="70" t="str">
        <f>IF(AND(Sheet1!O1196="SIM",Sheet1!P1196="SIM"),"Sim","")</f>
        <v/>
      </c>
      <c r="AD1196" s="70" t="str">
        <f>IF(AC1196="sim",Sheet1!I1196,"")</f>
        <v/>
      </c>
    </row>
    <row r="1197" spans="29:30" x14ac:dyDescent="0.25">
      <c r="AC1197" s="70" t="str">
        <f>IF(AND(Sheet1!O1197="SIM",Sheet1!P1197="SIM"),"Sim","")</f>
        <v/>
      </c>
      <c r="AD1197" s="70" t="str">
        <f>IF(AC1197="sim",Sheet1!I1197,"")</f>
        <v/>
      </c>
    </row>
    <row r="1198" spans="29:30" x14ac:dyDescent="0.25">
      <c r="AC1198" s="70" t="str">
        <f>IF(AND(Sheet1!O1198="SIM",Sheet1!P1198="SIM"),"Sim","")</f>
        <v/>
      </c>
      <c r="AD1198" s="70" t="str">
        <f>IF(AC1198="sim",Sheet1!I1198,"")</f>
        <v/>
      </c>
    </row>
    <row r="1199" spans="29:30" x14ac:dyDescent="0.25">
      <c r="AC1199" s="70" t="str">
        <f>IF(AND(Sheet1!O1199="SIM",Sheet1!P1199="SIM"),"Sim","")</f>
        <v/>
      </c>
      <c r="AD1199" s="70" t="str">
        <f>IF(AC1199="sim",Sheet1!I1199,"")</f>
        <v/>
      </c>
    </row>
    <row r="1200" spans="29:30" x14ac:dyDescent="0.25">
      <c r="AC1200" s="70" t="str">
        <f>IF(AND(Sheet1!O1200="SIM",Sheet1!P1200="SIM"),"Sim","")</f>
        <v/>
      </c>
      <c r="AD1200" s="70" t="str">
        <f>IF(AC1200="sim",Sheet1!I1200,"")</f>
        <v/>
      </c>
    </row>
    <row r="1201" spans="29:30" x14ac:dyDescent="0.25">
      <c r="AC1201" s="70" t="str">
        <f>IF(AND(Sheet1!O1201="SIM",Sheet1!P1201="SIM"),"Sim","")</f>
        <v/>
      </c>
      <c r="AD1201" s="70" t="str">
        <f>IF(AC1201="sim",Sheet1!I1201,"")</f>
        <v/>
      </c>
    </row>
    <row r="1202" spans="29:30" x14ac:dyDescent="0.25">
      <c r="AC1202" s="70" t="str">
        <f>IF(AND(Sheet1!O1202="SIM",Sheet1!P1202="SIM"),"Sim","")</f>
        <v/>
      </c>
      <c r="AD1202" s="70" t="str">
        <f>IF(AC1202="sim",Sheet1!I1202,"")</f>
        <v/>
      </c>
    </row>
    <row r="1203" spans="29:30" x14ac:dyDescent="0.25">
      <c r="AC1203" s="70" t="str">
        <f>IF(AND(Sheet1!O1203="SIM",Sheet1!P1203="SIM"),"Sim","")</f>
        <v/>
      </c>
      <c r="AD1203" s="70" t="str">
        <f>IF(AC1203="sim",Sheet1!I1203,"")</f>
        <v/>
      </c>
    </row>
    <row r="1204" spans="29:30" x14ac:dyDescent="0.25">
      <c r="AC1204" s="70" t="str">
        <f>IF(AND(Sheet1!O1204="SIM",Sheet1!P1204="SIM"),"Sim","")</f>
        <v/>
      </c>
      <c r="AD1204" s="70" t="str">
        <f>IF(AC1204="sim",Sheet1!I1204,"")</f>
        <v/>
      </c>
    </row>
    <row r="1205" spans="29:30" x14ac:dyDescent="0.25">
      <c r="AC1205" s="70" t="str">
        <f>IF(AND(Sheet1!O1205="SIM",Sheet1!P1205="SIM"),"Sim","")</f>
        <v/>
      </c>
      <c r="AD1205" s="70" t="str">
        <f>IF(AC1205="sim",Sheet1!I1205,"")</f>
        <v/>
      </c>
    </row>
    <row r="1206" spans="29:30" x14ac:dyDescent="0.25">
      <c r="AC1206" s="70" t="str">
        <f>IF(AND(Sheet1!O1206="SIM",Sheet1!P1206="SIM"),"Sim","")</f>
        <v/>
      </c>
      <c r="AD1206" s="70" t="str">
        <f>IF(AC1206="sim",Sheet1!I1206,"")</f>
        <v/>
      </c>
    </row>
    <row r="1207" spans="29:30" x14ac:dyDescent="0.25">
      <c r="AC1207" s="70" t="str">
        <f>IF(AND(Sheet1!O1207="SIM",Sheet1!P1207="SIM"),"Sim","")</f>
        <v/>
      </c>
      <c r="AD1207" s="70" t="str">
        <f>IF(AC1207="sim",Sheet1!I1207,"")</f>
        <v/>
      </c>
    </row>
    <row r="1208" spans="29:30" x14ac:dyDescent="0.25">
      <c r="AC1208" s="70" t="str">
        <f>IF(AND(Sheet1!O1208="SIM",Sheet1!P1208="SIM"),"Sim","")</f>
        <v/>
      </c>
      <c r="AD1208" s="70" t="str">
        <f>IF(AC1208="sim",Sheet1!I1208,"")</f>
        <v/>
      </c>
    </row>
    <row r="1209" spans="29:30" x14ac:dyDescent="0.25">
      <c r="AC1209" s="70" t="str">
        <f>IF(AND(Sheet1!O1209="SIM",Sheet1!P1209="SIM"),"Sim","")</f>
        <v/>
      </c>
      <c r="AD1209" s="70" t="str">
        <f>IF(AC1209="sim",Sheet1!I1209,"")</f>
        <v/>
      </c>
    </row>
    <row r="1210" spans="29:30" x14ac:dyDescent="0.25">
      <c r="AC1210" s="70" t="str">
        <f>IF(AND(Sheet1!O1210="SIM",Sheet1!P1210="SIM"),"Sim","")</f>
        <v/>
      </c>
      <c r="AD1210" s="70" t="str">
        <f>IF(AC1210="sim",Sheet1!I1210,"")</f>
        <v/>
      </c>
    </row>
    <row r="1211" spans="29:30" x14ac:dyDescent="0.25">
      <c r="AC1211" s="70" t="str">
        <f>IF(AND(Sheet1!O1211="SIM",Sheet1!P1211="SIM"),"Sim","")</f>
        <v/>
      </c>
      <c r="AD1211" s="70" t="str">
        <f>IF(AC1211="sim",Sheet1!I1211,"")</f>
        <v/>
      </c>
    </row>
    <row r="1212" spans="29:30" x14ac:dyDescent="0.25">
      <c r="AC1212" s="70" t="str">
        <f>IF(AND(Sheet1!O1212="SIM",Sheet1!P1212="SIM"),"Sim","")</f>
        <v/>
      </c>
      <c r="AD1212" s="70" t="str">
        <f>IF(AC1212="sim",Sheet1!I1212,"")</f>
        <v/>
      </c>
    </row>
    <row r="1213" spans="29:30" x14ac:dyDescent="0.25">
      <c r="AC1213" s="70" t="str">
        <f>IF(AND(Sheet1!O1213="SIM",Sheet1!P1213="SIM"),"Sim","")</f>
        <v/>
      </c>
      <c r="AD1213" s="70" t="str">
        <f>IF(AC1213="sim",Sheet1!I1213,"")</f>
        <v/>
      </c>
    </row>
    <row r="1214" spans="29:30" x14ac:dyDescent="0.25">
      <c r="AC1214" s="70" t="str">
        <f>IF(AND(Sheet1!O1214="SIM",Sheet1!P1214="SIM"),"Sim","")</f>
        <v/>
      </c>
      <c r="AD1214" s="70" t="str">
        <f>IF(AC1214="sim",Sheet1!I1214,"")</f>
        <v/>
      </c>
    </row>
    <row r="1215" spans="29:30" x14ac:dyDescent="0.25">
      <c r="AC1215" s="70" t="str">
        <f>IF(AND(Sheet1!O1215="SIM",Sheet1!P1215="SIM"),"Sim","")</f>
        <v/>
      </c>
      <c r="AD1215" s="70" t="str">
        <f>IF(AC1215="sim",Sheet1!I1215,"")</f>
        <v/>
      </c>
    </row>
    <row r="1216" spans="29:30" x14ac:dyDescent="0.25">
      <c r="AC1216" s="70" t="str">
        <f>IF(AND(Sheet1!O1216="SIM",Sheet1!P1216="SIM"),"Sim","")</f>
        <v/>
      </c>
      <c r="AD1216" s="70" t="str">
        <f>IF(AC1216="sim",Sheet1!I1216,"")</f>
        <v/>
      </c>
    </row>
    <row r="1217" spans="29:30" x14ac:dyDescent="0.25">
      <c r="AC1217" s="70" t="str">
        <f>IF(AND(Sheet1!O1217="SIM",Sheet1!P1217="SIM"),"Sim","")</f>
        <v/>
      </c>
      <c r="AD1217" s="70" t="str">
        <f>IF(AC1217="sim",Sheet1!I1217,"")</f>
        <v/>
      </c>
    </row>
    <row r="1218" spans="29:30" x14ac:dyDescent="0.25">
      <c r="AC1218" s="70" t="str">
        <f>IF(AND(Sheet1!O1218="SIM",Sheet1!P1218="SIM"),"Sim","")</f>
        <v/>
      </c>
      <c r="AD1218" s="70" t="str">
        <f>IF(AC1218="sim",Sheet1!I1218,"")</f>
        <v/>
      </c>
    </row>
    <row r="1219" spans="29:30" x14ac:dyDescent="0.25">
      <c r="AC1219" s="70" t="str">
        <f>IF(AND(Sheet1!O1219="SIM",Sheet1!P1219="SIM"),"Sim","")</f>
        <v/>
      </c>
      <c r="AD1219" s="70" t="str">
        <f>IF(AC1219="sim",Sheet1!I1219,"")</f>
        <v/>
      </c>
    </row>
    <row r="1220" spans="29:30" x14ac:dyDescent="0.25">
      <c r="AC1220" s="70" t="str">
        <f>IF(AND(Sheet1!O1220="SIM",Sheet1!P1220="SIM"),"Sim","")</f>
        <v/>
      </c>
      <c r="AD1220" s="70" t="str">
        <f>IF(AC1220="sim",Sheet1!I1220,"")</f>
        <v/>
      </c>
    </row>
    <row r="1221" spans="29:30" x14ac:dyDescent="0.25">
      <c r="AC1221" s="70" t="str">
        <f>IF(AND(Sheet1!O1221="SIM",Sheet1!P1221="SIM"),"Sim","")</f>
        <v/>
      </c>
      <c r="AD1221" s="70" t="str">
        <f>IF(AC1221="sim",Sheet1!I1221,"")</f>
        <v/>
      </c>
    </row>
    <row r="1222" spans="29:30" x14ac:dyDescent="0.25">
      <c r="AC1222" s="70" t="str">
        <f>IF(AND(Sheet1!O1222="SIM",Sheet1!P1222="SIM"),"Sim","")</f>
        <v/>
      </c>
      <c r="AD1222" s="70" t="str">
        <f>IF(AC1222="sim",Sheet1!I1222,"")</f>
        <v/>
      </c>
    </row>
    <row r="1223" spans="29:30" x14ac:dyDescent="0.25">
      <c r="AC1223" s="70" t="str">
        <f>IF(AND(Sheet1!O1223="SIM",Sheet1!P1223="SIM"),"Sim","")</f>
        <v/>
      </c>
      <c r="AD1223" s="70" t="str">
        <f>IF(AC1223="sim",Sheet1!I1223,"")</f>
        <v/>
      </c>
    </row>
    <row r="1224" spans="29:30" x14ac:dyDescent="0.25">
      <c r="AC1224" s="70" t="str">
        <f>IF(AND(Sheet1!O1224="SIM",Sheet1!P1224="SIM"),"Sim","")</f>
        <v/>
      </c>
      <c r="AD1224" s="70" t="str">
        <f>IF(AC1224="sim",Sheet1!I1224,"")</f>
        <v/>
      </c>
    </row>
    <row r="1225" spans="29:30" x14ac:dyDescent="0.25">
      <c r="AC1225" s="70" t="str">
        <f>IF(AND(Sheet1!O1225="SIM",Sheet1!P1225="SIM"),"Sim","")</f>
        <v/>
      </c>
      <c r="AD1225" s="70" t="str">
        <f>IF(AC1225="sim",Sheet1!I1225,"")</f>
        <v/>
      </c>
    </row>
    <row r="1226" spans="29:30" x14ac:dyDescent="0.25">
      <c r="AC1226" s="70" t="str">
        <f>IF(AND(Sheet1!O1226="SIM",Sheet1!P1226="SIM"),"Sim","")</f>
        <v/>
      </c>
      <c r="AD1226" s="70" t="str">
        <f>IF(AC1226="sim",Sheet1!I1226,"")</f>
        <v/>
      </c>
    </row>
    <row r="1227" spans="29:30" x14ac:dyDescent="0.25">
      <c r="AC1227" s="70" t="str">
        <f>IF(AND(Sheet1!O1227="SIM",Sheet1!P1227="SIM"),"Sim","")</f>
        <v/>
      </c>
      <c r="AD1227" s="70" t="str">
        <f>IF(AC1227="sim",Sheet1!I1227,"")</f>
        <v/>
      </c>
    </row>
    <row r="1228" spans="29:30" x14ac:dyDescent="0.25">
      <c r="AC1228" s="70" t="str">
        <f>IF(AND(Sheet1!O1228="SIM",Sheet1!P1228="SIM"),"Sim","")</f>
        <v/>
      </c>
      <c r="AD1228" s="70" t="str">
        <f>IF(AC1228="sim",Sheet1!I1228,"")</f>
        <v/>
      </c>
    </row>
    <row r="1229" spans="29:30" x14ac:dyDescent="0.25">
      <c r="AC1229" s="70" t="str">
        <f>IF(AND(Sheet1!O1229="SIM",Sheet1!P1229="SIM"),"Sim","")</f>
        <v/>
      </c>
      <c r="AD1229" s="70" t="str">
        <f>IF(AC1229="sim",Sheet1!I1229,"")</f>
        <v/>
      </c>
    </row>
    <row r="1230" spans="29:30" x14ac:dyDescent="0.25">
      <c r="AC1230" s="70" t="str">
        <f>IF(AND(Sheet1!O1230="SIM",Sheet1!P1230="SIM"),"Sim","")</f>
        <v/>
      </c>
      <c r="AD1230" s="70" t="str">
        <f>IF(AC1230="sim",Sheet1!I1230,"")</f>
        <v/>
      </c>
    </row>
    <row r="1231" spans="29:30" x14ac:dyDescent="0.25">
      <c r="AC1231" s="70" t="str">
        <f>IF(AND(Sheet1!O1231="SIM",Sheet1!P1231="SIM"),"Sim","")</f>
        <v/>
      </c>
      <c r="AD1231" s="70" t="str">
        <f>IF(AC1231="sim",Sheet1!I1231,"")</f>
        <v/>
      </c>
    </row>
    <row r="1232" spans="29:30" x14ac:dyDescent="0.25">
      <c r="AC1232" s="70" t="str">
        <f>IF(AND(Sheet1!O1232="SIM",Sheet1!P1232="SIM"),"Sim","")</f>
        <v/>
      </c>
      <c r="AD1232" s="70" t="str">
        <f>IF(AC1232="sim",Sheet1!I1232,"")</f>
        <v/>
      </c>
    </row>
    <row r="1233" spans="29:30" x14ac:dyDescent="0.25">
      <c r="AC1233" s="70" t="str">
        <f>IF(AND(Sheet1!O1233="SIM",Sheet1!P1233="SIM"),"Sim","")</f>
        <v/>
      </c>
      <c r="AD1233" s="70" t="str">
        <f>IF(AC1233="sim",Sheet1!I1233,"")</f>
        <v/>
      </c>
    </row>
    <row r="1234" spans="29:30" x14ac:dyDescent="0.25">
      <c r="AC1234" s="70" t="str">
        <f>IF(AND(Sheet1!O1234="SIM",Sheet1!P1234="SIM"),"Sim","")</f>
        <v/>
      </c>
      <c r="AD1234" s="70" t="str">
        <f>IF(AC1234="sim",Sheet1!I1234,"")</f>
        <v/>
      </c>
    </row>
    <row r="1235" spans="29:30" x14ac:dyDescent="0.25">
      <c r="AC1235" s="70" t="str">
        <f>IF(AND(Sheet1!O1235="SIM",Sheet1!P1235="SIM"),"Sim","")</f>
        <v/>
      </c>
      <c r="AD1235" s="70" t="str">
        <f>IF(AC1235="sim",Sheet1!I1235,"")</f>
        <v/>
      </c>
    </row>
    <row r="1236" spans="29:30" x14ac:dyDescent="0.25">
      <c r="AC1236" s="70" t="str">
        <f>IF(AND(Sheet1!O1236="SIM",Sheet1!P1236="SIM"),"Sim","")</f>
        <v/>
      </c>
      <c r="AD1236" s="70" t="str">
        <f>IF(AC1236="sim",Sheet1!I1236,"")</f>
        <v/>
      </c>
    </row>
    <row r="1237" spans="29:30" x14ac:dyDescent="0.25">
      <c r="AC1237" s="70" t="str">
        <f>IF(AND(Sheet1!O1237="SIM",Sheet1!P1237="SIM"),"Sim","")</f>
        <v/>
      </c>
      <c r="AD1237" s="70" t="str">
        <f>IF(AC1237="sim",Sheet1!I1237,"")</f>
        <v/>
      </c>
    </row>
    <row r="1238" spans="29:30" x14ac:dyDescent="0.25">
      <c r="AC1238" s="70" t="str">
        <f>IF(AND(Sheet1!O1238="SIM",Sheet1!P1238="SIM"),"Sim","")</f>
        <v/>
      </c>
      <c r="AD1238" s="70" t="str">
        <f>IF(AC1238="sim",Sheet1!I1238,"")</f>
        <v/>
      </c>
    </row>
    <row r="1239" spans="29:30" x14ac:dyDescent="0.25">
      <c r="AC1239" s="70" t="str">
        <f>IF(AND(Sheet1!O1239="SIM",Sheet1!P1239="SIM"),"Sim","")</f>
        <v/>
      </c>
      <c r="AD1239" s="70" t="str">
        <f>IF(AC1239="sim",Sheet1!I1239,"")</f>
        <v/>
      </c>
    </row>
    <row r="1240" spans="29:30" x14ac:dyDescent="0.25">
      <c r="AC1240" s="70" t="str">
        <f>IF(AND(Sheet1!O1240="SIM",Sheet1!P1240="SIM"),"Sim","")</f>
        <v/>
      </c>
      <c r="AD1240" s="70" t="str">
        <f>IF(AC1240="sim",Sheet1!I1240,"")</f>
        <v/>
      </c>
    </row>
    <row r="1241" spans="29:30" x14ac:dyDescent="0.25">
      <c r="AC1241" s="70" t="str">
        <f>IF(AND(Sheet1!O1241="SIM",Sheet1!P1241="SIM"),"Sim","")</f>
        <v/>
      </c>
      <c r="AD1241" s="70" t="str">
        <f>IF(AC1241="sim",Sheet1!I1241,"")</f>
        <v/>
      </c>
    </row>
    <row r="1242" spans="29:30" x14ac:dyDescent="0.25">
      <c r="AC1242" s="70" t="str">
        <f>IF(AND(Sheet1!O1242="SIM",Sheet1!P1242="SIM"),"Sim","")</f>
        <v/>
      </c>
      <c r="AD1242" s="70" t="str">
        <f>IF(AC1242="sim",Sheet1!I1242,"")</f>
        <v/>
      </c>
    </row>
    <row r="1243" spans="29:30" x14ac:dyDescent="0.25">
      <c r="AC1243" s="70" t="str">
        <f>IF(AND(Sheet1!O1243="SIM",Sheet1!P1243="SIM"),"Sim","")</f>
        <v/>
      </c>
      <c r="AD1243" s="70" t="str">
        <f>IF(AC1243="sim",Sheet1!I1243,"")</f>
        <v/>
      </c>
    </row>
    <row r="1244" spans="29:30" x14ac:dyDescent="0.25">
      <c r="AC1244" s="70" t="str">
        <f>IF(AND(Sheet1!O1244="SIM",Sheet1!P1244="SIM"),"Sim","")</f>
        <v/>
      </c>
      <c r="AD1244" s="70" t="str">
        <f>IF(AC1244="sim",Sheet1!I1244,"")</f>
        <v/>
      </c>
    </row>
    <row r="1245" spans="29:30" x14ac:dyDescent="0.25">
      <c r="AC1245" s="70" t="str">
        <f>IF(AND(Sheet1!O1245="SIM",Sheet1!P1245="SIM"),"Sim","")</f>
        <v/>
      </c>
      <c r="AD1245" s="70" t="str">
        <f>IF(AC1245="sim",Sheet1!I1245,"")</f>
        <v/>
      </c>
    </row>
    <row r="1246" spans="29:30" x14ac:dyDescent="0.25">
      <c r="AC1246" s="70" t="str">
        <f>IF(AND(Sheet1!O1246="SIM",Sheet1!P1246="SIM"),"Sim","")</f>
        <v/>
      </c>
      <c r="AD1246" s="70" t="str">
        <f>IF(AC1246="sim",Sheet1!I1246,"")</f>
        <v/>
      </c>
    </row>
    <row r="1247" spans="29:30" x14ac:dyDescent="0.25">
      <c r="AC1247" s="70" t="str">
        <f>IF(AND(Sheet1!O1247="SIM",Sheet1!P1247="SIM"),"Sim","")</f>
        <v/>
      </c>
      <c r="AD1247" s="70" t="str">
        <f>IF(AC1247="sim",Sheet1!I1247,"")</f>
        <v/>
      </c>
    </row>
    <row r="1248" spans="29:30" x14ac:dyDescent="0.25">
      <c r="AC1248" s="70" t="str">
        <f>IF(AND(Sheet1!O1248="SIM",Sheet1!P1248="SIM"),"Sim","")</f>
        <v/>
      </c>
      <c r="AD1248" s="70" t="str">
        <f>IF(AC1248="sim",Sheet1!I1248,"")</f>
        <v/>
      </c>
    </row>
    <row r="1249" spans="29:30" x14ac:dyDescent="0.25">
      <c r="AC1249" s="70" t="str">
        <f>IF(AND(Sheet1!O1249="SIM",Sheet1!P1249="SIM"),"Sim","")</f>
        <v/>
      </c>
      <c r="AD1249" s="70" t="str">
        <f>IF(AC1249="sim",Sheet1!I1249,"")</f>
        <v/>
      </c>
    </row>
    <row r="1250" spans="29:30" x14ac:dyDescent="0.25">
      <c r="AC1250" s="70" t="str">
        <f>IF(AND(Sheet1!O1250="SIM",Sheet1!P1250="SIM"),"Sim","")</f>
        <v/>
      </c>
      <c r="AD1250" s="70" t="str">
        <f>IF(AC1250="sim",Sheet1!I1250,"")</f>
        <v/>
      </c>
    </row>
    <row r="1251" spans="29:30" x14ac:dyDescent="0.25">
      <c r="AC1251" s="70" t="str">
        <f>IF(AND(Sheet1!O1251="SIM",Sheet1!P1251="SIM"),"Sim","")</f>
        <v/>
      </c>
      <c r="AD1251" s="70" t="str">
        <f>IF(AC1251="sim",Sheet1!I1251,"")</f>
        <v/>
      </c>
    </row>
    <row r="1252" spans="29:30" x14ac:dyDescent="0.25">
      <c r="AC1252" s="70" t="str">
        <f>IF(AND(Sheet1!O1252="SIM",Sheet1!P1252="SIM"),"Sim","")</f>
        <v/>
      </c>
      <c r="AD1252" s="70" t="str">
        <f>IF(AC1252="sim",Sheet1!I1252,"")</f>
        <v/>
      </c>
    </row>
    <row r="1253" spans="29:30" x14ac:dyDescent="0.25">
      <c r="AC1253" s="70" t="str">
        <f>IF(AND(Sheet1!O1253="SIM",Sheet1!P1253="SIM"),"Sim","")</f>
        <v/>
      </c>
      <c r="AD1253" s="70" t="str">
        <f>IF(AC1253="sim",Sheet1!I1253,"")</f>
        <v/>
      </c>
    </row>
    <row r="1254" spans="29:30" x14ac:dyDescent="0.25">
      <c r="AC1254" s="70" t="str">
        <f>IF(AND(Sheet1!O1254="SIM",Sheet1!P1254="SIM"),"Sim","")</f>
        <v/>
      </c>
      <c r="AD1254" s="70" t="str">
        <f>IF(AC1254="sim",Sheet1!I1254,"")</f>
        <v/>
      </c>
    </row>
    <row r="1255" spans="29:30" x14ac:dyDescent="0.25">
      <c r="AC1255" s="70" t="str">
        <f>IF(AND(Sheet1!O1255="SIM",Sheet1!P1255="SIM"),"Sim","")</f>
        <v/>
      </c>
      <c r="AD1255" s="70" t="str">
        <f>IF(AC1255="sim",Sheet1!I1255,"")</f>
        <v/>
      </c>
    </row>
    <row r="1256" spans="29:30" x14ac:dyDescent="0.25">
      <c r="AC1256" s="70" t="str">
        <f>IF(AND(Sheet1!O1256="SIM",Sheet1!P1256="SIM"),"Sim","")</f>
        <v/>
      </c>
      <c r="AD1256" s="70" t="str">
        <f>IF(AC1256="sim",Sheet1!I1256,"")</f>
        <v/>
      </c>
    </row>
    <row r="1257" spans="29:30" x14ac:dyDescent="0.25">
      <c r="AC1257" s="70" t="str">
        <f>IF(AND(Sheet1!O1257="SIM",Sheet1!P1257="SIM"),"Sim","")</f>
        <v/>
      </c>
      <c r="AD1257" s="70" t="str">
        <f>IF(AC1257="sim",Sheet1!I1257,"")</f>
        <v/>
      </c>
    </row>
    <row r="1258" spans="29:30" x14ac:dyDescent="0.25">
      <c r="AC1258" s="70" t="str">
        <f>IF(AND(Sheet1!O1258="SIM",Sheet1!P1258="SIM"),"Sim","")</f>
        <v/>
      </c>
      <c r="AD1258" s="70" t="str">
        <f>IF(AC1258="sim",Sheet1!I1258,"")</f>
        <v/>
      </c>
    </row>
    <row r="1259" spans="29:30" x14ac:dyDescent="0.25">
      <c r="AC1259" s="70" t="str">
        <f>IF(AND(Sheet1!O1259="SIM",Sheet1!P1259="SIM"),"Sim","")</f>
        <v/>
      </c>
      <c r="AD1259" s="70" t="str">
        <f>IF(AC1259="sim",Sheet1!I1259,"")</f>
        <v/>
      </c>
    </row>
    <row r="1260" spans="29:30" x14ac:dyDescent="0.25">
      <c r="AC1260" s="70" t="str">
        <f>IF(AND(Sheet1!O1260="SIM",Sheet1!P1260="SIM"),"Sim","")</f>
        <v/>
      </c>
      <c r="AD1260" s="70" t="str">
        <f>IF(AC1260="sim",Sheet1!I1260,"")</f>
        <v/>
      </c>
    </row>
    <row r="1261" spans="29:30" x14ac:dyDescent="0.25">
      <c r="AC1261" s="70" t="str">
        <f>IF(AND(Sheet1!O1261="SIM",Sheet1!P1261="SIM"),"Sim","")</f>
        <v/>
      </c>
      <c r="AD1261" s="70" t="str">
        <f>IF(AC1261="sim",Sheet1!I1261,"")</f>
        <v/>
      </c>
    </row>
    <row r="1262" spans="29:30" x14ac:dyDescent="0.25">
      <c r="AC1262" s="70" t="str">
        <f>IF(AND(Sheet1!O1262="SIM",Sheet1!P1262="SIM"),"Sim","")</f>
        <v/>
      </c>
      <c r="AD1262" s="70" t="str">
        <f>IF(AC1262="sim",Sheet1!I1262,"")</f>
        <v/>
      </c>
    </row>
    <row r="1263" spans="29:30" x14ac:dyDescent="0.25">
      <c r="AC1263" s="70" t="str">
        <f>IF(AND(Sheet1!O1263="SIM",Sheet1!P1263="SIM"),"Sim","")</f>
        <v/>
      </c>
      <c r="AD1263" s="70" t="str">
        <f>IF(AC1263="sim",Sheet1!I1263,"")</f>
        <v/>
      </c>
    </row>
    <row r="1264" spans="29:30" x14ac:dyDescent="0.25">
      <c r="AC1264" s="70" t="str">
        <f>IF(AND(Sheet1!O1264="SIM",Sheet1!P1264="SIM"),"Sim","")</f>
        <v/>
      </c>
      <c r="AD1264" s="70" t="str">
        <f>IF(AC1264="sim",Sheet1!I1264,"")</f>
        <v/>
      </c>
    </row>
    <row r="1265" spans="29:30" x14ac:dyDescent="0.25">
      <c r="AC1265" s="70" t="str">
        <f>IF(AND(Sheet1!O1265="SIM",Sheet1!P1265="SIM"),"Sim","")</f>
        <v/>
      </c>
      <c r="AD1265" s="70" t="str">
        <f>IF(AC1265="sim",Sheet1!I1265,"")</f>
        <v/>
      </c>
    </row>
    <row r="1266" spans="29:30" x14ac:dyDescent="0.25">
      <c r="AC1266" s="70" t="str">
        <f>IF(AND(Sheet1!O1266="SIM",Sheet1!P1266="SIM"),"Sim","")</f>
        <v/>
      </c>
      <c r="AD1266" s="70" t="str">
        <f>IF(AC1266="sim",Sheet1!I1266,"")</f>
        <v/>
      </c>
    </row>
    <row r="1267" spans="29:30" x14ac:dyDescent="0.25">
      <c r="AC1267" s="70" t="str">
        <f>IF(AND(Sheet1!O1267="SIM",Sheet1!P1267="SIM"),"Sim","")</f>
        <v/>
      </c>
      <c r="AD1267" s="70" t="str">
        <f>IF(AC1267="sim",Sheet1!I1267,"")</f>
        <v/>
      </c>
    </row>
    <row r="1268" spans="29:30" x14ac:dyDescent="0.25">
      <c r="AC1268" s="70" t="str">
        <f>IF(AND(Sheet1!O1268="SIM",Sheet1!P1268="SIM"),"Sim","")</f>
        <v/>
      </c>
      <c r="AD1268" s="70" t="str">
        <f>IF(AC1268="sim",Sheet1!I1268,"")</f>
        <v/>
      </c>
    </row>
    <row r="1269" spans="29:30" x14ac:dyDescent="0.25">
      <c r="AC1269" s="70" t="str">
        <f>IF(AND(Sheet1!O1269="SIM",Sheet1!P1269="SIM"),"Sim","")</f>
        <v/>
      </c>
      <c r="AD1269" s="70" t="str">
        <f>IF(AC1269="sim",Sheet1!I1269,"")</f>
        <v/>
      </c>
    </row>
    <row r="1270" spans="29:30" x14ac:dyDescent="0.25">
      <c r="AC1270" s="70" t="str">
        <f>IF(AND(Sheet1!O1270="SIM",Sheet1!P1270="SIM"),"Sim","")</f>
        <v/>
      </c>
      <c r="AD1270" s="70" t="str">
        <f>IF(AC1270="sim",Sheet1!I1270,"")</f>
        <v/>
      </c>
    </row>
    <row r="1271" spans="29:30" x14ac:dyDescent="0.25">
      <c r="AC1271" s="70" t="str">
        <f>IF(AND(Sheet1!O1271="SIM",Sheet1!P1271="SIM"),"Sim","")</f>
        <v/>
      </c>
      <c r="AD1271" s="70" t="str">
        <f>IF(AC1271="sim",Sheet1!I1271,"")</f>
        <v/>
      </c>
    </row>
    <row r="1272" spans="29:30" x14ac:dyDescent="0.25">
      <c r="AC1272" s="70" t="str">
        <f>IF(AND(Sheet1!O1272="SIM",Sheet1!P1272="SIM"),"Sim","")</f>
        <v/>
      </c>
      <c r="AD1272" s="70" t="str">
        <f>IF(AC1272="sim",Sheet1!I1272,"")</f>
        <v/>
      </c>
    </row>
    <row r="1273" spans="29:30" x14ac:dyDescent="0.25">
      <c r="AC1273" s="70" t="str">
        <f>IF(AND(Sheet1!O1273="SIM",Sheet1!P1273="SIM"),"Sim","")</f>
        <v/>
      </c>
      <c r="AD1273" s="70" t="str">
        <f>IF(AC1273="sim",Sheet1!I1273,"")</f>
        <v/>
      </c>
    </row>
    <row r="1274" spans="29:30" x14ac:dyDescent="0.25">
      <c r="AC1274" s="70" t="str">
        <f>IF(AND(Sheet1!O1274="SIM",Sheet1!P1274="SIM"),"Sim","")</f>
        <v/>
      </c>
      <c r="AD1274" s="70" t="str">
        <f>IF(AC1274="sim",Sheet1!I1274,"")</f>
        <v/>
      </c>
    </row>
    <row r="1275" spans="29:30" x14ac:dyDescent="0.25">
      <c r="AC1275" s="70" t="str">
        <f>IF(AND(Sheet1!O1275="SIM",Sheet1!P1275="SIM"),"Sim","")</f>
        <v/>
      </c>
      <c r="AD1275" s="70" t="str">
        <f>IF(AC1275="sim",Sheet1!I1275,"")</f>
        <v/>
      </c>
    </row>
    <row r="1276" spans="29:30" x14ac:dyDescent="0.25">
      <c r="AC1276" s="70" t="str">
        <f>IF(AND(Sheet1!O1276="SIM",Sheet1!P1276="SIM"),"Sim","")</f>
        <v/>
      </c>
      <c r="AD1276" s="70" t="str">
        <f>IF(AC1276="sim",Sheet1!I1276,"")</f>
        <v/>
      </c>
    </row>
    <row r="1277" spans="29:30" x14ac:dyDescent="0.25">
      <c r="AC1277" s="70" t="str">
        <f>IF(AND(Sheet1!O1277="SIM",Sheet1!P1277="SIM"),"Sim","")</f>
        <v/>
      </c>
      <c r="AD1277" s="70" t="str">
        <f>IF(AC1277="sim",Sheet1!I1277,"")</f>
        <v/>
      </c>
    </row>
    <row r="1278" spans="29:30" x14ac:dyDescent="0.25">
      <c r="AC1278" s="70" t="str">
        <f>IF(AND(Sheet1!O1278="SIM",Sheet1!P1278="SIM"),"Sim","")</f>
        <v/>
      </c>
      <c r="AD1278" s="70" t="str">
        <f>IF(AC1278="sim",Sheet1!I1278,"")</f>
        <v/>
      </c>
    </row>
    <row r="1279" spans="29:30" x14ac:dyDescent="0.25">
      <c r="AC1279" s="70" t="str">
        <f>IF(AND(Sheet1!O1279="SIM",Sheet1!P1279="SIM"),"Sim","")</f>
        <v/>
      </c>
      <c r="AD1279" s="70" t="str">
        <f>IF(AC1279="sim",Sheet1!I1279,"")</f>
        <v/>
      </c>
    </row>
    <row r="1280" spans="29:30" x14ac:dyDescent="0.25">
      <c r="AC1280" s="70" t="str">
        <f>IF(AND(Sheet1!O1280="SIM",Sheet1!P1280="SIM"),"Sim","")</f>
        <v/>
      </c>
      <c r="AD1280" s="70" t="str">
        <f>IF(AC1280="sim",Sheet1!I1280,"")</f>
        <v/>
      </c>
    </row>
    <row r="1281" spans="29:30" x14ac:dyDescent="0.25">
      <c r="AC1281" s="70" t="str">
        <f>IF(AND(Sheet1!O1281="SIM",Sheet1!P1281="SIM"),"Sim","")</f>
        <v/>
      </c>
      <c r="AD1281" s="70" t="str">
        <f>IF(AC1281="sim",Sheet1!I1281,"")</f>
        <v/>
      </c>
    </row>
    <row r="1282" spans="29:30" x14ac:dyDescent="0.25">
      <c r="AC1282" s="70" t="str">
        <f>IF(AND(Sheet1!O1282="SIM",Sheet1!P1282="SIM"),"Sim","")</f>
        <v/>
      </c>
      <c r="AD1282" s="70" t="str">
        <f>IF(AC1282="sim",Sheet1!I1282,"")</f>
        <v/>
      </c>
    </row>
    <row r="1283" spans="29:30" x14ac:dyDescent="0.25">
      <c r="AC1283" s="70" t="str">
        <f>IF(AND(Sheet1!O1283="SIM",Sheet1!P1283="SIM"),"Sim","")</f>
        <v/>
      </c>
      <c r="AD1283" s="70" t="str">
        <f>IF(AC1283="sim",Sheet1!I1283,"")</f>
        <v/>
      </c>
    </row>
    <row r="1284" spans="29:30" x14ac:dyDescent="0.25">
      <c r="AC1284" s="70" t="str">
        <f>IF(AND(Sheet1!O1284="SIM",Sheet1!P1284="SIM"),"Sim","")</f>
        <v/>
      </c>
      <c r="AD1284" s="70" t="str">
        <f>IF(AC1284="sim",Sheet1!I1284,"")</f>
        <v/>
      </c>
    </row>
    <row r="1285" spans="29:30" x14ac:dyDescent="0.25">
      <c r="AC1285" s="70" t="str">
        <f>IF(AND(Sheet1!O1285="SIM",Sheet1!P1285="SIM"),"Sim","")</f>
        <v/>
      </c>
      <c r="AD1285" s="70" t="str">
        <f>IF(AC1285="sim",Sheet1!I1285,"")</f>
        <v/>
      </c>
    </row>
    <row r="1286" spans="29:30" x14ac:dyDescent="0.25">
      <c r="AC1286" s="70" t="str">
        <f>IF(AND(Sheet1!O1286="SIM",Sheet1!P1286="SIM"),"Sim","")</f>
        <v/>
      </c>
      <c r="AD1286" s="70" t="str">
        <f>IF(AC1286="sim",Sheet1!I1286,"")</f>
        <v/>
      </c>
    </row>
    <row r="1287" spans="29:30" x14ac:dyDescent="0.25">
      <c r="AC1287" s="70" t="str">
        <f>IF(AND(Sheet1!O1287="SIM",Sheet1!P1287="SIM"),"Sim","")</f>
        <v/>
      </c>
      <c r="AD1287" s="70" t="str">
        <f>IF(AC1287="sim",Sheet1!I1287,"")</f>
        <v/>
      </c>
    </row>
    <row r="1288" spans="29:30" x14ac:dyDescent="0.25">
      <c r="AC1288" s="70" t="str">
        <f>IF(AND(Sheet1!O1288="SIM",Sheet1!P1288="SIM"),"Sim","")</f>
        <v/>
      </c>
      <c r="AD1288" s="70" t="str">
        <f>IF(AC1288="sim",Sheet1!I1288,"")</f>
        <v/>
      </c>
    </row>
    <row r="1289" spans="29:30" x14ac:dyDescent="0.25">
      <c r="AC1289" s="70" t="str">
        <f>IF(AND(Sheet1!O1289="SIM",Sheet1!P1289="SIM"),"Sim","")</f>
        <v/>
      </c>
      <c r="AD1289" s="70" t="str">
        <f>IF(AC1289="sim",Sheet1!I1289,"")</f>
        <v/>
      </c>
    </row>
    <row r="1290" spans="29:30" x14ac:dyDescent="0.25">
      <c r="AC1290" s="70" t="str">
        <f>IF(AND(Sheet1!O1290="SIM",Sheet1!P1290="SIM"),"Sim","")</f>
        <v/>
      </c>
      <c r="AD1290" s="70" t="str">
        <f>IF(AC1290="sim",Sheet1!I1290,"")</f>
        <v/>
      </c>
    </row>
    <row r="1291" spans="29:30" x14ac:dyDescent="0.25">
      <c r="AC1291" s="70" t="str">
        <f>IF(AND(Sheet1!O1291="SIM",Sheet1!P1291="SIM"),"Sim","")</f>
        <v/>
      </c>
      <c r="AD1291" s="70" t="str">
        <f>IF(AC1291="sim",Sheet1!I1291,"")</f>
        <v/>
      </c>
    </row>
    <row r="1292" spans="29:30" x14ac:dyDescent="0.25">
      <c r="AC1292" s="70" t="str">
        <f>IF(AND(Sheet1!O1292="SIM",Sheet1!P1292="SIM"),"Sim","")</f>
        <v/>
      </c>
      <c r="AD1292" s="70" t="str">
        <f>IF(AC1292="sim",Sheet1!I1292,"")</f>
        <v/>
      </c>
    </row>
    <row r="1293" spans="29:30" x14ac:dyDescent="0.25">
      <c r="AC1293" s="70" t="str">
        <f>IF(AND(Sheet1!O1293="SIM",Sheet1!P1293="SIM"),"Sim","")</f>
        <v/>
      </c>
      <c r="AD1293" s="70" t="str">
        <f>IF(AC1293="sim",Sheet1!I1293,"")</f>
        <v/>
      </c>
    </row>
    <row r="1294" spans="29:30" x14ac:dyDescent="0.25">
      <c r="AC1294" s="70" t="str">
        <f>IF(AND(Sheet1!O1294="SIM",Sheet1!P1294="SIM"),"Sim","")</f>
        <v/>
      </c>
      <c r="AD1294" s="70" t="str">
        <f>IF(AC1294="sim",Sheet1!I1294,"")</f>
        <v/>
      </c>
    </row>
    <row r="1295" spans="29:30" x14ac:dyDescent="0.25">
      <c r="AC1295" s="70" t="str">
        <f>IF(AND(Sheet1!O1295="SIM",Sheet1!P1295="SIM"),"Sim","")</f>
        <v/>
      </c>
      <c r="AD1295" s="70" t="str">
        <f>IF(AC1295="sim",Sheet1!I1295,"")</f>
        <v/>
      </c>
    </row>
    <row r="1296" spans="29:30" x14ac:dyDescent="0.25">
      <c r="AC1296" s="70" t="str">
        <f>IF(AND(Sheet1!O1296="SIM",Sheet1!P1296="SIM"),"Sim","")</f>
        <v/>
      </c>
      <c r="AD1296" s="70" t="str">
        <f>IF(AC1296="sim",Sheet1!I1296,"")</f>
        <v/>
      </c>
    </row>
    <row r="1297" spans="29:30" x14ac:dyDescent="0.25">
      <c r="AC1297" s="70" t="str">
        <f>IF(AND(Sheet1!O1297="SIM",Sheet1!P1297="SIM"),"Sim","")</f>
        <v/>
      </c>
      <c r="AD1297" s="70" t="str">
        <f>IF(AC1297="sim",Sheet1!I1297,"")</f>
        <v/>
      </c>
    </row>
    <row r="1298" spans="29:30" x14ac:dyDescent="0.25">
      <c r="AC1298" s="70" t="str">
        <f>IF(AND(Sheet1!O1298="SIM",Sheet1!P1298="SIM"),"Sim","")</f>
        <v/>
      </c>
      <c r="AD1298" s="70" t="str">
        <f>IF(AC1298="sim",Sheet1!I1298,"")</f>
        <v/>
      </c>
    </row>
    <row r="1299" spans="29:30" x14ac:dyDescent="0.25">
      <c r="AC1299" s="70" t="str">
        <f>IF(AND(Sheet1!O1299="SIM",Sheet1!P1299="SIM"),"Sim","")</f>
        <v/>
      </c>
      <c r="AD1299" s="70" t="str">
        <f>IF(AC1299="sim",Sheet1!I1299,"")</f>
        <v/>
      </c>
    </row>
    <row r="1300" spans="29:30" x14ac:dyDescent="0.25">
      <c r="AC1300" s="70" t="str">
        <f>IF(AND(Sheet1!O1300="SIM",Sheet1!P1300="SIM"),"Sim","")</f>
        <v/>
      </c>
      <c r="AD1300" s="70" t="str">
        <f>IF(AC1300="sim",Sheet1!I1300,"")</f>
        <v/>
      </c>
    </row>
    <row r="1301" spans="29:30" x14ac:dyDescent="0.25">
      <c r="AC1301" s="70" t="str">
        <f>IF(AND(Sheet1!O1301="SIM",Sheet1!P1301="SIM"),"Sim","")</f>
        <v/>
      </c>
      <c r="AD1301" s="70" t="str">
        <f>IF(AC1301="sim",Sheet1!I1301,"")</f>
        <v/>
      </c>
    </row>
    <row r="1302" spans="29:30" x14ac:dyDescent="0.25">
      <c r="AC1302" s="70" t="str">
        <f>IF(AND(Sheet1!O1302="SIM",Sheet1!P1302="SIM"),"Sim","")</f>
        <v/>
      </c>
      <c r="AD1302" s="70" t="str">
        <f>IF(AC1302="sim",Sheet1!I1302,"")</f>
        <v/>
      </c>
    </row>
    <row r="1303" spans="29:30" x14ac:dyDescent="0.25">
      <c r="AC1303" s="70" t="str">
        <f>IF(AND(Sheet1!O1303="SIM",Sheet1!P1303="SIM"),"Sim","")</f>
        <v/>
      </c>
      <c r="AD1303" s="70" t="str">
        <f>IF(AC1303="sim",Sheet1!I1303,"")</f>
        <v/>
      </c>
    </row>
    <row r="1304" spans="29:30" x14ac:dyDescent="0.25">
      <c r="AC1304" s="70" t="str">
        <f>IF(AND(Sheet1!O1304="SIM",Sheet1!P1304="SIM"),"Sim","")</f>
        <v/>
      </c>
      <c r="AD1304" s="70" t="str">
        <f>IF(AC1304="sim",Sheet1!I1304,"")</f>
        <v/>
      </c>
    </row>
    <row r="1305" spans="29:30" x14ac:dyDescent="0.25">
      <c r="AC1305" s="70" t="str">
        <f>IF(AND(Sheet1!O1305="SIM",Sheet1!P1305="SIM"),"Sim","")</f>
        <v/>
      </c>
      <c r="AD1305" s="70" t="str">
        <f>IF(AC1305="sim",Sheet1!I1305,"")</f>
        <v/>
      </c>
    </row>
    <row r="1306" spans="29:30" x14ac:dyDescent="0.25">
      <c r="AC1306" s="70" t="str">
        <f>IF(AND(Sheet1!O1306="SIM",Sheet1!P1306="SIM"),"Sim","")</f>
        <v/>
      </c>
      <c r="AD1306" s="70" t="str">
        <f>IF(AC1306="sim",Sheet1!I1306,"")</f>
        <v/>
      </c>
    </row>
    <row r="1307" spans="29:30" x14ac:dyDescent="0.25">
      <c r="AC1307" s="70" t="str">
        <f>IF(AND(Sheet1!O1307="SIM",Sheet1!P1307="SIM"),"Sim","")</f>
        <v/>
      </c>
      <c r="AD1307" s="70" t="str">
        <f>IF(AC1307="sim",Sheet1!I1307,"")</f>
        <v/>
      </c>
    </row>
    <row r="1308" spans="29:30" x14ac:dyDescent="0.25">
      <c r="AC1308" s="70" t="str">
        <f>IF(AND(Sheet1!O1308="SIM",Sheet1!P1308="SIM"),"Sim","")</f>
        <v/>
      </c>
      <c r="AD1308" s="70" t="str">
        <f>IF(AC1308="sim",Sheet1!I1308,"")</f>
        <v/>
      </c>
    </row>
    <row r="1309" spans="29:30" x14ac:dyDescent="0.25">
      <c r="AC1309" s="70" t="str">
        <f>IF(AND(Sheet1!O1309="SIM",Sheet1!P1309="SIM"),"Sim","")</f>
        <v/>
      </c>
      <c r="AD1309" s="70" t="str">
        <f>IF(AC1309="sim",Sheet1!I1309,"")</f>
        <v/>
      </c>
    </row>
    <row r="1310" spans="29:30" x14ac:dyDescent="0.25">
      <c r="AC1310" s="70" t="str">
        <f>IF(AND(Sheet1!O1310="SIM",Sheet1!P1310="SIM"),"Sim","")</f>
        <v/>
      </c>
      <c r="AD1310" s="70" t="str">
        <f>IF(AC1310="sim",Sheet1!I1310,"")</f>
        <v/>
      </c>
    </row>
    <row r="1311" spans="29:30" x14ac:dyDescent="0.25">
      <c r="AC1311" s="70" t="str">
        <f>IF(AND(Sheet1!O1311="SIM",Sheet1!P1311="SIM"),"Sim","")</f>
        <v/>
      </c>
      <c r="AD1311" s="70" t="str">
        <f>IF(AC1311="sim",Sheet1!I1311,"")</f>
        <v/>
      </c>
    </row>
    <row r="1312" spans="29:30" x14ac:dyDescent="0.25">
      <c r="AC1312" s="70" t="str">
        <f>IF(AND(Sheet1!O1312="SIM",Sheet1!P1312="SIM"),"Sim","")</f>
        <v/>
      </c>
      <c r="AD1312" s="70" t="str">
        <f>IF(AC1312="sim",Sheet1!I1312,"")</f>
        <v/>
      </c>
    </row>
    <row r="1313" spans="29:30" x14ac:dyDescent="0.25">
      <c r="AC1313" s="70" t="str">
        <f>IF(AND(Sheet1!O1313="SIM",Sheet1!P1313="SIM"),"Sim","")</f>
        <v/>
      </c>
      <c r="AD1313" s="70" t="str">
        <f>IF(AC1313="sim",Sheet1!I1313,"")</f>
        <v/>
      </c>
    </row>
    <row r="1314" spans="29:30" x14ac:dyDescent="0.25">
      <c r="AC1314" s="70" t="str">
        <f>IF(AND(Sheet1!O1314="SIM",Sheet1!P1314="SIM"),"Sim","")</f>
        <v/>
      </c>
      <c r="AD1314" s="70" t="str">
        <f>IF(AC1314="sim",Sheet1!I1314,"")</f>
        <v/>
      </c>
    </row>
    <row r="1315" spans="29:30" x14ac:dyDescent="0.25">
      <c r="AC1315" s="70" t="str">
        <f>IF(AND(Sheet1!O1315="SIM",Sheet1!P1315="SIM"),"Sim","")</f>
        <v/>
      </c>
      <c r="AD1315" s="70" t="str">
        <f>IF(AC1315="sim",Sheet1!I1315,"")</f>
        <v/>
      </c>
    </row>
    <row r="1316" spans="29:30" x14ac:dyDescent="0.25">
      <c r="AC1316" s="70" t="str">
        <f>IF(AND(Sheet1!O1316="SIM",Sheet1!P1316="SIM"),"Sim","")</f>
        <v/>
      </c>
      <c r="AD1316" s="70" t="str">
        <f>IF(AC1316="sim",Sheet1!I1316,"")</f>
        <v/>
      </c>
    </row>
    <row r="1317" spans="29:30" x14ac:dyDescent="0.25">
      <c r="AC1317" s="70" t="str">
        <f>IF(AND(Sheet1!O1317="SIM",Sheet1!P1317="SIM"),"Sim","")</f>
        <v/>
      </c>
      <c r="AD1317" s="70" t="str">
        <f>IF(AC1317="sim",Sheet1!I1317,"")</f>
        <v/>
      </c>
    </row>
    <row r="1318" spans="29:30" x14ac:dyDescent="0.25">
      <c r="AC1318" s="70" t="str">
        <f>IF(AND(Sheet1!O1318="SIM",Sheet1!P1318="SIM"),"Sim","")</f>
        <v/>
      </c>
      <c r="AD1318" s="70" t="str">
        <f>IF(AC1318="sim",Sheet1!I1318,"")</f>
        <v/>
      </c>
    </row>
    <row r="1319" spans="29:30" x14ac:dyDescent="0.25">
      <c r="AC1319" s="70" t="str">
        <f>IF(AND(Sheet1!O1319="SIM",Sheet1!P1319="SIM"),"Sim","")</f>
        <v/>
      </c>
      <c r="AD1319" s="70" t="str">
        <f>IF(AC1319="sim",Sheet1!I1319,"")</f>
        <v/>
      </c>
    </row>
    <row r="1320" spans="29:30" x14ac:dyDescent="0.25">
      <c r="AC1320" s="70" t="str">
        <f>IF(AND(Sheet1!O1320="SIM",Sheet1!P1320="SIM"),"Sim","")</f>
        <v/>
      </c>
      <c r="AD1320" s="70" t="str">
        <f>IF(AC1320="sim",Sheet1!I1320,"")</f>
        <v/>
      </c>
    </row>
    <row r="1321" spans="29:30" x14ac:dyDescent="0.25">
      <c r="AC1321" s="70" t="str">
        <f>IF(AND(Sheet1!O1321="SIM",Sheet1!P1321="SIM"),"Sim","")</f>
        <v/>
      </c>
      <c r="AD1321" s="70" t="str">
        <f>IF(AC1321="sim",Sheet1!I1321,"")</f>
        <v/>
      </c>
    </row>
    <row r="1322" spans="29:30" x14ac:dyDescent="0.25">
      <c r="AC1322" s="70" t="str">
        <f>IF(AND(Sheet1!O1322="SIM",Sheet1!P1322="SIM"),"Sim","")</f>
        <v/>
      </c>
      <c r="AD1322" s="70" t="str">
        <f>IF(AC1322="sim",Sheet1!I1322,"")</f>
        <v/>
      </c>
    </row>
    <row r="1323" spans="29:30" x14ac:dyDescent="0.25">
      <c r="AC1323" s="70" t="str">
        <f>IF(AND(Sheet1!O1323="SIM",Sheet1!P1323="SIM"),"Sim","")</f>
        <v/>
      </c>
      <c r="AD1323" s="70" t="str">
        <f>IF(AC1323="sim",Sheet1!I1323,"")</f>
        <v/>
      </c>
    </row>
    <row r="1324" spans="29:30" x14ac:dyDescent="0.25">
      <c r="AC1324" s="70" t="str">
        <f>IF(AND(Sheet1!O1324="SIM",Sheet1!P1324="SIM"),"Sim","")</f>
        <v/>
      </c>
      <c r="AD1324" s="70" t="str">
        <f>IF(AC1324="sim",Sheet1!I1324,"")</f>
        <v/>
      </c>
    </row>
    <row r="1325" spans="29:30" x14ac:dyDescent="0.25">
      <c r="AC1325" s="70" t="str">
        <f>IF(AND(Sheet1!O1325="SIM",Sheet1!P1325="SIM"),"Sim","")</f>
        <v/>
      </c>
      <c r="AD1325" s="70" t="str">
        <f>IF(AC1325="sim",Sheet1!I1325,"")</f>
        <v/>
      </c>
    </row>
    <row r="1326" spans="29:30" x14ac:dyDescent="0.25">
      <c r="AC1326" s="70" t="str">
        <f>IF(AND(Sheet1!O1326="SIM",Sheet1!P1326="SIM"),"Sim","")</f>
        <v/>
      </c>
      <c r="AD1326" s="70" t="str">
        <f>IF(AC1326="sim",Sheet1!I1326,"")</f>
        <v/>
      </c>
    </row>
    <row r="1327" spans="29:30" x14ac:dyDescent="0.25">
      <c r="AC1327" s="70" t="str">
        <f>IF(AND(Sheet1!O1327="SIM",Sheet1!P1327="SIM"),"Sim","")</f>
        <v/>
      </c>
      <c r="AD1327" s="70" t="str">
        <f>IF(AC1327="sim",Sheet1!I1327,"")</f>
        <v/>
      </c>
    </row>
    <row r="1328" spans="29:30" x14ac:dyDescent="0.25">
      <c r="AC1328" s="70" t="str">
        <f>IF(AND(Sheet1!O1328="SIM",Sheet1!P1328="SIM"),"Sim","")</f>
        <v/>
      </c>
      <c r="AD1328" s="70" t="str">
        <f>IF(AC1328="sim",Sheet1!I1328,"")</f>
        <v/>
      </c>
    </row>
    <row r="1329" spans="29:30" x14ac:dyDescent="0.25">
      <c r="AC1329" s="70" t="str">
        <f>IF(AND(Sheet1!O1329="SIM",Sheet1!P1329="SIM"),"Sim","")</f>
        <v/>
      </c>
      <c r="AD1329" s="70" t="str">
        <f>IF(AC1329="sim",Sheet1!I1329,"")</f>
        <v/>
      </c>
    </row>
    <row r="1330" spans="29:30" x14ac:dyDescent="0.25">
      <c r="AC1330" s="70" t="str">
        <f>IF(AND(Sheet1!O1330="SIM",Sheet1!P1330="SIM"),"Sim","")</f>
        <v/>
      </c>
      <c r="AD1330" s="70" t="str">
        <f>IF(AC1330="sim",Sheet1!I1330,"")</f>
        <v/>
      </c>
    </row>
    <row r="1331" spans="29:30" x14ac:dyDescent="0.25">
      <c r="AC1331" s="70" t="str">
        <f>IF(AND(Sheet1!O1331="SIM",Sheet1!P1331="SIM"),"Sim","")</f>
        <v/>
      </c>
      <c r="AD1331" s="70" t="str">
        <f>IF(AC1331="sim",Sheet1!I1331,"")</f>
        <v/>
      </c>
    </row>
    <row r="1332" spans="29:30" x14ac:dyDescent="0.25">
      <c r="AC1332" s="70" t="str">
        <f>IF(AND(Sheet1!O1332="SIM",Sheet1!P1332="SIM"),"Sim","")</f>
        <v/>
      </c>
      <c r="AD1332" s="70" t="str">
        <f>IF(AC1332="sim",Sheet1!I1332,"")</f>
        <v/>
      </c>
    </row>
    <row r="1333" spans="29:30" x14ac:dyDescent="0.25">
      <c r="AC1333" s="70" t="str">
        <f>IF(AND(Sheet1!O1333="SIM",Sheet1!P1333="SIM"),"Sim","")</f>
        <v/>
      </c>
      <c r="AD1333" s="70" t="str">
        <f>IF(AC1333="sim",Sheet1!I1333,"")</f>
        <v/>
      </c>
    </row>
    <row r="1334" spans="29:30" x14ac:dyDescent="0.25">
      <c r="AC1334" s="70" t="str">
        <f>IF(AND(Sheet1!O1334="SIM",Sheet1!P1334="SIM"),"Sim","")</f>
        <v/>
      </c>
      <c r="AD1334" s="70" t="str">
        <f>IF(AC1334="sim",Sheet1!I1334,"")</f>
        <v/>
      </c>
    </row>
    <row r="1335" spans="29:30" x14ac:dyDescent="0.25">
      <c r="AC1335" s="70" t="str">
        <f>IF(AND(Sheet1!O1335="SIM",Sheet1!P1335="SIM"),"Sim","")</f>
        <v/>
      </c>
      <c r="AD1335" s="70" t="str">
        <f>IF(AC1335="sim",Sheet1!I1335,"")</f>
        <v/>
      </c>
    </row>
    <row r="1336" spans="29:30" x14ac:dyDescent="0.25">
      <c r="AC1336" s="70" t="str">
        <f>IF(AND(Sheet1!O1336="SIM",Sheet1!P1336="SIM"),"Sim","")</f>
        <v/>
      </c>
      <c r="AD1336" s="70" t="str">
        <f>IF(AC1336="sim",Sheet1!I1336,"")</f>
        <v/>
      </c>
    </row>
    <row r="1337" spans="29:30" x14ac:dyDescent="0.25">
      <c r="AC1337" s="70" t="str">
        <f>IF(AND(Sheet1!O1337="SIM",Sheet1!P1337="SIM"),"Sim","")</f>
        <v/>
      </c>
      <c r="AD1337" s="70" t="str">
        <f>IF(AC1337="sim",Sheet1!I1337,"")</f>
        <v/>
      </c>
    </row>
    <row r="1338" spans="29:30" x14ac:dyDescent="0.25">
      <c r="AC1338" s="70" t="str">
        <f>IF(AND(Sheet1!O1338="SIM",Sheet1!P1338="SIM"),"Sim","")</f>
        <v/>
      </c>
      <c r="AD1338" s="70" t="str">
        <f>IF(AC1338="sim",Sheet1!I1338,"")</f>
        <v/>
      </c>
    </row>
    <row r="1339" spans="29:30" x14ac:dyDescent="0.25">
      <c r="AC1339" s="70" t="str">
        <f>IF(AND(Sheet1!O1339="SIM",Sheet1!P1339="SIM"),"Sim","")</f>
        <v/>
      </c>
      <c r="AD1339" s="70" t="str">
        <f>IF(AC1339="sim",Sheet1!I1339,"")</f>
        <v/>
      </c>
    </row>
    <row r="1340" spans="29:30" x14ac:dyDescent="0.25">
      <c r="AC1340" s="70" t="str">
        <f>IF(AND(Sheet1!O1340="SIM",Sheet1!P1340="SIM"),"Sim","")</f>
        <v/>
      </c>
      <c r="AD1340" s="70" t="str">
        <f>IF(AC1340="sim",Sheet1!I1340,"")</f>
        <v/>
      </c>
    </row>
    <row r="1341" spans="29:30" x14ac:dyDescent="0.25">
      <c r="AC1341" s="70" t="str">
        <f>IF(AND(Sheet1!O1341="SIM",Sheet1!P1341="SIM"),"Sim","")</f>
        <v/>
      </c>
      <c r="AD1341" s="70" t="str">
        <f>IF(AC1341="sim",Sheet1!I1341,"")</f>
        <v/>
      </c>
    </row>
    <row r="1342" spans="29:30" x14ac:dyDescent="0.25">
      <c r="AC1342" s="70" t="str">
        <f>IF(AND(Sheet1!O1342="SIM",Sheet1!P1342="SIM"),"Sim","")</f>
        <v/>
      </c>
      <c r="AD1342" s="70" t="str">
        <f>IF(AC1342="sim",Sheet1!I1342,"")</f>
        <v/>
      </c>
    </row>
    <row r="1343" spans="29:30" x14ac:dyDescent="0.25">
      <c r="AC1343" s="70" t="str">
        <f>IF(AND(Sheet1!O1343="SIM",Sheet1!P1343="SIM"),"Sim","")</f>
        <v/>
      </c>
      <c r="AD1343" s="70" t="str">
        <f>IF(AC1343="sim",Sheet1!I1343,"")</f>
        <v/>
      </c>
    </row>
    <row r="1344" spans="29:30" x14ac:dyDescent="0.25">
      <c r="AC1344" s="70" t="str">
        <f>IF(AND(Sheet1!O1344="SIM",Sheet1!P1344="SIM"),"Sim","")</f>
        <v/>
      </c>
      <c r="AD1344" s="70" t="str">
        <f>IF(AC1344="sim",Sheet1!I1344,"")</f>
        <v/>
      </c>
    </row>
    <row r="1345" spans="29:30" x14ac:dyDescent="0.25">
      <c r="AC1345" s="70" t="str">
        <f>IF(AND(Sheet1!O1345="SIM",Sheet1!P1345="SIM"),"Sim","")</f>
        <v/>
      </c>
      <c r="AD1345" s="70" t="str">
        <f>IF(AC1345="sim",Sheet1!I1345,"")</f>
        <v/>
      </c>
    </row>
    <row r="1346" spans="29:30" x14ac:dyDescent="0.25">
      <c r="AC1346" s="70" t="str">
        <f>IF(AND(Sheet1!O1346="SIM",Sheet1!P1346="SIM"),"Sim","")</f>
        <v/>
      </c>
      <c r="AD1346" s="70" t="str">
        <f>IF(AC1346="sim",Sheet1!I1346,"")</f>
        <v/>
      </c>
    </row>
    <row r="1347" spans="29:30" x14ac:dyDescent="0.25">
      <c r="AC1347" s="70" t="str">
        <f>IF(AND(Sheet1!O1347="SIM",Sheet1!P1347="SIM"),"Sim","")</f>
        <v/>
      </c>
      <c r="AD1347" s="70" t="str">
        <f>IF(AC1347="sim",Sheet1!I1347,"")</f>
        <v/>
      </c>
    </row>
    <row r="1348" spans="29:30" x14ac:dyDescent="0.25">
      <c r="AC1348" s="70" t="str">
        <f>IF(AND(Sheet1!O1348="SIM",Sheet1!P1348="SIM"),"Sim","")</f>
        <v/>
      </c>
      <c r="AD1348" s="70" t="str">
        <f>IF(AC1348="sim",Sheet1!I1348,"")</f>
        <v/>
      </c>
    </row>
    <row r="1349" spans="29:30" x14ac:dyDescent="0.25">
      <c r="AC1349" s="70" t="str">
        <f>IF(AND(Sheet1!O1349="SIM",Sheet1!P1349="SIM"),"Sim","")</f>
        <v/>
      </c>
      <c r="AD1349" s="70" t="str">
        <f>IF(AC1349="sim",Sheet1!I1349,"")</f>
        <v/>
      </c>
    </row>
    <row r="1350" spans="29:30" x14ac:dyDescent="0.25">
      <c r="AC1350" s="70" t="str">
        <f>IF(AND(Sheet1!O1350="SIM",Sheet1!P1350="SIM"),"Sim","")</f>
        <v/>
      </c>
      <c r="AD1350" s="70" t="str">
        <f>IF(AC1350="sim",Sheet1!I1350,"")</f>
        <v/>
      </c>
    </row>
    <row r="1351" spans="29:30" x14ac:dyDescent="0.25">
      <c r="AC1351" s="70" t="str">
        <f>IF(AND(Sheet1!O1351="SIM",Sheet1!P1351="SIM"),"Sim","")</f>
        <v/>
      </c>
      <c r="AD1351" s="70" t="str">
        <f>IF(AC1351="sim",Sheet1!I1351,"")</f>
        <v/>
      </c>
    </row>
    <row r="1352" spans="29:30" x14ac:dyDescent="0.25">
      <c r="AC1352" s="70" t="str">
        <f>IF(AND(Sheet1!O1352="SIM",Sheet1!P1352="SIM"),"Sim","")</f>
        <v/>
      </c>
      <c r="AD1352" s="70" t="str">
        <f>IF(AC1352="sim",Sheet1!I1352,"")</f>
        <v/>
      </c>
    </row>
    <row r="1353" spans="29:30" x14ac:dyDescent="0.25">
      <c r="AC1353" s="70" t="str">
        <f>IF(AND(Sheet1!O1353="SIM",Sheet1!P1353="SIM"),"Sim","")</f>
        <v/>
      </c>
      <c r="AD1353" s="70" t="str">
        <f>IF(AC1353="sim",Sheet1!I1353,"")</f>
        <v/>
      </c>
    </row>
    <row r="1354" spans="29:30" x14ac:dyDescent="0.25">
      <c r="AC1354" s="70" t="str">
        <f>IF(AND(Sheet1!O1354="SIM",Sheet1!P1354="SIM"),"Sim","")</f>
        <v/>
      </c>
      <c r="AD1354" s="70" t="str">
        <f>IF(AC1354="sim",Sheet1!I1354,"")</f>
        <v/>
      </c>
    </row>
    <row r="1355" spans="29:30" x14ac:dyDescent="0.25">
      <c r="AC1355" s="70" t="str">
        <f>IF(AND(Sheet1!O1355="SIM",Sheet1!P1355="SIM"),"Sim","")</f>
        <v/>
      </c>
      <c r="AD1355" s="70" t="str">
        <f>IF(AC1355="sim",Sheet1!I1355,"")</f>
        <v/>
      </c>
    </row>
    <row r="1356" spans="29:30" x14ac:dyDescent="0.25">
      <c r="AC1356" s="70" t="str">
        <f>IF(AND(Sheet1!O1356="SIM",Sheet1!P1356="SIM"),"Sim","")</f>
        <v/>
      </c>
      <c r="AD1356" s="70" t="str">
        <f>IF(AC1356="sim",Sheet1!I1356,"")</f>
        <v/>
      </c>
    </row>
    <row r="1357" spans="29:30" x14ac:dyDescent="0.25">
      <c r="AC1357" s="70" t="str">
        <f>IF(AND(Sheet1!O1357="SIM",Sheet1!P1357="SIM"),"Sim","")</f>
        <v/>
      </c>
      <c r="AD1357" s="70" t="str">
        <f>IF(AC1357="sim",Sheet1!I1357,"")</f>
        <v/>
      </c>
    </row>
    <row r="1358" spans="29:30" x14ac:dyDescent="0.25">
      <c r="AC1358" s="70" t="str">
        <f>IF(AND(Sheet1!O1358="SIM",Sheet1!P1358="SIM"),"Sim","")</f>
        <v/>
      </c>
      <c r="AD1358" s="70" t="str">
        <f>IF(AC1358="sim",Sheet1!I1358,"")</f>
        <v/>
      </c>
    </row>
    <row r="1359" spans="29:30" x14ac:dyDescent="0.25">
      <c r="AC1359" s="70" t="str">
        <f>IF(AND(Sheet1!O1359="SIM",Sheet1!P1359="SIM"),"Sim","")</f>
        <v/>
      </c>
      <c r="AD1359" s="70" t="str">
        <f>IF(AC1359="sim",Sheet1!I1359,"")</f>
        <v/>
      </c>
    </row>
    <row r="1360" spans="29:30" x14ac:dyDescent="0.25">
      <c r="AC1360" s="70" t="str">
        <f>IF(AND(Sheet1!O1360="SIM",Sheet1!P1360="SIM"),"Sim","")</f>
        <v/>
      </c>
      <c r="AD1360" s="70" t="str">
        <f>IF(AC1360="sim",Sheet1!I1360,"")</f>
        <v/>
      </c>
    </row>
    <row r="1361" spans="29:30" x14ac:dyDescent="0.25">
      <c r="AC1361" s="70" t="str">
        <f>IF(AND(Sheet1!O1361="SIM",Sheet1!P1361="SIM"),"Sim","")</f>
        <v/>
      </c>
      <c r="AD1361" s="70" t="str">
        <f>IF(AC1361="sim",Sheet1!I1361,"")</f>
        <v/>
      </c>
    </row>
    <row r="1362" spans="29:30" x14ac:dyDescent="0.25">
      <c r="AC1362" s="70" t="str">
        <f>IF(AND(Sheet1!O1362="SIM",Sheet1!P1362="SIM"),"Sim","")</f>
        <v/>
      </c>
      <c r="AD1362" s="70" t="str">
        <f>IF(AC1362="sim",Sheet1!I1362,"")</f>
        <v/>
      </c>
    </row>
    <row r="1363" spans="29:30" x14ac:dyDescent="0.25">
      <c r="AC1363" s="70" t="str">
        <f>IF(AND(Sheet1!O1363="SIM",Sheet1!P1363="SIM"),"Sim","")</f>
        <v/>
      </c>
      <c r="AD1363" s="70" t="str">
        <f>IF(AC1363="sim",Sheet1!I1363,"")</f>
        <v/>
      </c>
    </row>
    <row r="1364" spans="29:30" x14ac:dyDescent="0.25">
      <c r="AC1364" s="70" t="str">
        <f>IF(AND(Sheet1!O1364="SIM",Sheet1!P1364="SIM"),"Sim","")</f>
        <v/>
      </c>
      <c r="AD1364" s="70" t="str">
        <f>IF(AC1364="sim",Sheet1!I1364,"")</f>
        <v/>
      </c>
    </row>
    <row r="1365" spans="29:30" x14ac:dyDescent="0.25">
      <c r="AC1365" s="70" t="str">
        <f>IF(AND(Sheet1!O1365="SIM",Sheet1!P1365="SIM"),"Sim","")</f>
        <v/>
      </c>
      <c r="AD1365" s="70" t="str">
        <f>IF(AC1365="sim",Sheet1!I1365,"")</f>
        <v/>
      </c>
    </row>
    <row r="1366" spans="29:30" x14ac:dyDescent="0.25">
      <c r="AC1366" s="70" t="str">
        <f>IF(AND(Sheet1!O1366="SIM",Sheet1!P1366="SIM"),"Sim","")</f>
        <v/>
      </c>
      <c r="AD1366" s="70" t="str">
        <f>IF(AC1366="sim",Sheet1!I1366,"")</f>
        <v/>
      </c>
    </row>
    <row r="1367" spans="29:30" x14ac:dyDescent="0.25">
      <c r="AC1367" s="70" t="str">
        <f>IF(AND(Sheet1!O1367="SIM",Sheet1!P1367="SIM"),"Sim","")</f>
        <v/>
      </c>
      <c r="AD1367" s="70" t="str">
        <f>IF(AC1367="sim",Sheet1!I1367,"")</f>
        <v/>
      </c>
    </row>
    <row r="1368" spans="29:30" x14ac:dyDescent="0.25">
      <c r="AC1368" s="70" t="str">
        <f>IF(AND(Sheet1!O1368="SIM",Sheet1!P1368="SIM"),"Sim","")</f>
        <v/>
      </c>
      <c r="AD1368" s="70" t="str">
        <f>IF(AC1368="sim",Sheet1!I1368,"")</f>
        <v/>
      </c>
    </row>
    <row r="1369" spans="29:30" x14ac:dyDescent="0.25">
      <c r="AC1369" s="70" t="str">
        <f>IF(AND(Sheet1!O1369="SIM",Sheet1!P1369="SIM"),"Sim","")</f>
        <v/>
      </c>
      <c r="AD1369" s="70" t="str">
        <f>IF(AC1369="sim",Sheet1!I1369,"")</f>
        <v/>
      </c>
    </row>
    <row r="1370" spans="29:30" x14ac:dyDescent="0.25">
      <c r="AC1370" s="70" t="str">
        <f>IF(AND(Sheet1!O1370="SIM",Sheet1!P1370="SIM"),"Sim","")</f>
        <v/>
      </c>
      <c r="AD1370" s="70" t="str">
        <f>IF(AC1370="sim",Sheet1!I1370,"")</f>
        <v/>
      </c>
    </row>
    <row r="1371" spans="29:30" x14ac:dyDescent="0.25">
      <c r="AC1371" s="70" t="str">
        <f>IF(AND(Sheet1!O1371="SIM",Sheet1!P1371="SIM"),"Sim","")</f>
        <v/>
      </c>
      <c r="AD1371" s="70" t="str">
        <f>IF(AC1371="sim",Sheet1!I1371,"")</f>
        <v/>
      </c>
    </row>
    <row r="1372" spans="29:30" x14ac:dyDescent="0.25">
      <c r="AC1372" s="70" t="str">
        <f>IF(AND(Sheet1!O1372="SIM",Sheet1!P1372="SIM"),"Sim","")</f>
        <v/>
      </c>
      <c r="AD1372" s="70" t="str">
        <f>IF(AC1372="sim",Sheet1!I1372,"")</f>
        <v/>
      </c>
    </row>
    <row r="1373" spans="29:30" x14ac:dyDescent="0.25">
      <c r="AC1373" s="70" t="str">
        <f>IF(AND(Sheet1!O1373="SIM",Sheet1!P1373="SIM"),"Sim","")</f>
        <v/>
      </c>
      <c r="AD1373" s="70" t="str">
        <f>IF(AC1373="sim",Sheet1!I1373,"")</f>
        <v/>
      </c>
    </row>
    <row r="1374" spans="29:30" x14ac:dyDescent="0.25">
      <c r="AC1374" s="70" t="str">
        <f>IF(AND(Sheet1!O1374="SIM",Sheet1!P1374="SIM"),"Sim","")</f>
        <v/>
      </c>
      <c r="AD1374" s="70" t="str">
        <f>IF(AC1374="sim",Sheet1!I1374,"")</f>
        <v/>
      </c>
    </row>
    <row r="1375" spans="29:30" x14ac:dyDescent="0.25">
      <c r="AC1375" s="70" t="str">
        <f>IF(AND(Sheet1!O1375="SIM",Sheet1!P1375="SIM"),"Sim","")</f>
        <v/>
      </c>
      <c r="AD1375" s="70" t="str">
        <f>IF(AC1375="sim",Sheet1!I1375,"")</f>
        <v/>
      </c>
    </row>
    <row r="1376" spans="29:30" x14ac:dyDescent="0.25">
      <c r="AC1376" s="70" t="str">
        <f>IF(AND(Sheet1!O1376="SIM",Sheet1!P1376="SIM"),"Sim","")</f>
        <v/>
      </c>
      <c r="AD1376" s="70" t="str">
        <f>IF(AC1376="sim",Sheet1!I1376,"")</f>
        <v/>
      </c>
    </row>
    <row r="1377" spans="29:30" x14ac:dyDescent="0.25">
      <c r="AC1377" s="70" t="str">
        <f>IF(AND(Sheet1!O1377="SIM",Sheet1!P1377="SIM"),"Sim","")</f>
        <v/>
      </c>
      <c r="AD1377" s="70" t="str">
        <f>IF(AC1377="sim",Sheet1!I1377,"")</f>
        <v/>
      </c>
    </row>
    <row r="1378" spans="29:30" x14ac:dyDescent="0.25">
      <c r="AC1378" s="70" t="str">
        <f>IF(AND(Sheet1!O1378="SIM",Sheet1!P1378="SIM"),"Sim","")</f>
        <v/>
      </c>
      <c r="AD1378" s="70" t="str">
        <f>IF(AC1378="sim",Sheet1!I1378,"")</f>
        <v/>
      </c>
    </row>
    <row r="1379" spans="29:30" x14ac:dyDescent="0.25">
      <c r="AC1379" s="70" t="str">
        <f>IF(AND(Sheet1!O1379="SIM",Sheet1!P1379="SIM"),"Sim","")</f>
        <v/>
      </c>
      <c r="AD1379" s="70" t="str">
        <f>IF(AC1379="sim",Sheet1!I1379,"")</f>
        <v/>
      </c>
    </row>
    <row r="1380" spans="29:30" x14ac:dyDescent="0.25">
      <c r="AC1380" s="70" t="str">
        <f>IF(AND(Sheet1!O1380="SIM",Sheet1!P1380="SIM"),"Sim","")</f>
        <v/>
      </c>
      <c r="AD1380" s="70" t="str">
        <f>IF(AC1380="sim",Sheet1!I1380,"")</f>
        <v/>
      </c>
    </row>
    <row r="1381" spans="29:30" x14ac:dyDescent="0.25">
      <c r="AC1381" s="70" t="str">
        <f>IF(AND(Sheet1!O1381="SIM",Sheet1!P1381="SIM"),"Sim","")</f>
        <v/>
      </c>
      <c r="AD1381" s="70" t="str">
        <f>IF(AC1381="sim",Sheet1!I1381,"")</f>
        <v/>
      </c>
    </row>
    <row r="1382" spans="29:30" x14ac:dyDescent="0.25">
      <c r="AC1382" s="70" t="str">
        <f>IF(AND(Sheet1!O1382="SIM",Sheet1!P1382="SIM"),"Sim","")</f>
        <v/>
      </c>
      <c r="AD1382" s="70" t="str">
        <f>IF(AC1382="sim",Sheet1!I1382,"")</f>
        <v/>
      </c>
    </row>
    <row r="1383" spans="29:30" x14ac:dyDescent="0.25">
      <c r="AC1383" s="70" t="str">
        <f>IF(AND(Sheet1!O1383="SIM",Sheet1!P1383="SIM"),"Sim","")</f>
        <v/>
      </c>
      <c r="AD1383" s="70" t="str">
        <f>IF(AC1383="sim",Sheet1!I1383,"")</f>
        <v/>
      </c>
    </row>
    <row r="1384" spans="29:30" x14ac:dyDescent="0.25">
      <c r="AC1384" s="70" t="str">
        <f>IF(AND(Sheet1!O1384="SIM",Sheet1!P1384="SIM"),"Sim","")</f>
        <v/>
      </c>
      <c r="AD1384" s="70" t="str">
        <f>IF(AC1384="sim",Sheet1!I1384,"")</f>
        <v/>
      </c>
    </row>
    <row r="1385" spans="29:30" x14ac:dyDescent="0.25">
      <c r="AC1385" s="70" t="str">
        <f>IF(AND(Sheet1!O1385="SIM",Sheet1!P1385="SIM"),"Sim","")</f>
        <v/>
      </c>
      <c r="AD1385" s="70" t="str">
        <f>IF(AC1385="sim",Sheet1!I1385,"")</f>
        <v/>
      </c>
    </row>
    <row r="1386" spans="29:30" x14ac:dyDescent="0.25">
      <c r="AC1386" s="70" t="str">
        <f>IF(AND(Sheet1!O1386="SIM",Sheet1!P1386="SIM"),"Sim","")</f>
        <v/>
      </c>
      <c r="AD1386" s="70" t="str">
        <f>IF(AC1386="sim",Sheet1!I1386,"")</f>
        <v/>
      </c>
    </row>
    <row r="1387" spans="29:30" x14ac:dyDescent="0.25">
      <c r="AC1387" s="70" t="str">
        <f>IF(AND(Sheet1!O1387="SIM",Sheet1!P1387="SIM"),"Sim","")</f>
        <v/>
      </c>
      <c r="AD1387" s="70" t="str">
        <f>IF(AC1387="sim",Sheet1!I1387,"")</f>
        <v/>
      </c>
    </row>
    <row r="1388" spans="29:30" x14ac:dyDescent="0.25">
      <c r="AC1388" s="70" t="str">
        <f>IF(AND(Sheet1!O1388="SIM",Sheet1!P1388="SIM"),"Sim","")</f>
        <v/>
      </c>
      <c r="AD1388" s="70" t="str">
        <f>IF(AC1388="sim",Sheet1!I1388,"")</f>
        <v/>
      </c>
    </row>
    <row r="1389" spans="29:30" x14ac:dyDescent="0.25">
      <c r="AC1389" s="70" t="str">
        <f>IF(AND(Sheet1!O1389="SIM",Sheet1!P1389="SIM"),"Sim","")</f>
        <v/>
      </c>
      <c r="AD1389" s="70" t="str">
        <f>IF(AC1389="sim",Sheet1!I1389,"")</f>
        <v/>
      </c>
    </row>
    <row r="1390" spans="29:30" x14ac:dyDescent="0.25">
      <c r="AC1390" s="70" t="str">
        <f>IF(AND(Sheet1!O1390="SIM",Sheet1!P1390="SIM"),"Sim","")</f>
        <v/>
      </c>
      <c r="AD1390" s="70" t="str">
        <f>IF(AC1390="sim",Sheet1!I1390,"")</f>
        <v/>
      </c>
    </row>
    <row r="1391" spans="29:30" x14ac:dyDescent="0.25">
      <c r="AC1391" s="70" t="str">
        <f>IF(AND(Sheet1!O1391="SIM",Sheet1!P1391="SIM"),"Sim","")</f>
        <v/>
      </c>
      <c r="AD1391" s="70" t="str">
        <f>IF(AC1391="sim",Sheet1!I1391,"")</f>
        <v/>
      </c>
    </row>
    <row r="1392" spans="29:30" x14ac:dyDescent="0.25">
      <c r="AC1392" s="70" t="str">
        <f>IF(AND(Sheet1!O1392="SIM",Sheet1!P1392="SIM"),"Sim","")</f>
        <v/>
      </c>
      <c r="AD1392" s="70" t="str">
        <f>IF(AC1392="sim",Sheet1!I1392,"")</f>
        <v/>
      </c>
    </row>
    <row r="1393" spans="29:30" x14ac:dyDescent="0.25">
      <c r="AC1393" s="70" t="str">
        <f>IF(AND(Sheet1!O1393="SIM",Sheet1!P1393="SIM"),"Sim","")</f>
        <v/>
      </c>
      <c r="AD1393" s="70" t="str">
        <f>IF(AC1393="sim",Sheet1!I1393,"")</f>
        <v/>
      </c>
    </row>
    <row r="1394" spans="29:30" x14ac:dyDescent="0.25">
      <c r="AC1394" s="70" t="str">
        <f>IF(AND(Sheet1!O1394="SIM",Sheet1!P1394="SIM"),"Sim","")</f>
        <v/>
      </c>
      <c r="AD1394" s="70" t="str">
        <f>IF(AC1394="sim",Sheet1!I1394,"")</f>
        <v/>
      </c>
    </row>
    <row r="1395" spans="29:30" x14ac:dyDescent="0.25">
      <c r="AC1395" s="70" t="str">
        <f>IF(AND(Sheet1!O1395="SIM",Sheet1!P1395="SIM"),"Sim","")</f>
        <v/>
      </c>
      <c r="AD1395" s="70" t="str">
        <f>IF(AC1395="sim",Sheet1!I1395,"")</f>
        <v/>
      </c>
    </row>
    <row r="1396" spans="29:30" x14ac:dyDescent="0.25">
      <c r="AC1396" s="70" t="str">
        <f>IF(AND(Sheet1!O1396="SIM",Sheet1!P1396="SIM"),"Sim","")</f>
        <v/>
      </c>
      <c r="AD1396" s="70" t="str">
        <f>IF(AC1396="sim",Sheet1!I1396,"")</f>
        <v/>
      </c>
    </row>
    <row r="1397" spans="29:30" x14ac:dyDescent="0.25">
      <c r="AC1397" s="70" t="str">
        <f>IF(AND(Sheet1!O1397="SIM",Sheet1!P1397="SIM"),"Sim","")</f>
        <v/>
      </c>
      <c r="AD1397" s="70" t="str">
        <f>IF(AC1397="sim",Sheet1!I1397,"")</f>
        <v/>
      </c>
    </row>
    <row r="1398" spans="29:30" x14ac:dyDescent="0.25">
      <c r="AC1398" s="70" t="str">
        <f>IF(AND(Sheet1!O1398="SIM",Sheet1!P1398="SIM"),"Sim","")</f>
        <v/>
      </c>
      <c r="AD1398" s="70" t="str">
        <f>IF(AC1398="sim",Sheet1!I1398,"")</f>
        <v/>
      </c>
    </row>
    <row r="1399" spans="29:30" x14ac:dyDescent="0.25">
      <c r="AC1399" s="70" t="str">
        <f>IF(AND(Sheet1!O1399="SIM",Sheet1!P1399="SIM"),"Sim","")</f>
        <v/>
      </c>
      <c r="AD1399" s="70" t="str">
        <f>IF(AC1399="sim",Sheet1!I1399,"")</f>
        <v/>
      </c>
    </row>
    <row r="1400" spans="29:30" x14ac:dyDescent="0.25">
      <c r="AC1400" s="70" t="str">
        <f>IF(AND(Sheet1!O1400="SIM",Sheet1!P1400="SIM"),"Sim","")</f>
        <v/>
      </c>
      <c r="AD1400" s="70" t="str">
        <f>IF(AC1400="sim",Sheet1!I1400,"")</f>
        <v/>
      </c>
    </row>
    <row r="1401" spans="29:30" x14ac:dyDescent="0.25">
      <c r="AC1401" s="70" t="str">
        <f>IF(AND(Sheet1!O1401="SIM",Sheet1!P1401="SIM"),"Sim","")</f>
        <v/>
      </c>
      <c r="AD1401" s="70" t="str">
        <f>IF(AC1401="sim",Sheet1!I1401,"")</f>
        <v/>
      </c>
    </row>
    <row r="1402" spans="29:30" x14ac:dyDescent="0.25">
      <c r="AC1402" s="70" t="str">
        <f>IF(AND(Sheet1!O1402="SIM",Sheet1!P1402="SIM"),"Sim","")</f>
        <v/>
      </c>
      <c r="AD1402" s="70" t="str">
        <f>IF(AC1402="sim",Sheet1!I1402,"")</f>
        <v/>
      </c>
    </row>
    <row r="1403" spans="29:30" x14ac:dyDescent="0.25">
      <c r="AC1403" s="70" t="str">
        <f>IF(AND(Sheet1!O1403="SIM",Sheet1!P1403="SIM"),"Sim","")</f>
        <v/>
      </c>
      <c r="AD1403" s="70" t="str">
        <f>IF(AC1403="sim",Sheet1!I1403,"")</f>
        <v/>
      </c>
    </row>
    <row r="1404" spans="29:30" x14ac:dyDescent="0.25">
      <c r="AC1404" s="70" t="str">
        <f>IF(AND(Sheet1!O1404="SIM",Sheet1!P1404="SIM"),"Sim","")</f>
        <v/>
      </c>
      <c r="AD1404" s="70" t="str">
        <f>IF(AC1404="sim",Sheet1!I1404,"")</f>
        <v/>
      </c>
    </row>
    <row r="1405" spans="29:30" x14ac:dyDescent="0.25">
      <c r="AC1405" s="70" t="str">
        <f>IF(AND(Sheet1!O1405="SIM",Sheet1!P1405="SIM"),"Sim","")</f>
        <v/>
      </c>
      <c r="AD1405" s="70" t="str">
        <f>IF(AC1405="sim",Sheet1!I1405,"")</f>
        <v/>
      </c>
    </row>
    <row r="1406" spans="29:30" x14ac:dyDescent="0.25">
      <c r="AC1406" s="70" t="str">
        <f>IF(AND(Sheet1!O1406="SIM",Sheet1!P1406="SIM"),"Sim","")</f>
        <v/>
      </c>
      <c r="AD1406" s="70" t="str">
        <f>IF(AC1406="sim",Sheet1!I1406,"")</f>
        <v/>
      </c>
    </row>
    <row r="1407" spans="29:30" x14ac:dyDescent="0.25">
      <c r="AC1407" s="70" t="str">
        <f>IF(AND(Sheet1!O1407="SIM",Sheet1!P1407="SIM"),"Sim","")</f>
        <v/>
      </c>
      <c r="AD1407" s="70" t="str">
        <f>IF(AC1407="sim",Sheet1!I1407,"")</f>
        <v/>
      </c>
    </row>
    <row r="1408" spans="29:30" x14ac:dyDescent="0.25">
      <c r="AC1408" s="70" t="str">
        <f>IF(AND(Sheet1!O1408="SIM",Sheet1!P1408="SIM"),"Sim","")</f>
        <v/>
      </c>
      <c r="AD1408" s="70" t="str">
        <f>IF(AC1408="sim",Sheet1!I1408,"")</f>
        <v/>
      </c>
    </row>
    <row r="1409" spans="29:30" x14ac:dyDescent="0.25">
      <c r="AC1409" s="70" t="str">
        <f>IF(AND(Sheet1!O1409="SIM",Sheet1!P1409="SIM"),"Sim","")</f>
        <v/>
      </c>
      <c r="AD1409" s="70" t="str">
        <f>IF(AC1409="sim",Sheet1!I1409,"")</f>
        <v/>
      </c>
    </row>
    <row r="1410" spans="29:30" x14ac:dyDescent="0.25">
      <c r="AC1410" s="70" t="str">
        <f>IF(AND(Sheet1!O1410="SIM",Sheet1!P1410="SIM"),"Sim","")</f>
        <v/>
      </c>
      <c r="AD1410" s="70" t="str">
        <f>IF(AC1410="sim",Sheet1!I1410,"")</f>
        <v/>
      </c>
    </row>
    <row r="1411" spans="29:30" x14ac:dyDescent="0.25">
      <c r="AC1411" s="70" t="str">
        <f>IF(AND(Sheet1!O1411="SIM",Sheet1!P1411="SIM"),"Sim","")</f>
        <v/>
      </c>
      <c r="AD1411" s="70" t="str">
        <f>IF(AC1411="sim",Sheet1!I1411,"")</f>
        <v/>
      </c>
    </row>
    <row r="1412" spans="29:30" x14ac:dyDescent="0.25">
      <c r="AC1412" s="70" t="str">
        <f>IF(AND(Sheet1!O1412="SIM",Sheet1!P1412="SIM"),"Sim","")</f>
        <v/>
      </c>
      <c r="AD1412" s="70" t="str">
        <f>IF(AC1412="sim",Sheet1!I1412,"")</f>
        <v/>
      </c>
    </row>
    <row r="1413" spans="29:30" x14ac:dyDescent="0.25">
      <c r="AC1413" s="70" t="str">
        <f>IF(AND(Sheet1!O1413="SIM",Sheet1!P1413="SIM"),"Sim","")</f>
        <v/>
      </c>
      <c r="AD1413" s="70" t="str">
        <f>IF(AC1413="sim",Sheet1!I1413,"")</f>
        <v/>
      </c>
    </row>
    <row r="1414" spans="29:30" x14ac:dyDescent="0.25">
      <c r="AC1414" s="70" t="str">
        <f>IF(AND(Sheet1!O1414="SIM",Sheet1!P1414="SIM"),"Sim","")</f>
        <v/>
      </c>
      <c r="AD1414" s="70" t="str">
        <f>IF(AC1414="sim",Sheet1!I1414,"")</f>
        <v/>
      </c>
    </row>
    <row r="1415" spans="29:30" x14ac:dyDescent="0.25">
      <c r="AC1415" s="70" t="str">
        <f>IF(AND(Sheet1!O1415="SIM",Sheet1!P1415="SIM"),"Sim","")</f>
        <v/>
      </c>
      <c r="AD1415" s="70" t="str">
        <f>IF(AC1415="sim",Sheet1!I1415,"")</f>
        <v/>
      </c>
    </row>
    <row r="1416" spans="29:30" x14ac:dyDescent="0.25">
      <c r="AC1416" s="70" t="str">
        <f>IF(AND(Sheet1!O1416="SIM",Sheet1!P1416="SIM"),"Sim","")</f>
        <v/>
      </c>
      <c r="AD1416" s="70" t="str">
        <f>IF(AC1416="sim",Sheet1!I1416,"")</f>
        <v/>
      </c>
    </row>
    <row r="1417" spans="29:30" x14ac:dyDescent="0.25">
      <c r="AC1417" s="70" t="str">
        <f>IF(AND(Sheet1!O1417="SIM",Sheet1!P1417="SIM"),"Sim","")</f>
        <v/>
      </c>
      <c r="AD1417" s="70" t="str">
        <f>IF(AC1417="sim",Sheet1!I1417,"")</f>
        <v/>
      </c>
    </row>
    <row r="1418" spans="29:30" x14ac:dyDescent="0.25">
      <c r="AC1418" s="70" t="str">
        <f>IF(AND(Sheet1!O1418="SIM",Sheet1!P1418="SIM"),"Sim","")</f>
        <v/>
      </c>
      <c r="AD1418" s="70" t="str">
        <f>IF(AC1418="sim",Sheet1!I1418,"")</f>
        <v/>
      </c>
    </row>
    <row r="1419" spans="29:30" x14ac:dyDescent="0.25">
      <c r="AC1419" s="70" t="str">
        <f>IF(AND(Sheet1!O1419="SIM",Sheet1!P1419="SIM"),"Sim","")</f>
        <v/>
      </c>
      <c r="AD1419" s="70" t="str">
        <f>IF(AC1419="sim",Sheet1!I1419,"")</f>
        <v/>
      </c>
    </row>
    <row r="1420" spans="29:30" x14ac:dyDescent="0.25">
      <c r="AC1420" s="70" t="str">
        <f>IF(AND(Sheet1!O1420="SIM",Sheet1!P1420="SIM"),"Sim","")</f>
        <v/>
      </c>
      <c r="AD1420" s="70" t="str">
        <f>IF(AC1420="sim",Sheet1!I1420,"")</f>
        <v/>
      </c>
    </row>
    <row r="1421" spans="29:30" x14ac:dyDescent="0.25">
      <c r="AC1421" s="70" t="str">
        <f>IF(AND(Sheet1!O1421="SIM",Sheet1!P1421="SIM"),"Sim","")</f>
        <v/>
      </c>
      <c r="AD1421" s="70" t="str">
        <f>IF(AC1421="sim",Sheet1!I1421,"")</f>
        <v/>
      </c>
    </row>
    <row r="1422" spans="29:30" x14ac:dyDescent="0.25">
      <c r="AC1422" s="70" t="str">
        <f>IF(AND(Sheet1!O1422="SIM",Sheet1!P1422="SIM"),"Sim","")</f>
        <v/>
      </c>
      <c r="AD1422" s="70" t="str">
        <f>IF(AC1422="sim",Sheet1!I1422,"")</f>
        <v/>
      </c>
    </row>
    <row r="1423" spans="29:30" x14ac:dyDescent="0.25">
      <c r="AC1423" s="70" t="str">
        <f>IF(AND(Sheet1!O1423="SIM",Sheet1!P1423="SIM"),"Sim","")</f>
        <v/>
      </c>
      <c r="AD1423" s="70" t="str">
        <f>IF(AC1423="sim",Sheet1!I1423,"")</f>
        <v/>
      </c>
    </row>
    <row r="1424" spans="29:30" x14ac:dyDescent="0.25">
      <c r="AC1424" s="70" t="str">
        <f>IF(AND(Sheet1!O1424="SIM",Sheet1!P1424="SIM"),"Sim","")</f>
        <v/>
      </c>
      <c r="AD1424" s="70" t="str">
        <f>IF(AC1424="sim",Sheet1!I1424,"")</f>
        <v/>
      </c>
    </row>
    <row r="1425" spans="29:30" x14ac:dyDescent="0.25">
      <c r="AC1425" s="70" t="str">
        <f>IF(AND(Sheet1!O1425="SIM",Sheet1!P1425="SIM"),"Sim","")</f>
        <v/>
      </c>
      <c r="AD1425" s="70" t="str">
        <f>IF(AC1425="sim",Sheet1!I1425,"")</f>
        <v/>
      </c>
    </row>
    <row r="1426" spans="29:30" x14ac:dyDescent="0.25">
      <c r="AC1426" s="70" t="str">
        <f>IF(AND(Sheet1!O1426="SIM",Sheet1!P1426="SIM"),"Sim","")</f>
        <v/>
      </c>
      <c r="AD1426" s="70" t="str">
        <f>IF(AC1426="sim",Sheet1!I1426,"")</f>
        <v/>
      </c>
    </row>
    <row r="1427" spans="29:30" x14ac:dyDescent="0.25">
      <c r="AC1427" s="70" t="str">
        <f>IF(AND(Sheet1!O1427="SIM",Sheet1!P1427="SIM"),"Sim","")</f>
        <v/>
      </c>
      <c r="AD1427" s="70" t="str">
        <f>IF(AC1427="sim",Sheet1!I1427,"")</f>
        <v/>
      </c>
    </row>
    <row r="1428" spans="29:30" x14ac:dyDescent="0.25">
      <c r="AC1428" s="70" t="str">
        <f>IF(AND(Sheet1!O1428="SIM",Sheet1!P1428="SIM"),"Sim","")</f>
        <v/>
      </c>
      <c r="AD1428" s="70" t="str">
        <f>IF(AC1428="sim",Sheet1!I1428,"")</f>
        <v/>
      </c>
    </row>
    <row r="1429" spans="29:30" x14ac:dyDescent="0.25">
      <c r="AC1429" s="70" t="str">
        <f>IF(AND(Sheet1!O1429="SIM",Sheet1!P1429="SIM"),"Sim","")</f>
        <v/>
      </c>
      <c r="AD1429" s="70" t="str">
        <f>IF(AC1429="sim",Sheet1!I1429,"")</f>
        <v/>
      </c>
    </row>
    <row r="1430" spans="29:30" x14ac:dyDescent="0.25">
      <c r="AC1430" s="70" t="str">
        <f>IF(AND(Sheet1!O1430="SIM",Sheet1!P1430="SIM"),"Sim","")</f>
        <v/>
      </c>
      <c r="AD1430" s="70" t="str">
        <f>IF(AC1430="sim",Sheet1!I1430,"")</f>
        <v/>
      </c>
    </row>
    <row r="1431" spans="29:30" x14ac:dyDescent="0.25">
      <c r="AC1431" s="70" t="str">
        <f>IF(AND(Sheet1!O1431="SIM",Sheet1!P1431="SIM"),"Sim","")</f>
        <v/>
      </c>
      <c r="AD1431" s="70" t="str">
        <f>IF(AC1431="sim",Sheet1!I1431,"")</f>
        <v/>
      </c>
    </row>
    <row r="1432" spans="29:30" x14ac:dyDescent="0.25">
      <c r="AC1432" s="70" t="str">
        <f>IF(AND(Sheet1!O1432="SIM",Sheet1!P1432="SIM"),"Sim","")</f>
        <v/>
      </c>
      <c r="AD1432" s="70" t="str">
        <f>IF(AC1432="sim",Sheet1!I1432,"")</f>
        <v/>
      </c>
    </row>
    <row r="1433" spans="29:30" x14ac:dyDescent="0.25">
      <c r="AC1433" s="70" t="str">
        <f>IF(AND(Sheet1!O1433="SIM",Sheet1!P1433="SIM"),"Sim","")</f>
        <v/>
      </c>
      <c r="AD1433" s="70" t="str">
        <f>IF(AC1433="sim",Sheet1!I1433,"")</f>
        <v/>
      </c>
    </row>
    <row r="1434" spans="29:30" x14ac:dyDescent="0.25">
      <c r="AC1434" s="70" t="str">
        <f>IF(AND(Sheet1!O1434="SIM",Sheet1!P1434="SIM"),"Sim","")</f>
        <v/>
      </c>
      <c r="AD1434" s="70" t="str">
        <f>IF(AC1434="sim",Sheet1!I1434,"")</f>
        <v/>
      </c>
    </row>
    <row r="1435" spans="29:30" x14ac:dyDescent="0.25">
      <c r="AC1435" s="70" t="str">
        <f>IF(AND(Sheet1!O1435="SIM",Sheet1!P1435="SIM"),"Sim","")</f>
        <v/>
      </c>
      <c r="AD1435" s="70" t="str">
        <f>IF(AC1435="sim",Sheet1!I1435,"")</f>
        <v/>
      </c>
    </row>
    <row r="1436" spans="29:30" x14ac:dyDescent="0.25">
      <c r="AC1436" s="70" t="str">
        <f>IF(AND(Sheet1!O1436="SIM",Sheet1!P1436="SIM"),"Sim","")</f>
        <v/>
      </c>
      <c r="AD1436" s="70" t="str">
        <f>IF(AC1436="sim",Sheet1!I1436,"")</f>
        <v/>
      </c>
    </row>
    <row r="1437" spans="29:30" x14ac:dyDescent="0.25">
      <c r="AC1437" s="70" t="str">
        <f>IF(AND(Sheet1!O1437="SIM",Sheet1!P1437="SIM"),"Sim","")</f>
        <v/>
      </c>
      <c r="AD1437" s="70" t="str">
        <f>IF(AC1437="sim",Sheet1!I1437,"")</f>
        <v/>
      </c>
    </row>
    <row r="1438" spans="29:30" x14ac:dyDescent="0.25">
      <c r="AC1438" s="70" t="str">
        <f>IF(AND(Sheet1!O1438="SIM",Sheet1!P1438="SIM"),"Sim","")</f>
        <v/>
      </c>
      <c r="AD1438" s="70" t="str">
        <f>IF(AC1438="sim",Sheet1!I1438,"")</f>
        <v/>
      </c>
    </row>
    <row r="1439" spans="29:30" x14ac:dyDescent="0.25">
      <c r="AC1439" s="70" t="str">
        <f>IF(AND(Sheet1!O1439="SIM",Sheet1!P1439="SIM"),"Sim","")</f>
        <v/>
      </c>
      <c r="AD1439" s="70" t="str">
        <f>IF(AC1439="sim",Sheet1!I1439,"")</f>
        <v/>
      </c>
    </row>
    <row r="1440" spans="29:30" x14ac:dyDescent="0.25">
      <c r="AC1440" s="70" t="str">
        <f>IF(AND(Sheet1!O1440="SIM",Sheet1!P1440="SIM"),"Sim","")</f>
        <v/>
      </c>
      <c r="AD1440" s="70" t="str">
        <f>IF(AC1440="sim",Sheet1!I1440,"")</f>
        <v/>
      </c>
    </row>
    <row r="1441" spans="29:30" x14ac:dyDescent="0.25">
      <c r="AC1441" s="70" t="str">
        <f>IF(AND(Sheet1!O1441="SIM",Sheet1!P1441="SIM"),"Sim","")</f>
        <v/>
      </c>
      <c r="AD1441" s="70" t="str">
        <f>IF(AC1441="sim",Sheet1!I1441,"")</f>
        <v/>
      </c>
    </row>
    <row r="1442" spans="29:30" x14ac:dyDescent="0.25">
      <c r="AC1442" s="70" t="str">
        <f>IF(AND(Sheet1!O1442="SIM",Sheet1!P1442="SIM"),"Sim","")</f>
        <v/>
      </c>
      <c r="AD1442" s="70" t="str">
        <f>IF(AC1442="sim",Sheet1!I1442,"")</f>
        <v/>
      </c>
    </row>
    <row r="1443" spans="29:30" x14ac:dyDescent="0.25">
      <c r="AC1443" s="70" t="str">
        <f>IF(AND(Sheet1!O1443="SIM",Sheet1!P1443="SIM"),"Sim","")</f>
        <v/>
      </c>
      <c r="AD1443" s="70" t="str">
        <f>IF(AC1443="sim",Sheet1!I1443,"")</f>
        <v/>
      </c>
    </row>
    <row r="1444" spans="29:30" x14ac:dyDescent="0.25">
      <c r="AC1444" s="70" t="str">
        <f>IF(AND(Sheet1!O1444="SIM",Sheet1!P1444="SIM"),"Sim","")</f>
        <v/>
      </c>
      <c r="AD1444" s="70" t="str">
        <f>IF(AC1444="sim",Sheet1!I1444,"")</f>
        <v/>
      </c>
    </row>
    <row r="1445" spans="29:30" x14ac:dyDescent="0.25">
      <c r="AC1445" s="70" t="str">
        <f>IF(AND(Sheet1!O1445="SIM",Sheet1!P1445="SIM"),"Sim","")</f>
        <v/>
      </c>
      <c r="AD1445" s="70" t="str">
        <f>IF(AC1445="sim",Sheet1!I1445,"")</f>
        <v/>
      </c>
    </row>
    <row r="1446" spans="29:30" x14ac:dyDescent="0.25">
      <c r="AC1446" s="70" t="str">
        <f>IF(AND(Sheet1!O1446="SIM",Sheet1!P1446="SIM"),"Sim","")</f>
        <v/>
      </c>
      <c r="AD1446" s="70" t="str">
        <f>IF(AC1446="sim",Sheet1!I1446,"")</f>
        <v/>
      </c>
    </row>
    <row r="1447" spans="29:30" x14ac:dyDescent="0.25">
      <c r="AC1447" s="70" t="str">
        <f>IF(AND(Sheet1!O1447="SIM",Sheet1!P1447="SIM"),"Sim","")</f>
        <v/>
      </c>
      <c r="AD1447" s="70" t="str">
        <f>IF(AC1447="sim",Sheet1!I1447,"")</f>
        <v/>
      </c>
    </row>
    <row r="1448" spans="29:30" x14ac:dyDescent="0.25">
      <c r="AC1448" s="70" t="str">
        <f>IF(AND(Sheet1!O1448="SIM",Sheet1!P1448="SIM"),"Sim","")</f>
        <v/>
      </c>
      <c r="AD1448" s="70" t="str">
        <f>IF(AC1448="sim",Sheet1!I1448,"")</f>
        <v/>
      </c>
    </row>
    <row r="1449" spans="29:30" x14ac:dyDescent="0.25">
      <c r="AC1449" s="70" t="str">
        <f>IF(AND(Sheet1!O1449="SIM",Sheet1!P1449="SIM"),"Sim","")</f>
        <v/>
      </c>
      <c r="AD1449" s="70" t="str">
        <f>IF(AC1449="sim",Sheet1!I1449,"")</f>
        <v/>
      </c>
    </row>
    <row r="1450" spans="29:30" x14ac:dyDescent="0.25">
      <c r="AC1450" s="70" t="str">
        <f>IF(AND(Sheet1!O1450="SIM",Sheet1!P1450="SIM"),"Sim","")</f>
        <v/>
      </c>
      <c r="AD1450" s="70" t="str">
        <f>IF(AC1450="sim",Sheet1!I1450,"")</f>
        <v/>
      </c>
    </row>
    <row r="1451" spans="29:30" x14ac:dyDescent="0.25">
      <c r="AC1451" s="70" t="str">
        <f>IF(AND(Sheet1!O1451="SIM",Sheet1!P1451="SIM"),"Sim","")</f>
        <v/>
      </c>
      <c r="AD1451" s="70" t="str">
        <f>IF(AC1451="sim",Sheet1!I1451,"")</f>
        <v/>
      </c>
    </row>
    <row r="1452" spans="29:30" x14ac:dyDescent="0.25">
      <c r="AC1452" s="70" t="str">
        <f>IF(AND(Sheet1!O1452="SIM",Sheet1!P1452="SIM"),"Sim","")</f>
        <v/>
      </c>
      <c r="AD1452" s="70" t="str">
        <f>IF(AC1452="sim",Sheet1!I1452,"")</f>
        <v/>
      </c>
    </row>
    <row r="1453" spans="29:30" x14ac:dyDescent="0.25">
      <c r="AC1453" s="70" t="str">
        <f>IF(AND(Sheet1!O1453="SIM",Sheet1!P1453="SIM"),"Sim","")</f>
        <v/>
      </c>
      <c r="AD1453" s="70" t="str">
        <f>IF(AC1453="sim",Sheet1!I1453,"")</f>
        <v/>
      </c>
    </row>
    <row r="1454" spans="29:30" x14ac:dyDescent="0.25">
      <c r="AC1454" s="70" t="str">
        <f>IF(AND(Sheet1!O1454="SIM",Sheet1!P1454="SIM"),"Sim","")</f>
        <v/>
      </c>
      <c r="AD1454" s="70" t="str">
        <f>IF(AC1454="sim",Sheet1!I1454,"")</f>
        <v/>
      </c>
    </row>
    <row r="1455" spans="29:30" x14ac:dyDescent="0.25">
      <c r="AC1455" s="70" t="str">
        <f>IF(AND(Sheet1!O1455="SIM",Sheet1!P1455="SIM"),"Sim","")</f>
        <v/>
      </c>
      <c r="AD1455" s="70" t="str">
        <f>IF(AC1455="sim",Sheet1!I1455,"")</f>
        <v/>
      </c>
    </row>
    <row r="1456" spans="29:30" x14ac:dyDescent="0.25">
      <c r="AC1456" s="70" t="str">
        <f>IF(AND(Sheet1!O1456="SIM",Sheet1!P1456="SIM"),"Sim","")</f>
        <v/>
      </c>
      <c r="AD1456" s="70" t="str">
        <f>IF(AC1456="sim",Sheet1!I1456,"")</f>
        <v/>
      </c>
    </row>
    <row r="1457" spans="29:30" x14ac:dyDescent="0.25">
      <c r="AC1457" s="70" t="str">
        <f>IF(AND(Sheet1!O1457="SIM",Sheet1!P1457="SIM"),"Sim","")</f>
        <v/>
      </c>
      <c r="AD1457" s="70" t="str">
        <f>IF(AC1457="sim",Sheet1!I1457,"")</f>
        <v/>
      </c>
    </row>
    <row r="1458" spans="29:30" x14ac:dyDescent="0.25">
      <c r="AC1458" s="70" t="str">
        <f>IF(AND(Sheet1!O1458="SIM",Sheet1!P1458="SIM"),"Sim","")</f>
        <v/>
      </c>
      <c r="AD1458" s="70" t="str">
        <f>IF(AC1458="sim",Sheet1!I1458,"")</f>
        <v/>
      </c>
    </row>
    <row r="1459" spans="29:30" x14ac:dyDescent="0.25">
      <c r="AC1459" s="70" t="str">
        <f>IF(AND(Sheet1!O1459="SIM",Sheet1!P1459="SIM"),"Sim","")</f>
        <v/>
      </c>
      <c r="AD1459" s="70" t="str">
        <f>IF(AC1459="sim",Sheet1!I1459,"")</f>
        <v/>
      </c>
    </row>
    <row r="1460" spans="29:30" x14ac:dyDescent="0.25">
      <c r="AC1460" s="70" t="str">
        <f>IF(AND(Sheet1!O1460="SIM",Sheet1!P1460="SIM"),"Sim","")</f>
        <v/>
      </c>
      <c r="AD1460" s="70" t="str">
        <f>IF(AC1460="sim",Sheet1!I1460,"")</f>
        <v/>
      </c>
    </row>
    <row r="1461" spans="29:30" x14ac:dyDescent="0.25">
      <c r="AC1461" s="70" t="str">
        <f>IF(AND(Sheet1!O1461="SIM",Sheet1!P1461="SIM"),"Sim","")</f>
        <v/>
      </c>
      <c r="AD1461" s="70" t="str">
        <f>IF(AC1461="sim",Sheet1!I1461,"")</f>
        <v/>
      </c>
    </row>
    <row r="1462" spans="29:30" x14ac:dyDescent="0.25">
      <c r="AC1462" s="70" t="str">
        <f>IF(AND(Sheet1!O1462="SIM",Sheet1!P1462="SIM"),"Sim","")</f>
        <v/>
      </c>
      <c r="AD1462" s="70" t="str">
        <f>IF(AC1462="sim",Sheet1!I1462,"")</f>
        <v/>
      </c>
    </row>
    <row r="1463" spans="29:30" x14ac:dyDescent="0.25">
      <c r="AC1463" s="70" t="str">
        <f>IF(AND(Sheet1!O1463="SIM",Sheet1!P1463="SIM"),"Sim","")</f>
        <v/>
      </c>
      <c r="AD1463" s="70" t="str">
        <f>IF(AC1463="sim",Sheet1!I1463,"")</f>
        <v/>
      </c>
    </row>
    <row r="1464" spans="29:30" x14ac:dyDescent="0.25">
      <c r="AC1464" s="70" t="str">
        <f>IF(AND(Sheet1!O1464="SIM",Sheet1!P1464="SIM"),"Sim","")</f>
        <v/>
      </c>
      <c r="AD1464" s="70" t="str">
        <f>IF(AC1464="sim",Sheet1!I1464,"")</f>
        <v/>
      </c>
    </row>
    <row r="1465" spans="29:30" x14ac:dyDescent="0.25">
      <c r="AC1465" s="70" t="str">
        <f>IF(AND(Sheet1!O1465="SIM",Sheet1!P1465="SIM"),"Sim","")</f>
        <v/>
      </c>
      <c r="AD1465" s="70" t="str">
        <f>IF(AC1465="sim",Sheet1!I1465,"")</f>
        <v/>
      </c>
    </row>
    <row r="1466" spans="29:30" x14ac:dyDescent="0.25">
      <c r="AC1466" s="70" t="str">
        <f>IF(AND(Sheet1!O1466="SIM",Sheet1!P1466="SIM"),"Sim","")</f>
        <v/>
      </c>
      <c r="AD1466" s="70" t="str">
        <f>IF(AC1466="sim",Sheet1!I1466,"")</f>
        <v/>
      </c>
    </row>
    <row r="1467" spans="29:30" x14ac:dyDescent="0.25">
      <c r="AC1467" s="70" t="str">
        <f>IF(AND(Sheet1!O1467="SIM",Sheet1!P1467="SIM"),"Sim","")</f>
        <v/>
      </c>
      <c r="AD1467" s="70" t="str">
        <f>IF(AC1467="sim",Sheet1!I1467,"")</f>
        <v/>
      </c>
    </row>
    <row r="1468" spans="29:30" x14ac:dyDescent="0.25">
      <c r="AC1468" s="70" t="str">
        <f>IF(AND(Sheet1!O1468="SIM",Sheet1!P1468="SIM"),"Sim","")</f>
        <v/>
      </c>
      <c r="AD1468" s="70" t="str">
        <f>IF(AC1468="sim",Sheet1!I1468,"")</f>
        <v/>
      </c>
    </row>
    <row r="1469" spans="29:30" x14ac:dyDescent="0.25">
      <c r="AC1469" s="70" t="str">
        <f>IF(AND(Sheet1!O1469="SIM",Sheet1!P1469="SIM"),"Sim","")</f>
        <v/>
      </c>
      <c r="AD1469" s="70" t="str">
        <f>IF(AC1469="sim",Sheet1!I1469,"")</f>
        <v/>
      </c>
    </row>
    <row r="1470" spans="29:30" x14ac:dyDescent="0.25">
      <c r="AC1470" s="70" t="str">
        <f>IF(AND(Sheet1!O1470="SIM",Sheet1!P1470="SIM"),"Sim","")</f>
        <v/>
      </c>
      <c r="AD1470" s="70" t="str">
        <f>IF(AC1470="sim",Sheet1!I1470,"")</f>
        <v/>
      </c>
    </row>
    <row r="1471" spans="29:30" x14ac:dyDescent="0.25">
      <c r="AC1471" s="70" t="str">
        <f>IF(AND(Sheet1!O1471="SIM",Sheet1!P1471="SIM"),"Sim","")</f>
        <v/>
      </c>
      <c r="AD1471" s="70" t="str">
        <f>IF(AC1471="sim",Sheet1!I1471,"")</f>
        <v/>
      </c>
    </row>
    <row r="1472" spans="29:30" x14ac:dyDescent="0.25">
      <c r="AC1472" s="70" t="str">
        <f>IF(AND(Sheet1!O1472="SIM",Sheet1!P1472="SIM"),"Sim","")</f>
        <v/>
      </c>
      <c r="AD1472" s="70" t="str">
        <f>IF(AC1472="sim",Sheet1!I1472,"")</f>
        <v/>
      </c>
    </row>
    <row r="1473" spans="29:30" x14ac:dyDescent="0.25">
      <c r="AC1473" s="70" t="str">
        <f>IF(AND(Sheet1!O1473="SIM",Sheet1!P1473="SIM"),"Sim","")</f>
        <v/>
      </c>
      <c r="AD1473" s="70" t="str">
        <f>IF(AC1473="sim",Sheet1!I1473,"")</f>
        <v/>
      </c>
    </row>
    <row r="1474" spans="29:30" x14ac:dyDescent="0.25">
      <c r="AC1474" s="70" t="str">
        <f>IF(AND(Sheet1!O1474="SIM",Sheet1!P1474="SIM"),"Sim","")</f>
        <v/>
      </c>
      <c r="AD1474" s="70" t="str">
        <f>IF(AC1474="sim",Sheet1!I1474,"")</f>
        <v/>
      </c>
    </row>
    <row r="1475" spans="29:30" x14ac:dyDescent="0.25">
      <c r="AC1475" s="70" t="str">
        <f>IF(AND(Sheet1!O1475="SIM",Sheet1!P1475="SIM"),"Sim","")</f>
        <v/>
      </c>
      <c r="AD1475" s="70" t="str">
        <f>IF(AC1475="sim",Sheet1!I1475,"")</f>
        <v/>
      </c>
    </row>
    <row r="1476" spans="29:30" x14ac:dyDescent="0.25">
      <c r="AC1476" s="70" t="str">
        <f>IF(AND(Sheet1!O1476="SIM",Sheet1!P1476="SIM"),"Sim","")</f>
        <v/>
      </c>
      <c r="AD1476" s="70" t="str">
        <f>IF(AC1476="sim",Sheet1!I1476,"")</f>
        <v/>
      </c>
    </row>
    <row r="1477" spans="29:30" x14ac:dyDescent="0.25">
      <c r="AC1477" s="70" t="str">
        <f>IF(AND(Sheet1!O1477="SIM",Sheet1!P1477="SIM"),"Sim","")</f>
        <v/>
      </c>
      <c r="AD1477" s="70" t="str">
        <f>IF(AC1477="sim",Sheet1!I1477,"")</f>
        <v/>
      </c>
    </row>
    <row r="1478" spans="29:30" x14ac:dyDescent="0.25">
      <c r="AC1478" s="70" t="str">
        <f>IF(AND(Sheet1!O1478="SIM",Sheet1!P1478="SIM"),"Sim","")</f>
        <v/>
      </c>
      <c r="AD1478" s="70" t="str">
        <f>IF(AC1478="sim",Sheet1!I1478,"")</f>
        <v/>
      </c>
    </row>
    <row r="1479" spans="29:30" x14ac:dyDescent="0.25">
      <c r="AC1479" s="70" t="str">
        <f>IF(AND(Sheet1!O1479="SIM",Sheet1!P1479="SIM"),"Sim","")</f>
        <v/>
      </c>
      <c r="AD1479" s="70" t="str">
        <f>IF(AC1479="sim",Sheet1!I1479,"")</f>
        <v/>
      </c>
    </row>
    <row r="1480" spans="29:30" x14ac:dyDescent="0.25">
      <c r="AC1480" s="70" t="str">
        <f>IF(AND(Sheet1!O1480="SIM",Sheet1!P1480="SIM"),"Sim","")</f>
        <v/>
      </c>
      <c r="AD1480" s="70" t="str">
        <f>IF(AC1480="sim",Sheet1!I1480,"")</f>
        <v/>
      </c>
    </row>
    <row r="1481" spans="29:30" x14ac:dyDescent="0.25">
      <c r="AC1481" s="70" t="str">
        <f>IF(AND(Sheet1!O1481="SIM",Sheet1!P1481="SIM"),"Sim","")</f>
        <v/>
      </c>
      <c r="AD1481" s="70" t="str">
        <f>IF(AC1481="sim",Sheet1!I1481,"")</f>
        <v/>
      </c>
    </row>
    <row r="1482" spans="29:30" x14ac:dyDescent="0.25">
      <c r="AC1482" s="70" t="str">
        <f>IF(AND(Sheet1!O1482="SIM",Sheet1!P1482="SIM"),"Sim","")</f>
        <v/>
      </c>
      <c r="AD1482" s="70" t="str">
        <f>IF(AC1482="sim",Sheet1!I1482,"")</f>
        <v/>
      </c>
    </row>
    <row r="1483" spans="29:30" x14ac:dyDescent="0.25">
      <c r="AC1483" s="70" t="str">
        <f>IF(AND(Sheet1!O1483="SIM",Sheet1!P1483="SIM"),"Sim","")</f>
        <v/>
      </c>
      <c r="AD1483" s="70" t="str">
        <f>IF(AC1483="sim",Sheet1!I1483,"")</f>
        <v/>
      </c>
    </row>
    <row r="1484" spans="29:30" x14ac:dyDescent="0.25">
      <c r="AC1484" s="70" t="str">
        <f>IF(AND(Sheet1!O1484="SIM",Sheet1!P1484="SIM"),"Sim","")</f>
        <v/>
      </c>
      <c r="AD1484" s="70" t="str">
        <f>IF(AC1484="sim",Sheet1!I1484,"")</f>
        <v/>
      </c>
    </row>
    <row r="1485" spans="29:30" x14ac:dyDescent="0.25">
      <c r="AC1485" s="70" t="str">
        <f>IF(AND(Sheet1!O1485="SIM",Sheet1!P1485="SIM"),"Sim","")</f>
        <v/>
      </c>
      <c r="AD1485" s="70" t="str">
        <f>IF(AC1485="sim",Sheet1!I1485,"")</f>
        <v/>
      </c>
    </row>
    <row r="1486" spans="29:30" x14ac:dyDescent="0.25">
      <c r="AC1486" s="70" t="str">
        <f>IF(AND(Sheet1!O1486="SIM",Sheet1!P1486="SIM"),"Sim","")</f>
        <v/>
      </c>
      <c r="AD1486" s="70" t="str">
        <f>IF(AC1486="sim",Sheet1!I1486,"")</f>
        <v/>
      </c>
    </row>
    <row r="1487" spans="29:30" x14ac:dyDescent="0.25">
      <c r="AC1487" s="70" t="str">
        <f>IF(AND(Sheet1!O1487="SIM",Sheet1!P1487="SIM"),"Sim","")</f>
        <v/>
      </c>
      <c r="AD1487" s="70" t="str">
        <f>IF(AC1487="sim",Sheet1!I1487,"")</f>
        <v/>
      </c>
    </row>
    <row r="1488" spans="29:30" x14ac:dyDescent="0.25">
      <c r="AC1488" s="70" t="str">
        <f>IF(AND(Sheet1!O1488="SIM",Sheet1!P1488="SIM"),"Sim","")</f>
        <v/>
      </c>
      <c r="AD1488" s="70" t="str">
        <f>IF(AC1488="sim",Sheet1!I1488,"")</f>
        <v/>
      </c>
    </row>
    <row r="1489" spans="29:30" x14ac:dyDescent="0.25">
      <c r="AC1489" s="70" t="str">
        <f>IF(AND(Sheet1!O1489="SIM",Sheet1!P1489="SIM"),"Sim","")</f>
        <v/>
      </c>
      <c r="AD1489" s="70" t="str">
        <f>IF(AC1489="sim",Sheet1!I1489,"")</f>
        <v/>
      </c>
    </row>
    <row r="1490" spans="29:30" x14ac:dyDescent="0.25">
      <c r="AC1490" s="70" t="str">
        <f>IF(AND(Sheet1!O1490="SIM",Sheet1!P1490="SIM"),"Sim","")</f>
        <v/>
      </c>
      <c r="AD1490" s="70" t="str">
        <f>IF(AC1490="sim",Sheet1!I1490,"")</f>
        <v/>
      </c>
    </row>
    <row r="1491" spans="29:30" x14ac:dyDescent="0.25">
      <c r="AC1491" s="70" t="str">
        <f>IF(AND(Sheet1!O1491="SIM",Sheet1!P1491="SIM"),"Sim","")</f>
        <v/>
      </c>
      <c r="AD1491" s="70" t="str">
        <f>IF(AC1491="sim",Sheet1!I1491,"")</f>
        <v/>
      </c>
    </row>
    <row r="1492" spans="29:30" x14ac:dyDescent="0.25">
      <c r="AC1492" s="70" t="str">
        <f>IF(AND(Sheet1!O1492="SIM",Sheet1!P1492="SIM"),"Sim","")</f>
        <v/>
      </c>
      <c r="AD1492" s="70" t="str">
        <f>IF(AC1492="sim",Sheet1!I1492,"")</f>
        <v/>
      </c>
    </row>
    <row r="1493" spans="29:30" x14ac:dyDescent="0.25">
      <c r="AC1493" s="70" t="str">
        <f>IF(AND(Sheet1!O1493="SIM",Sheet1!P1493="SIM"),"Sim","")</f>
        <v/>
      </c>
      <c r="AD1493" s="70" t="str">
        <f>IF(AC1493="sim",Sheet1!I1493,"")</f>
        <v/>
      </c>
    </row>
    <row r="1494" spans="29:30" x14ac:dyDescent="0.25">
      <c r="AC1494" s="70" t="str">
        <f>IF(AND(Sheet1!O1494="SIM",Sheet1!P1494="SIM"),"Sim","")</f>
        <v/>
      </c>
      <c r="AD1494" s="70" t="str">
        <f>IF(AC1494="sim",Sheet1!I1494,"")</f>
        <v/>
      </c>
    </row>
    <row r="1495" spans="29:30" x14ac:dyDescent="0.25">
      <c r="AC1495" s="70" t="str">
        <f>IF(AND(Sheet1!O1495="SIM",Sheet1!P1495="SIM"),"Sim","")</f>
        <v/>
      </c>
      <c r="AD1495" s="70" t="str">
        <f>IF(AC1495="sim",Sheet1!I1495,"")</f>
        <v/>
      </c>
    </row>
    <row r="1496" spans="29:30" x14ac:dyDescent="0.25">
      <c r="AC1496" s="70" t="str">
        <f>IF(AND(Sheet1!O1496="SIM",Sheet1!P1496="SIM"),"Sim","")</f>
        <v/>
      </c>
      <c r="AD1496" s="70" t="str">
        <f>IF(AC1496="sim",Sheet1!I1496,"")</f>
        <v/>
      </c>
    </row>
    <row r="1497" spans="29:30" x14ac:dyDescent="0.25">
      <c r="AC1497" s="70" t="str">
        <f>IF(AND(Sheet1!O1497="SIM",Sheet1!P1497="SIM"),"Sim","")</f>
        <v/>
      </c>
      <c r="AD1497" s="70" t="str">
        <f>IF(AC1497="sim",Sheet1!I1497,"")</f>
        <v/>
      </c>
    </row>
    <row r="1498" spans="29:30" x14ac:dyDescent="0.25">
      <c r="AC1498" s="70" t="str">
        <f>IF(AND(Sheet1!O1498="SIM",Sheet1!P1498="SIM"),"Sim","")</f>
        <v/>
      </c>
      <c r="AD1498" s="70" t="str">
        <f>IF(AC1498="sim",Sheet1!I1498,"")</f>
        <v/>
      </c>
    </row>
    <row r="1499" spans="29:30" x14ac:dyDescent="0.25">
      <c r="AC1499" s="70" t="str">
        <f>IF(AND(Sheet1!O1499="SIM",Sheet1!P1499="SIM"),"Sim","")</f>
        <v/>
      </c>
      <c r="AD1499" s="70" t="str">
        <f>IF(AC1499="sim",Sheet1!I1499,"")</f>
        <v/>
      </c>
    </row>
    <row r="1500" spans="29:30" x14ac:dyDescent="0.25">
      <c r="AC1500" s="70" t="str">
        <f>IF(AND(Sheet1!O1500="SIM",Sheet1!P1500="SIM"),"Sim","")</f>
        <v/>
      </c>
      <c r="AD1500" s="70" t="str">
        <f>IF(AC1500="sim",Sheet1!I1500,"")</f>
        <v/>
      </c>
    </row>
    <row r="1501" spans="29:30" x14ac:dyDescent="0.25">
      <c r="AC1501" s="70" t="str">
        <f>IF(AND(Sheet1!O1501="SIM",Sheet1!P1501="SIM"),"Sim","")</f>
        <v/>
      </c>
      <c r="AD1501" s="70" t="str">
        <f>IF(AC1501="sim",Sheet1!I1501,"")</f>
        <v/>
      </c>
    </row>
    <row r="1502" spans="29:30" x14ac:dyDescent="0.25">
      <c r="AC1502" s="70" t="str">
        <f>IF(AND(Sheet1!O1502="SIM",Sheet1!P1502="SIM"),"Sim","")</f>
        <v/>
      </c>
      <c r="AD1502" s="70" t="str">
        <f>IF(AC1502="sim",Sheet1!I1502,"")</f>
        <v/>
      </c>
    </row>
    <row r="1503" spans="29:30" x14ac:dyDescent="0.25">
      <c r="AC1503" s="70" t="str">
        <f>IF(AND(Sheet1!O1503="SIM",Sheet1!P1503="SIM"),"Sim","")</f>
        <v/>
      </c>
      <c r="AD1503" s="70" t="str">
        <f>IF(AC1503="sim",Sheet1!I1503,"")</f>
        <v/>
      </c>
    </row>
    <row r="1504" spans="29:30" x14ac:dyDescent="0.25">
      <c r="AC1504" s="70" t="str">
        <f>IF(AND(Sheet1!O1504="SIM",Sheet1!P1504="SIM"),"Sim","")</f>
        <v/>
      </c>
      <c r="AD1504" s="70" t="str">
        <f>IF(AC1504="sim",Sheet1!I1504,"")</f>
        <v/>
      </c>
    </row>
    <row r="1505" spans="29:30" x14ac:dyDescent="0.25">
      <c r="AC1505" s="70" t="str">
        <f>IF(AND(Sheet1!O1505="SIM",Sheet1!P1505="SIM"),"Sim","")</f>
        <v/>
      </c>
      <c r="AD1505" s="70" t="str">
        <f>IF(AC1505="sim",Sheet1!I1505,"")</f>
        <v/>
      </c>
    </row>
    <row r="1506" spans="29:30" x14ac:dyDescent="0.25">
      <c r="AC1506" s="70" t="str">
        <f>IF(AND(Sheet1!O1506="SIM",Sheet1!P1506="SIM"),"Sim","")</f>
        <v/>
      </c>
      <c r="AD1506" s="70" t="str">
        <f>IF(AC1506="sim",Sheet1!I1506,"")</f>
        <v/>
      </c>
    </row>
    <row r="1507" spans="29:30" x14ac:dyDescent="0.25">
      <c r="AC1507" s="70" t="str">
        <f>IF(AND(Sheet1!O1507="SIM",Sheet1!P1507="SIM"),"Sim","")</f>
        <v/>
      </c>
      <c r="AD1507" s="70" t="str">
        <f>IF(AC1507="sim",Sheet1!I1507,"")</f>
        <v/>
      </c>
    </row>
    <row r="1508" spans="29:30" x14ac:dyDescent="0.25">
      <c r="AC1508" s="70" t="str">
        <f>IF(AND(Sheet1!O1508="SIM",Sheet1!P1508="SIM"),"Sim","")</f>
        <v/>
      </c>
      <c r="AD1508" s="70" t="str">
        <f>IF(AC1508="sim",Sheet1!I1508,"")</f>
        <v/>
      </c>
    </row>
    <row r="1509" spans="29:30" x14ac:dyDescent="0.25">
      <c r="AC1509" s="70" t="str">
        <f>IF(AND(Sheet1!O1509="SIM",Sheet1!P1509="SIM"),"Sim","")</f>
        <v/>
      </c>
      <c r="AD1509" s="70" t="str">
        <f>IF(AC1509="sim",Sheet1!I1509,"")</f>
        <v/>
      </c>
    </row>
    <row r="1510" spans="29:30" x14ac:dyDescent="0.25">
      <c r="AC1510" s="70" t="str">
        <f>IF(AND(Sheet1!O1510="SIM",Sheet1!P1510="SIM"),"Sim","")</f>
        <v/>
      </c>
      <c r="AD1510" s="70" t="str">
        <f>IF(AC1510="sim",Sheet1!I1510,"")</f>
        <v/>
      </c>
    </row>
    <row r="1511" spans="29:30" x14ac:dyDescent="0.25">
      <c r="AC1511" s="70" t="str">
        <f>IF(AND(Sheet1!O1511="SIM",Sheet1!P1511="SIM"),"Sim","")</f>
        <v/>
      </c>
      <c r="AD1511" s="70" t="str">
        <f>IF(AC1511="sim",Sheet1!I1511,"")</f>
        <v/>
      </c>
    </row>
    <row r="1512" spans="29:30" x14ac:dyDescent="0.25">
      <c r="AC1512" s="70" t="str">
        <f>IF(AND(Sheet1!O1512="SIM",Sheet1!P1512="SIM"),"Sim","")</f>
        <v/>
      </c>
      <c r="AD1512" s="70" t="str">
        <f>IF(AC1512="sim",Sheet1!I1512,"")</f>
        <v/>
      </c>
    </row>
    <row r="1513" spans="29:30" x14ac:dyDescent="0.25">
      <c r="AC1513" s="70" t="str">
        <f>IF(AND(Sheet1!O1513="SIM",Sheet1!P1513="SIM"),"Sim","")</f>
        <v/>
      </c>
      <c r="AD1513" s="70" t="str">
        <f>IF(AC1513="sim",Sheet1!I1513,"")</f>
        <v/>
      </c>
    </row>
    <row r="1514" spans="29:30" x14ac:dyDescent="0.25">
      <c r="AC1514" s="70" t="str">
        <f>IF(AND(Sheet1!O1514="SIM",Sheet1!P1514="SIM"),"Sim","")</f>
        <v/>
      </c>
      <c r="AD1514" s="70" t="str">
        <f>IF(AC1514="sim",Sheet1!I1514,"")</f>
        <v/>
      </c>
    </row>
    <row r="1515" spans="29:30" x14ac:dyDescent="0.25">
      <c r="AC1515" s="70" t="str">
        <f>IF(AND(Sheet1!O1515="SIM",Sheet1!P1515="SIM"),"Sim","")</f>
        <v/>
      </c>
      <c r="AD1515" s="70" t="str">
        <f>IF(AC1515="sim",Sheet1!I1515,"")</f>
        <v/>
      </c>
    </row>
    <row r="1516" spans="29:30" x14ac:dyDescent="0.25">
      <c r="AC1516" s="70" t="str">
        <f>IF(AND(Sheet1!O1516="SIM",Sheet1!P1516="SIM"),"Sim","")</f>
        <v/>
      </c>
      <c r="AD1516" s="70" t="str">
        <f>IF(AC1516="sim",Sheet1!I1516,"")</f>
        <v/>
      </c>
    </row>
    <row r="1517" spans="29:30" x14ac:dyDescent="0.25">
      <c r="AC1517" s="70" t="str">
        <f>IF(AND(Sheet1!O1517="SIM",Sheet1!P1517="SIM"),"Sim","")</f>
        <v/>
      </c>
      <c r="AD1517" s="70" t="str">
        <f>IF(AC1517="sim",Sheet1!I1517,"")</f>
        <v/>
      </c>
    </row>
    <row r="1518" spans="29:30" x14ac:dyDescent="0.25">
      <c r="AC1518" s="70" t="str">
        <f>IF(AND(Sheet1!O1518="SIM",Sheet1!P1518="SIM"),"Sim","")</f>
        <v/>
      </c>
      <c r="AD1518" s="70" t="str">
        <f>IF(AC1518="sim",Sheet1!I1518,"")</f>
        <v/>
      </c>
    </row>
    <row r="1519" spans="29:30" x14ac:dyDescent="0.25">
      <c r="AC1519" s="70" t="str">
        <f>IF(AND(Sheet1!O1519="SIM",Sheet1!P1519="SIM"),"Sim","")</f>
        <v/>
      </c>
      <c r="AD1519" s="70" t="str">
        <f>IF(AC1519="sim",Sheet1!I1519,"")</f>
        <v/>
      </c>
    </row>
    <row r="1520" spans="29:30" x14ac:dyDescent="0.25">
      <c r="AC1520" s="70" t="str">
        <f>IF(AND(Sheet1!O1520="SIM",Sheet1!P1520="SIM"),"Sim","")</f>
        <v/>
      </c>
      <c r="AD1520" s="70" t="str">
        <f>IF(AC1520="sim",Sheet1!I1520,"")</f>
        <v/>
      </c>
    </row>
    <row r="1521" spans="29:30" x14ac:dyDescent="0.25">
      <c r="AC1521" s="70" t="str">
        <f>IF(AND(Sheet1!O1521="SIM",Sheet1!P1521="SIM"),"Sim","")</f>
        <v/>
      </c>
      <c r="AD1521" s="70" t="str">
        <f>IF(AC1521="sim",Sheet1!I1521,"")</f>
        <v/>
      </c>
    </row>
    <row r="1522" spans="29:30" x14ac:dyDescent="0.25">
      <c r="AC1522" s="70" t="str">
        <f>IF(AND(Sheet1!O1522="SIM",Sheet1!P1522="SIM"),"Sim","")</f>
        <v/>
      </c>
      <c r="AD1522" s="70" t="str">
        <f>IF(AC1522="sim",Sheet1!I1522,"")</f>
        <v/>
      </c>
    </row>
    <row r="1523" spans="29:30" x14ac:dyDescent="0.25">
      <c r="AC1523" s="70" t="str">
        <f>IF(AND(Sheet1!O1523="SIM",Sheet1!P1523="SIM"),"Sim","")</f>
        <v/>
      </c>
      <c r="AD1523" s="70" t="str">
        <f>IF(AC1523="sim",Sheet1!I1523,"")</f>
        <v/>
      </c>
    </row>
    <row r="1524" spans="29:30" x14ac:dyDescent="0.25">
      <c r="AC1524" s="70" t="str">
        <f>IF(AND(Sheet1!O1524="SIM",Sheet1!P1524="SIM"),"Sim","")</f>
        <v/>
      </c>
      <c r="AD1524" s="70" t="str">
        <f>IF(AC1524="sim",Sheet1!I1524,"")</f>
        <v/>
      </c>
    </row>
    <row r="1525" spans="29:30" x14ac:dyDescent="0.25">
      <c r="AC1525" s="70" t="str">
        <f>IF(AND(Sheet1!O1525="SIM",Sheet1!P1525="SIM"),"Sim","")</f>
        <v/>
      </c>
      <c r="AD1525" s="70" t="str">
        <f>IF(AC1525="sim",Sheet1!I1525,"")</f>
        <v/>
      </c>
    </row>
    <row r="1526" spans="29:30" x14ac:dyDescent="0.25">
      <c r="AC1526" s="70" t="str">
        <f>IF(AND(Sheet1!O1526="SIM",Sheet1!P1526="SIM"),"Sim","")</f>
        <v/>
      </c>
      <c r="AD1526" s="70" t="str">
        <f>IF(AC1526="sim",Sheet1!I1526,"")</f>
        <v/>
      </c>
    </row>
    <row r="1527" spans="29:30" x14ac:dyDescent="0.25">
      <c r="AC1527" s="70" t="str">
        <f>IF(AND(Sheet1!O1527="SIM",Sheet1!P1527="SIM"),"Sim","")</f>
        <v/>
      </c>
      <c r="AD1527" s="70" t="str">
        <f>IF(AC1527="sim",Sheet1!I1527,"")</f>
        <v/>
      </c>
    </row>
    <row r="1528" spans="29:30" x14ac:dyDescent="0.25">
      <c r="AC1528" s="70" t="str">
        <f>IF(AND(Sheet1!O1528="SIM",Sheet1!P1528="SIM"),"Sim","")</f>
        <v/>
      </c>
      <c r="AD1528" s="70" t="str">
        <f>IF(AC1528="sim",Sheet1!I1528,"")</f>
        <v/>
      </c>
    </row>
    <row r="1529" spans="29:30" x14ac:dyDescent="0.25">
      <c r="AC1529" s="70" t="str">
        <f>IF(AND(Sheet1!O1529="SIM",Sheet1!P1529="SIM"),"Sim","")</f>
        <v/>
      </c>
      <c r="AD1529" s="70" t="str">
        <f>IF(AC1529="sim",Sheet1!I1529,"")</f>
        <v/>
      </c>
    </row>
    <row r="1530" spans="29:30" x14ac:dyDescent="0.25">
      <c r="AC1530" s="70" t="str">
        <f>IF(AND(Sheet1!O1530="SIM",Sheet1!P1530="SIM"),"Sim","")</f>
        <v/>
      </c>
      <c r="AD1530" s="70" t="str">
        <f>IF(AC1530="sim",Sheet1!I1530,"")</f>
        <v/>
      </c>
    </row>
    <row r="1531" spans="29:30" x14ac:dyDescent="0.25">
      <c r="AC1531" s="70" t="str">
        <f>IF(AND(Sheet1!O1531="SIM",Sheet1!P1531="SIM"),"Sim","")</f>
        <v/>
      </c>
      <c r="AD1531" s="70" t="str">
        <f>IF(AC1531="sim",Sheet1!I1531,"")</f>
        <v/>
      </c>
    </row>
    <row r="1532" spans="29:30" x14ac:dyDescent="0.25">
      <c r="AC1532" s="70" t="str">
        <f>IF(AND(Sheet1!O1532="SIM",Sheet1!P1532="SIM"),"Sim","")</f>
        <v/>
      </c>
      <c r="AD1532" s="70" t="str">
        <f>IF(AC1532="sim",Sheet1!I1532,"")</f>
        <v/>
      </c>
    </row>
    <row r="1533" spans="29:30" x14ac:dyDescent="0.25">
      <c r="AC1533" s="70" t="str">
        <f>IF(AND(Sheet1!O1533="SIM",Sheet1!P1533="SIM"),"Sim","")</f>
        <v/>
      </c>
      <c r="AD1533" s="70" t="str">
        <f>IF(AC1533="sim",Sheet1!I1533,"")</f>
        <v/>
      </c>
    </row>
    <row r="1534" spans="29:30" x14ac:dyDescent="0.25">
      <c r="AC1534" s="70" t="str">
        <f>IF(AND(Sheet1!O1534="SIM",Sheet1!P1534="SIM"),"Sim","")</f>
        <v/>
      </c>
      <c r="AD1534" s="70" t="str">
        <f>IF(AC1534="sim",Sheet1!I1534,"")</f>
        <v/>
      </c>
    </row>
    <row r="1535" spans="29:30" x14ac:dyDescent="0.25">
      <c r="AC1535" s="70" t="str">
        <f>IF(AND(Sheet1!O1535="SIM",Sheet1!P1535="SIM"),"Sim","")</f>
        <v/>
      </c>
      <c r="AD1535" s="70" t="str">
        <f>IF(AC1535="sim",Sheet1!I1535,"")</f>
        <v/>
      </c>
    </row>
    <row r="1536" spans="29:30" x14ac:dyDescent="0.25">
      <c r="AC1536" s="70" t="str">
        <f>IF(AND(Sheet1!O1536="SIM",Sheet1!P1536="SIM"),"Sim","")</f>
        <v/>
      </c>
      <c r="AD1536" s="70" t="str">
        <f>IF(AC1536="sim",Sheet1!I1536,"")</f>
        <v/>
      </c>
    </row>
    <row r="1537" spans="29:30" x14ac:dyDescent="0.25">
      <c r="AC1537" s="70" t="str">
        <f>IF(AND(Sheet1!O1537="SIM",Sheet1!P1537="SIM"),"Sim","")</f>
        <v/>
      </c>
      <c r="AD1537" s="70" t="str">
        <f>IF(AC1537="sim",Sheet1!I1537,"")</f>
        <v/>
      </c>
    </row>
    <row r="1538" spans="29:30" x14ac:dyDescent="0.25">
      <c r="AC1538" s="70" t="str">
        <f>IF(AND(Sheet1!O1538="SIM",Sheet1!P1538="SIM"),"Sim","")</f>
        <v/>
      </c>
      <c r="AD1538" s="70" t="str">
        <f>IF(AC1538="sim",Sheet1!I1538,"")</f>
        <v/>
      </c>
    </row>
    <row r="1539" spans="29:30" x14ac:dyDescent="0.25">
      <c r="AC1539" s="70" t="str">
        <f>IF(AND(Sheet1!O1539="SIM",Sheet1!P1539="SIM"),"Sim","")</f>
        <v/>
      </c>
      <c r="AD1539" s="70" t="str">
        <f>IF(AC1539="sim",Sheet1!I1539,"")</f>
        <v/>
      </c>
    </row>
    <row r="1540" spans="29:30" x14ac:dyDescent="0.25">
      <c r="AC1540" s="70" t="str">
        <f>IF(AND(Sheet1!O1540="SIM",Sheet1!P1540="SIM"),"Sim","")</f>
        <v/>
      </c>
      <c r="AD1540" s="70" t="str">
        <f>IF(AC1540="sim",Sheet1!I1540,"")</f>
        <v/>
      </c>
    </row>
    <row r="1541" spans="29:30" x14ac:dyDescent="0.25">
      <c r="AC1541" s="70" t="str">
        <f>IF(AND(Sheet1!O1541="SIM",Sheet1!P1541="SIM"),"Sim","")</f>
        <v/>
      </c>
      <c r="AD1541" s="70" t="str">
        <f>IF(AC1541="sim",Sheet1!I1541,"")</f>
        <v/>
      </c>
    </row>
    <row r="1542" spans="29:30" x14ac:dyDescent="0.25">
      <c r="AC1542" s="70" t="str">
        <f>IF(AND(Sheet1!O1542="SIM",Sheet1!P1542="SIM"),"Sim","")</f>
        <v/>
      </c>
      <c r="AD1542" s="70" t="str">
        <f>IF(AC1542="sim",Sheet1!I1542,"")</f>
        <v/>
      </c>
    </row>
    <row r="1543" spans="29:30" x14ac:dyDescent="0.25">
      <c r="AC1543" s="70" t="str">
        <f>IF(AND(Sheet1!O1543="SIM",Sheet1!P1543="SIM"),"Sim","")</f>
        <v/>
      </c>
      <c r="AD1543" s="70" t="str">
        <f>IF(AC1543="sim",Sheet1!I1543,"")</f>
        <v/>
      </c>
    </row>
    <row r="1544" spans="29:30" x14ac:dyDescent="0.25">
      <c r="AC1544" s="70" t="str">
        <f>IF(AND(Sheet1!O1544="SIM",Sheet1!P1544="SIM"),"Sim","")</f>
        <v/>
      </c>
      <c r="AD1544" s="70" t="str">
        <f>IF(AC1544="sim",Sheet1!I1544,"")</f>
        <v/>
      </c>
    </row>
    <row r="1545" spans="29:30" x14ac:dyDescent="0.25">
      <c r="AC1545" s="70" t="str">
        <f>IF(AND(Sheet1!O1545="SIM",Sheet1!P1545="SIM"),"Sim","")</f>
        <v/>
      </c>
      <c r="AD1545" s="70" t="str">
        <f>IF(AC1545="sim",Sheet1!I1545,"")</f>
        <v/>
      </c>
    </row>
    <row r="1546" spans="29:30" x14ac:dyDescent="0.25">
      <c r="AC1546" s="70" t="str">
        <f>IF(AND(Sheet1!O1546="SIM",Sheet1!P1546="SIM"),"Sim","")</f>
        <v/>
      </c>
      <c r="AD1546" s="70" t="str">
        <f>IF(AC1546="sim",Sheet1!I1546,"")</f>
        <v/>
      </c>
    </row>
    <row r="1547" spans="29:30" x14ac:dyDescent="0.25">
      <c r="AC1547" s="70" t="str">
        <f>IF(AND(Sheet1!O1547="SIM",Sheet1!P1547="SIM"),"Sim","")</f>
        <v/>
      </c>
      <c r="AD1547" s="70" t="str">
        <f>IF(AC1547="sim",Sheet1!I1547,"")</f>
        <v/>
      </c>
    </row>
    <row r="1548" spans="29:30" x14ac:dyDescent="0.25">
      <c r="AC1548" s="70" t="str">
        <f>IF(AND(Sheet1!O1548="SIM",Sheet1!P1548="SIM"),"Sim","")</f>
        <v/>
      </c>
      <c r="AD1548" s="70" t="str">
        <f>IF(AC1548="sim",Sheet1!I1548,"")</f>
        <v/>
      </c>
    </row>
    <row r="1549" spans="29:30" x14ac:dyDescent="0.25">
      <c r="AC1549" s="70" t="str">
        <f>IF(AND(Sheet1!O1549="SIM",Sheet1!P1549="SIM"),"Sim","")</f>
        <v/>
      </c>
      <c r="AD1549" s="70" t="str">
        <f>IF(AC1549="sim",Sheet1!I1549,"")</f>
        <v/>
      </c>
    </row>
    <row r="1550" spans="29:30" x14ac:dyDescent="0.25">
      <c r="AC1550" s="70" t="str">
        <f>IF(AND(Sheet1!O1550="SIM",Sheet1!P1550="SIM"),"Sim","")</f>
        <v/>
      </c>
      <c r="AD1550" s="70" t="str">
        <f>IF(AC1550="sim",Sheet1!I1550,"")</f>
        <v/>
      </c>
    </row>
    <row r="1551" spans="29:30" x14ac:dyDescent="0.25">
      <c r="AC1551" s="70" t="str">
        <f>IF(AND(Sheet1!O1551="SIM",Sheet1!P1551="SIM"),"Sim","")</f>
        <v/>
      </c>
      <c r="AD1551" s="70" t="str">
        <f>IF(AC1551="sim",Sheet1!I1551,"")</f>
        <v/>
      </c>
    </row>
    <row r="1552" spans="29:30" x14ac:dyDescent="0.25">
      <c r="AC1552" s="70" t="str">
        <f>IF(AND(Sheet1!O1552="SIM",Sheet1!P1552="SIM"),"Sim","")</f>
        <v/>
      </c>
      <c r="AD1552" s="70" t="str">
        <f>IF(AC1552="sim",Sheet1!I1552,"")</f>
        <v/>
      </c>
    </row>
    <row r="1553" spans="29:30" x14ac:dyDescent="0.25">
      <c r="AC1553" s="70" t="str">
        <f>IF(AND(Sheet1!O1553="SIM",Sheet1!P1553="SIM"),"Sim","")</f>
        <v/>
      </c>
      <c r="AD1553" s="70" t="str">
        <f>IF(AC1553="sim",Sheet1!I1553,"")</f>
        <v/>
      </c>
    </row>
    <row r="1554" spans="29:30" x14ac:dyDescent="0.25">
      <c r="AC1554" s="70" t="str">
        <f>IF(AND(Sheet1!O1554="SIM",Sheet1!P1554="SIM"),"Sim","")</f>
        <v/>
      </c>
      <c r="AD1554" s="70" t="str">
        <f>IF(AC1554="sim",Sheet1!I1554,"")</f>
        <v/>
      </c>
    </row>
    <row r="1555" spans="29:30" x14ac:dyDescent="0.25">
      <c r="AC1555" s="70" t="str">
        <f>IF(AND(Sheet1!O1555="SIM",Sheet1!P1555="SIM"),"Sim","")</f>
        <v/>
      </c>
      <c r="AD1555" s="70" t="str">
        <f>IF(AC1555="sim",Sheet1!I1555,"")</f>
        <v/>
      </c>
    </row>
    <row r="1556" spans="29:30" x14ac:dyDescent="0.25">
      <c r="AC1556" s="70" t="str">
        <f>IF(AND(Sheet1!O1556="SIM",Sheet1!P1556="SIM"),"Sim","")</f>
        <v/>
      </c>
      <c r="AD1556" s="70" t="str">
        <f>IF(AC1556="sim",Sheet1!I1556,"")</f>
        <v/>
      </c>
    </row>
    <row r="1557" spans="29:30" x14ac:dyDescent="0.25">
      <c r="AC1557" s="70" t="str">
        <f>IF(AND(Sheet1!O1557="SIM",Sheet1!P1557="SIM"),"Sim","")</f>
        <v/>
      </c>
      <c r="AD1557" s="70" t="str">
        <f>IF(AC1557="sim",Sheet1!I1557,"")</f>
        <v/>
      </c>
    </row>
    <row r="1558" spans="29:30" x14ac:dyDescent="0.25">
      <c r="AC1558" s="70" t="str">
        <f>IF(AND(Sheet1!O1558="SIM",Sheet1!P1558="SIM"),"Sim","")</f>
        <v/>
      </c>
      <c r="AD1558" s="70" t="str">
        <f>IF(AC1558="sim",Sheet1!I1558,"")</f>
        <v/>
      </c>
    </row>
    <row r="1559" spans="29:30" x14ac:dyDescent="0.25">
      <c r="AC1559" s="70" t="str">
        <f>IF(AND(Sheet1!O1559="SIM",Sheet1!P1559="SIM"),"Sim","")</f>
        <v/>
      </c>
      <c r="AD1559" s="70" t="str">
        <f>IF(AC1559="sim",Sheet1!I1559,"")</f>
        <v/>
      </c>
    </row>
    <row r="1560" spans="29:30" x14ac:dyDescent="0.25">
      <c r="AC1560" s="70" t="str">
        <f>IF(AND(Sheet1!O1560="SIM",Sheet1!P1560="SIM"),"Sim","")</f>
        <v/>
      </c>
      <c r="AD1560" s="70" t="str">
        <f>IF(AC1560="sim",Sheet1!I1560,"")</f>
        <v/>
      </c>
    </row>
    <row r="1561" spans="29:30" x14ac:dyDescent="0.25">
      <c r="AC1561" s="70" t="str">
        <f>IF(AND(Sheet1!O1561="SIM",Sheet1!P1561="SIM"),"Sim","")</f>
        <v/>
      </c>
      <c r="AD1561" s="70" t="str">
        <f>IF(AC1561="sim",Sheet1!I1561,"")</f>
        <v/>
      </c>
    </row>
    <row r="1562" spans="29:30" x14ac:dyDescent="0.25">
      <c r="AC1562" s="70" t="str">
        <f>IF(AND(Sheet1!O1562="SIM",Sheet1!P1562="SIM"),"Sim","")</f>
        <v/>
      </c>
      <c r="AD1562" s="70" t="str">
        <f>IF(AC1562="sim",Sheet1!I1562,"")</f>
        <v/>
      </c>
    </row>
    <row r="1563" spans="29:30" x14ac:dyDescent="0.25">
      <c r="AC1563" s="70" t="str">
        <f>IF(AND(Sheet1!O1563="SIM",Sheet1!P1563="SIM"),"Sim","")</f>
        <v/>
      </c>
      <c r="AD1563" s="70" t="str">
        <f>IF(AC1563="sim",Sheet1!I1563,"")</f>
        <v/>
      </c>
    </row>
    <row r="1564" spans="29:30" x14ac:dyDescent="0.25">
      <c r="AC1564" s="70" t="str">
        <f>IF(AND(Sheet1!O1564="SIM",Sheet1!P1564="SIM"),"Sim","")</f>
        <v/>
      </c>
      <c r="AD1564" s="70" t="str">
        <f>IF(AC1564="sim",Sheet1!I1564,"")</f>
        <v/>
      </c>
    </row>
    <row r="1565" spans="29:30" x14ac:dyDescent="0.25">
      <c r="AC1565" s="70" t="str">
        <f>IF(AND(Sheet1!O1565="SIM",Sheet1!P1565="SIM"),"Sim","")</f>
        <v/>
      </c>
      <c r="AD1565" s="70" t="str">
        <f>IF(AC1565="sim",Sheet1!I1565,"")</f>
        <v/>
      </c>
    </row>
    <row r="1566" spans="29:30" x14ac:dyDescent="0.25">
      <c r="AC1566" s="70" t="str">
        <f>IF(AND(Sheet1!O1566="SIM",Sheet1!P1566="SIM"),"Sim","")</f>
        <v/>
      </c>
      <c r="AD1566" s="70" t="str">
        <f>IF(AC1566="sim",Sheet1!I1566,"")</f>
        <v/>
      </c>
    </row>
    <row r="1567" spans="29:30" x14ac:dyDescent="0.25">
      <c r="AC1567" s="70" t="str">
        <f>IF(AND(Sheet1!O1567="SIM",Sheet1!P1567="SIM"),"Sim","")</f>
        <v/>
      </c>
      <c r="AD1567" s="70" t="str">
        <f>IF(AC1567="sim",Sheet1!I1567,"")</f>
        <v/>
      </c>
    </row>
    <row r="1568" spans="29:30" x14ac:dyDescent="0.25">
      <c r="AC1568" s="70" t="str">
        <f>IF(AND(Sheet1!O1568="SIM",Sheet1!P1568="SIM"),"Sim","")</f>
        <v/>
      </c>
      <c r="AD1568" s="70" t="str">
        <f>IF(AC1568="sim",Sheet1!I1568,"")</f>
        <v/>
      </c>
    </row>
    <row r="1569" spans="29:30" x14ac:dyDescent="0.25">
      <c r="AC1569" s="70" t="str">
        <f>IF(AND(Sheet1!O1569="SIM",Sheet1!P1569="SIM"),"Sim","")</f>
        <v/>
      </c>
      <c r="AD1569" s="70" t="str">
        <f>IF(AC1569="sim",Sheet1!I1569,"")</f>
        <v/>
      </c>
    </row>
    <row r="1570" spans="29:30" x14ac:dyDescent="0.25">
      <c r="AC1570" s="70" t="str">
        <f>IF(AND(Sheet1!O1570="SIM",Sheet1!P1570="SIM"),"Sim","")</f>
        <v/>
      </c>
      <c r="AD1570" s="70" t="str">
        <f>IF(AC1570="sim",Sheet1!I1570,"")</f>
        <v/>
      </c>
    </row>
    <row r="1571" spans="29:30" x14ac:dyDescent="0.25">
      <c r="AC1571" s="70" t="str">
        <f>IF(AND(Sheet1!O1571="SIM",Sheet1!P1571="SIM"),"Sim","")</f>
        <v/>
      </c>
      <c r="AD1571" s="70" t="str">
        <f>IF(AC1571="sim",Sheet1!I1571,"")</f>
        <v/>
      </c>
    </row>
    <row r="1572" spans="29:30" x14ac:dyDescent="0.25">
      <c r="AC1572" s="70" t="str">
        <f>IF(AND(Sheet1!O1572="SIM",Sheet1!P1572="SIM"),"Sim","")</f>
        <v/>
      </c>
      <c r="AD1572" s="70" t="str">
        <f>IF(AC1572="sim",Sheet1!I1572,"")</f>
        <v/>
      </c>
    </row>
    <row r="1573" spans="29:30" x14ac:dyDescent="0.25">
      <c r="AC1573" s="70" t="str">
        <f>IF(AND(Sheet1!O1573="SIM",Sheet1!P1573="SIM"),"Sim","")</f>
        <v/>
      </c>
      <c r="AD1573" s="70" t="str">
        <f>IF(AC1573="sim",Sheet1!I1573,"")</f>
        <v/>
      </c>
    </row>
    <row r="1574" spans="29:30" x14ac:dyDescent="0.25">
      <c r="AC1574" s="70" t="str">
        <f>IF(AND(Sheet1!O1574="SIM",Sheet1!P1574="SIM"),"Sim","")</f>
        <v/>
      </c>
      <c r="AD1574" s="70" t="str">
        <f>IF(AC1574="sim",Sheet1!I1574,"")</f>
        <v/>
      </c>
    </row>
    <row r="1575" spans="29:30" x14ac:dyDescent="0.25">
      <c r="AC1575" s="70" t="str">
        <f>IF(AND(Sheet1!O1575="SIM",Sheet1!P1575="SIM"),"Sim","")</f>
        <v/>
      </c>
      <c r="AD1575" s="70" t="str">
        <f>IF(AC1575="sim",Sheet1!I1575,"")</f>
        <v/>
      </c>
    </row>
    <row r="1576" spans="29:30" x14ac:dyDescent="0.25">
      <c r="AC1576" s="70" t="str">
        <f>IF(AND(Sheet1!O1576="SIM",Sheet1!P1576="SIM"),"Sim","")</f>
        <v/>
      </c>
      <c r="AD1576" s="70" t="str">
        <f>IF(AC1576="sim",Sheet1!I1576,"")</f>
        <v/>
      </c>
    </row>
    <row r="1577" spans="29:30" x14ac:dyDescent="0.25">
      <c r="AC1577" s="70" t="str">
        <f>IF(AND(Sheet1!O1577="SIM",Sheet1!P1577="SIM"),"Sim","")</f>
        <v/>
      </c>
      <c r="AD1577" s="70" t="str">
        <f>IF(AC1577="sim",Sheet1!I1577,"")</f>
        <v/>
      </c>
    </row>
    <row r="1578" spans="29:30" x14ac:dyDescent="0.25">
      <c r="AC1578" s="70" t="str">
        <f>IF(AND(Sheet1!O1578="SIM",Sheet1!P1578="SIM"),"Sim","")</f>
        <v/>
      </c>
      <c r="AD1578" s="70" t="str">
        <f>IF(AC1578="sim",Sheet1!I1578,"")</f>
        <v/>
      </c>
    </row>
    <row r="1579" spans="29:30" x14ac:dyDescent="0.25">
      <c r="AC1579" s="70" t="str">
        <f>IF(AND(Sheet1!O1579="SIM",Sheet1!P1579="SIM"),"Sim","")</f>
        <v/>
      </c>
      <c r="AD1579" s="70" t="str">
        <f>IF(AC1579="sim",Sheet1!I1579,"")</f>
        <v/>
      </c>
    </row>
    <row r="1580" spans="29:30" x14ac:dyDescent="0.25">
      <c r="AC1580" s="70" t="str">
        <f>IF(AND(Sheet1!O1580="SIM",Sheet1!P1580="SIM"),"Sim","")</f>
        <v/>
      </c>
      <c r="AD1580" s="70" t="str">
        <f>IF(AC1580="sim",Sheet1!I1580,"")</f>
        <v/>
      </c>
    </row>
    <row r="1581" spans="29:30" x14ac:dyDescent="0.25">
      <c r="AC1581" s="70" t="str">
        <f>IF(AND(Sheet1!O1581="SIM",Sheet1!P1581="SIM"),"Sim","")</f>
        <v/>
      </c>
      <c r="AD1581" s="70" t="str">
        <f>IF(AC1581="sim",Sheet1!I1581,"")</f>
        <v/>
      </c>
    </row>
    <row r="1582" spans="29:30" x14ac:dyDescent="0.25">
      <c r="AC1582" s="70" t="str">
        <f>IF(AND(Sheet1!O1582="SIM",Sheet1!P1582="SIM"),"Sim","")</f>
        <v/>
      </c>
      <c r="AD1582" s="70" t="str">
        <f>IF(AC1582="sim",Sheet1!I1582,"")</f>
        <v/>
      </c>
    </row>
    <row r="1583" spans="29:30" x14ac:dyDescent="0.25">
      <c r="AC1583" s="70" t="str">
        <f>IF(AND(Sheet1!O1583="SIM",Sheet1!P1583="SIM"),"Sim","")</f>
        <v/>
      </c>
      <c r="AD1583" s="70" t="str">
        <f>IF(AC1583="sim",Sheet1!I1583,"")</f>
        <v/>
      </c>
    </row>
    <row r="1584" spans="29:30" x14ac:dyDescent="0.25">
      <c r="AC1584" s="70" t="str">
        <f>IF(AND(Sheet1!O1584="SIM",Sheet1!P1584="SIM"),"Sim","")</f>
        <v/>
      </c>
      <c r="AD1584" s="70" t="str">
        <f>IF(AC1584="sim",Sheet1!I1584,"")</f>
        <v/>
      </c>
    </row>
    <row r="1585" spans="29:30" x14ac:dyDescent="0.25">
      <c r="AC1585" s="70" t="str">
        <f>IF(AND(Sheet1!O1585="SIM",Sheet1!P1585="SIM"),"Sim","")</f>
        <v/>
      </c>
      <c r="AD1585" s="70" t="str">
        <f>IF(AC1585="sim",Sheet1!I1585,"")</f>
        <v/>
      </c>
    </row>
    <row r="1586" spans="29:30" x14ac:dyDescent="0.25">
      <c r="AC1586" s="70" t="str">
        <f>IF(AND(Sheet1!O1586="SIM",Sheet1!P1586="SIM"),"Sim","")</f>
        <v/>
      </c>
      <c r="AD1586" s="70" t="str">
        <f>IF(AC1586="sim",Sheet1!I1586,"")</f>
        <v/>
      </c>
    </row>
    <row r="1587" spans="29:30" x14ac:dyDescent="0.25">
      <c r="AC1587" s="70" t="str">
        <f>IF(AND(Sheet1!O1587="SIM",Sheet1!P1587="SIM"),"Sim","")</f>
        <v/>
      </c>
      <c r="AD1587" s="70" t="str">
        <f>IF(AC1587="sim",Sheet1!I1587,"")</f>
        <v/>
      </c>
    </row>
    <row r="1588" spans="29:30" x14ac:dyDescent="0.25">
      <c r="AC1588" s="70" t="str">
        <f>IF(AND(Sheet1!O1588="SIM",Sheet1!P1588="SIM"),"Sim","")</f>
        <v/>
      </c>
      <c r="AD1588" s="70" t="str">
        <f>IF(AC1588="sim",Sheet1!I1588,"")</f>
        <v/>
      </c>
    </row>
    <row r="1589" spans="29:30" x14ac:dyDescent="0.25">
      <c r="AC1589" s="70" t="str">
        <f>IF(AND(Sheet1!O1589="SIM",Sheet1!P1589="SIM"),"Sim","")</f>
        <v/>
      </c>
      <c r="AD1589" s="70" t="str">
        <f>IF(AC1589="sim",Sheet1!I1589,"")</f>
        <v/>
      </c>
    </row>
    <row r="1590" spans="29:30" x14ac:dyDescent="0.25">
      <c r="AC1590" s="70" t="str">
        <f>IF(AND(Sheet1!O1590="SIM",Sheet1!P1590="SIM"),"Sim","")</f>
        <v/>
      </c>
      <c r="AD1590" s="70" t="str">
        <f>IF(AC1590="sim",Sheet1!I1590,"")</f>
        <v/>
      </c>
    </row>
    <row r="1591" spans="29:30" x14ac:dyDescent="0.25">
      <c r="AC1591" s="70" t="str">
        <f>IF(AND(Sheet1!O1591="SIM",Sheet1!P1591="SIM"),"Sim","")</f>
        <v/>
      </c>
      <c r="AD1591" s="70" t="str">
        <f>IF(AC1591="sim",Sheet1!I1591,"")</f>
        <v/>
      </c>
    </row>
    <row r="1592" spans="29:30" x14ac:dyDescent="0.25">
      <c r="AC1592" s="70" t="str">
        <f>IF(AND(Sheet1!O1592="SIM",Sheet1!P1592="SIM"),"Sim","")</f>
        <v/>
      </c>
      <c r="AD1592" s="70" t="str">
        <f>IF(AC1592="sim",Sheet1!I1592,"")</f>
        <v/>
      </c>
    </row>
    <row r="1593" spans="29:30" x14ac:dyDescent="0.25">
      <c r="AC1593" s="70" t="str">
        <f>IF(AND(Sheet1!O1593="SIM",Sheet1!P1593="SIM"),"Sim","")</f>
        <v/>
      </c>
      <c r="AD1593" s="70" t="str">
        <f>IF(AC1593="sim",Sheet1!I1593,"")</f>
        <v/>
      </c>
    </row>
    <row r="1594" spans="29:30" x14ac:dyDescent="0.25">
      <c r="AC1594" s="70" t="str">
        <f>IF(AND(Sheet1!O1594="SIM",Sheet1!P1594="SIM"),"Sim","")</f>
        <v/>
      </c>
      <c r="AD1594" s="70" t="str">
        <f>IF(AC1594="sim",Sheet1!I1594,"")</f>
        <v/>
      </c>
    </row>
    <row r="1595" spans="29:30" x14ac:dyDescent="0.25">
      <c r="AC1595" s="70" t="str">
        <f>IF(AND(Sheet1!O1595="SIM",Sheet1!P1595="SIM"),"Sim","")</f>
        <v/>
      </c>
      <c r="AD1595" s="70" t="str">
        <f>IF(AC1595="sim",Sheet1!I1595,"")</f>
        <v/>
      </c>
    </row>
    <row r="1596" spans="29:30" x14ac:dyDescent="0.25">
      <c r="AC1596" s="70" t="str">
        <f>IF(AND(Sheet1!O1596="SIM",Sheet1!P1596="SIM"),"Sim","")</f>
        <v/>
      </c>
      <c r="AD1596" s="70" t="str">
        <f>IF(AC1596="sim",Sheet1!I1596,"")</f>
        <v/>
      </c>
    </row>
    <row r="1597" spans="29:30" x14ac:dyDescent="0.25">
      <c r="AC1597" s="70" t="str">
        <f>IF(AND(Sheet1!O1597="SIM",Sheet1!P1597="SIM"),"Sim","")</f>
        <v/>
      </c>
      <c r="AD1597" s="70" t="str">
        <f>IF(AC1597="sim",Sheet1!I1597,"")</f>
        <v/>
      </c>
    </row>
    <row r="1598" spans="29:30" x14ac:dyDescent="0.25">
      <c r="AC1598" s="70" t="str">
        <f>IF(AND(Sheet1!O1598="SIM",Sheet1!P1598="SIM"),"Sim","")</f>
        <v/>
      </c>
      <c r="AD1598" s="70" t="str">
        <f>IF(AC1598="sim",Sheet1!I1598,"")</f>
        <v/>
      </c>
    </row>
    <row r="1599" spans="29:30" x14ac:dyDescent="0.25">
      <c r="AC1599" s="70" t="str">
        <f>IF(AND(Sheet1!O1599="SIM",Sheet1!P1599="SIM"),"Sim","")</f>
        <v/>
      </c>
      <c r="AD1599" s="70" t="str">
        <f>IF(AC1599="sim",Sheet1!I1599,"")</f>
        <v/>
      </c>
    </row>
    <row r="1600" spans="29:30" x14ac:dyDescent="0.25">
      <c r="AC1600" s="70" t="str">
        <f>IF(AND(Sheet1!O1600="SIM",Sheet1!P1600="SIM"),"Sim","")</f>
        <v/>
      </c>
      <c r="AD1600" s="70" t="str">
        <f>IF(AC1600="sim",Sheet1!I1600,"")</f>
        <v/>
      </c>
    </row>
    <row r="1601" spans="29:30" x14ac:dyDescent="0.25">
      <c r="AC1601" s="70" t="str">
        <f>IF(AND(Sheet1!O1601="SIM",Sheet1!P1601="SIM"),"Sim","")</f>
        <v/>
      </c>
      <c r="AD1601" s="70" t="str">
        <f>IF(AC1601="sim",Sheet1!I1601,"")</f>
        <v/>
      </c>
    </row>
    <row r="1602" spans="29:30" x14ac:dyDescent="0.25">
      <c r="AC1602" s="70" t="str">
        <f>IF(AND(Sheet1!O1602="SIM",Sheet1!P1602="SIM"),"Sim","")</f>
        <v/>
      </c>
      <c r="AD1602" s="70" t="str">
        <f>IF(AC1602="sim",Sheet1!I1602,"")</f>
        <v/>
      </c>
    </row>
    <row r="1603" spans="29:30" x14ac:dyDescent="0.25">
      <c r="AC1603" s="70" t="str">
        <f>IF(AND(Sheet1!O1603="SIM",Sheet1!P1603="SIM"),"Sim","")</f>
        <v/>
      </c>
      <c r="AD1603" s="70" t="str">
        <f>IF(AC1603="sim",Sheet1!I1603,"")</f>
        <v/>
      </c>
    </row>
    <row r="1604" spans="29:30" x14ac:dyDescent="0.25">
      <c r="AC1604" s="70" t="str">
        <f>IF(AND(Sheet1!O1604="SIM",Sheet1!P1604="SIM"),"Sim","")</f>
        <v/>
      </c>
      <c r="AD1604" s="70" t="str">
        <f>IF(AC1604="sim",Sheet1!I1604,"")</f>
        <v/>
      </c>
    </row>
    <row r="1605" spans="29:30" x14ac:dyDescent="0.25">
      <c r="AC1605" s="70" t="str">
        <f>IF(AND(Sheet1!O1605="SIM",Sheet1!P1605="SIM"),"Sim","")</f>
        <v/>
      </c>
      <c r="AD1605" s="70" t="str">
        <f>IF(AC1605="sim",Sheet1!I1605,"")</f>
        <v/>
      </c>
    </row>
    <row r="1606" spans="29:30" x14ac:dyDescent="0.25">
      <c r="AC1606" s="70" t="str">
        <f>IF(AND(Sheet1!O1606="SIM",Sheet1!P1606="SIM"),"Sim","")</f>
        <v/>
      </c>
      <c r="AD1606" s="70" t="str">
        <f>IF(AC1606="sim",Sheet1!I1606,"")</f>
        <v/>
      </c>
    </row>
    <row r="1607" spans="29:30" x14ac:dyDescent="0.25">
      <c r="AC1607" s="70" t="str">
        <f>IF(AND(Sheet1!O1607="SIM",Sheet1!P1607="SIM"),"Sim","")</f>
        <v/>
      </c>
      <c r="AD1607" s="70" t="str">
        <f>IF(AC1607="sim",Sheet1!I1607,"")</f>
        <v/>
      </c>
    </row>
    <row r="1608" spans="29:30" x14ac:dyDescent="0.25">
      <c r="AC1608" s="70" t="str">
        <f>IF(AND(Sheet1!O1608="SIM",Sheet1!P1608="SIM"),"Sim","")</f>
        <v/>
      </c>
      <c r="AD1608" s="70" t="str">
        <f>IF(AC1608="sim",Sheet1!I1608,"")</f>
        <v/>
      </c>
    </row>
    <row r="1609" spans="29:30" x14ac:dyDescent="0.25">
      <c r="AC1609" s="70" t="str">
        <f>IF(AND(Sheet1!O1609="SIM",Sheet1!P1609="SIM"),"Sim","")</f>
        <v/>
      </c>
      <c r="AD1609" s="70" t="str">
        <f>IF(AC1609="sim",Sheet1!I1609,"")</f>
        <v/>
      </c>
    </row>
    <row r="1610" spans="29:30" x14ac:dyDescent="0.25">
      <c r="AC1610" s="70" t="str">
        <f>IF(AND(Sheet1!O1610="SIM",Sheet1!P1610="SIM"),"Sim","")</f>
        <v/>
      </c>
      <c r="AD1610" s="70" t="str">
        <f>IF(AC1610="sim",Sheet1!I1610,"")</f>
        <v/>
      </c>
    </row>
    <row r="1611" spans="29:30" x14ac:dyDescent="0.25">
      <c r="AC1611" s="70" t="str">
        <f>IF(AND(Sheet1!O1611="SIM",Sheet1!P1611="SIM"),"Sim","")</f>
        <v/>
      </c>
      <c r="AD1611" s="70" t="str">
        <f>IF(AC1611="sim",Sheet1!I1611,"")</f>
        <v/>
      </c>
    </row>
    <row r="1612" spans="29:30" x14ac:dyDescent="0.25">
      <c r="AC1612" s="70" t="str">
        <f>IF(AND(Sheet1!O1612="SIM",Sheet1!P1612="SIM"),"Sim","")</f>
        <v/>
      </c>
      <c r="AD1612" s="70" t="str">
        <f>IF(AC1612="sim",Sheet1!I1612,"")</f>
        <v/>
      </c>
    </row>
    <row r="1613" spans="29:30" x14ac:dyDescent="0.25">
      <c r="AC1613" s="70" t="str">
        <f>IF(AND(Sheet1!O1613="SIM",Sheet1!P1613="SIM"),"Sim","")</f>
        <v/>
      </c>
      <c r="AD1613" s="70" t="str">
        <f>IF(AC1613="sim",Sheet1!I1613,"")</f>
        <v/>
      </c>
    </row>
    <row r="1614" spans="29:30" x14ac:dyDescent="0.25">
      <c r="AC1614" s="70" t="str">
        <f>IF(AND(Sheet1!O1614="SIM",Sheet1!P1614="SIM"),"Sim","")</f>
        <v/>
      </c>
      <c r="AD1614" s="70" t="str">
        <f>IF(AC1614="sim",Sheet1!I1614,"")</f>
        <v/>
      </c>
    </row>
    <row r="1615" spans="29:30" x14ac:dyDescent="0.25">
      <c r="AC1615" s="70" t="str">
        <f>IF(AND(Sheet1!O1615="SIM",Sheet1!P1615="SIM"),"Sim","")</f>
        <v/>
      </c>
      <c r="AD1615" s="70" t="str">
        <f>IF(AC1615="sim",Sheet1!I1615,"")</f>
        <v/>
      </c>
    </row>
    <row r="1616" spans="29:30" x14ac:dyDescent="0.25">
      <c r="AC1616" s="70" t="str">
        <f>IF(AND(Sheet1!O1616="SIM",Sheet1!P1616="SIM"),"Sim","")</f>
        <v/>
      </c>
      <c r="AD1616" s="70" t="str">
        <f>IF(AC1616="sim",Sheet1!I1616,"")</f>
        <v/>
      </c>
    </row>
    <row r="1617" spans="29:30" x14ac:dyDescent="0.25">
      <c r="AC1617" s="70" t="str">
        <f>IF(AND(Sheet1!O1617="SIM",Sheet1!P1617="SIM"),"Sim","")</f>
        <v/>
      </c>
      <c r="AD1617" s="70" t="str">
        <f>IF(AC1617="sim",Sheet1!I1617,"")</f>
        <v/>
      </c>
    </row>
    <row r="1618" spans="29:30" x14ac:dyDescent="0.25">
      <c r="AC1618" s="70" t="str">
        <f>IF(AND(Sheet1!O1618="SIM",Sheet1!P1618="SIM"),"Sim","")</f>
        <v/>
      </c>
      <c r="AD1618" s="70" t="str">
        <f>IF(AC1618="sim",Sheet1!I1618,"")</f>
        <v/>
      </c>
    </row>
    <row r="1619" spans="29:30" x14ac:dyDescent="0.25">
      <c r="AC1619" s="70" t="str">
        <f>IF(AND(Sheet1!O1619="SIM",Sheet1!P1619="SIM"),"Sim","")</f>
        <v/>
      </c>
      <c r="AD1619" s="70" t="str">
        <f>IF(AC1619="sim",Sheet1!I1619,"")</f>
        <v/>
      </c>
    </row>
    <row r="1620" spans="29:30" x14ac:dyDescent="0.25">
      <c r="AC1620" s="70" t="str">
        <f>IF(AND(Sheet1!O1620="SIM",Sheet1!P1620="SIM"),"Sim","")</f>
        <v/>
      </c>
      <c r="AD1620" s="70" t="str">
        <f>IF(AC1620="sim",Sheet1!I1620,"")</f>
        <v/>
      </c>
    </row>
    <row r="1621" spans="29:30" x14ac:dyDescent="0.25">
      <c r="AC1621" s="70" t="str">
        <f>IF(AND(Sheet1!O1621="SIM",Sheet1!P1621="SIM"),"Sim","")</f>
        <v/>
      </c>
      <c r="AD1621" s="70" t="str">
        <f>IF(AC1621="sim",Sheet1!I1621,"")</f>
        <v/>
      </c>
    </row>
    <row r="1622" spans="29:30" x14ac:dyDescent="0.25">
      <c r="AC1622" s="70" t="str">
        <f>IF(AND(Sheet1!O1622="SIM",Sheet1!P1622="SIM"),"Sim","")</f>
        <v/>
      </c>
      <c r="AD1622" s="70" t="str">
        <f>IF(AC1622="sim",Sheet1!I1622,"")</f>
        <v/>
      </c>
    </row>
    <row r="1623" spans="29:30" x14ac:dyDescent="0.25">
      <c r="AC1623" s="70" t="str">
        <f>IF(AND(Sheet1!O1623="SIM",Sheet1!P1623="SIM"),"Sim","")</f>
        <v/>
      </c>
      <c r="AD1623" s="70" t="str">
        <f>IF(AC1623="sim",Sheet1!I1623,"")</f>
        <v/>
      </c>
    </row>
    <row r="1624" spans="29:30" x14ac:dyDescent="0.25">
      <c r="AC1624" s="70" t="str">
        <f>IF(AND(Sheet1!O1624="SIM",Sheet1!P1624="SIM"),"Sim","")</f>
        <v/>
      </c>
      <c r="AD1624" s="70" t="str">
        <f>IF(AC1624="sim",Sheet1!I1624,"")</f>
        <v/>
      </c>
    </row>
    <row r="1625" spans="29:30" x14ac:dyDescent="0.25">
      <c r="AC1625" s="70" t="str">
        <f>IF(AND(Sheet1!O1625="SIM",Sheet1!P1625="SIM"),"Sim","")</f>
        <v/>
      </c>
      <c r="AD1625" s="70" t="str">
        <f>IF(AC1625="sim",Sheet1!I1625,"")</f>
        <v/>
      </c>
    </row>
    <row r="1626" spans="29:30" x14ac:dyDescent="0.25">
      <c r="AC1626" s="70" t="str">
        <f>IF(AND(Sheet1!O1626="SIM",Sheet1!P1626="SIM"),"Sim","")</f>
        <v/>
      </c>
      <c r="AD1626" s="70" t="str">
        <f>IF(AC1626="sim",Sheet1!I1626,"")</f>
        <v/>
      </c>
    </row>
    <row r="1627" spans="29:30" x14ac:dyDescent="0.25">
      <c r="AC1627" s="70" t="str">
        <f>IF(AND(Sheet1!O1627="SIM",Sheet1!P1627="SIM"),"Sim","")</f>
        <v/>
      </c>
      <c r="AD1627" s="70" t="str">
        <f>IF(AC1627="sim",Sheet1!I1627,"")</f>
        <v/>
      </c>
    </row>
    <row r="1628" spans="29:30" x14ac:dyDescent="0.25">
      <c r="AC1628" s="70" t="str">
        <f>IF(AND(Sheet1!O1628="SIM",Sheet1!P1628="SIM"),"Sim","")</f>
        <v/>
      </c>
      <c r="AD1628" s="70" t="str">
        <f>IF(AC1628="sim",Sheet1!I1628,"")</f>
        <v/>
      </c>
    </row>
    <row r="1629" spans="29:30" x14ac:dyDescent="0.25">
      <c r="AC1629" s="70" t="str">
        <f>IF(AND(Sheet1!O1629="SIM",Sheet1!P1629="SIM"),"Sim","")</f>
        <v/>
      </c>
      <c r="AD1629" s="70" t="str">
        <f>IF(AC1629="sim",Sheet1!I1629,"")</f>
        <v/>
      </c>
    </row>
    <row r="1630" spans="29:30" x14ac:dyDescent="0.25">
      <c r="AC1630" s="70" t="str">
        <f>IF(AND(Sheet1!O1630="SIM",Sheet1!P1630="SIM"),"Sim","")</f>
        <v/>
      </c>
      <c r="AD1630" s="70" t="str">
        <f>IF(AC1630="sim",Sheet1!I1630,"")</f>
        <v/>
      </c>
    </row>
    <row r="1631" spans="29:30" x14ac:dyDescent="0.25">
      <c r="AC1631" s="70" t="str">
        <f>IF(AND(Sheet1!O1631="SIM",Sheet1!P1631="SIM"),"Sim","")</f>
        <v/>
      </c>
      <c r="AD1631" s="70" t="str">
        <f>IF(AC1631="sim",Sheet1!I1631,"")</f>
        <v/>
      </c>
    </row>
    <row r="1632" spans="29:30" x14ac:dyDescent="0.25">
      <c r="AC1632" s="70" t="str">
        <f>IF(AND(Sheet1!O1632="SIM",Sheet1!P1632="SIM"),"Sim","")</f>
        <v/>
      </c>
      <c r="AD1632" s="70" t="str">
        <f>IF(AC1632="sim",Sheet1!I1632,"")</f>
        <v/>
      </c>
    </row>
    <row r="1633" spans="29:30" x14ac:dyDescent="0.25">
      <c r="AC1633" s="70" t="str">
        <f>IF(AND(Sheet1!O1633="SIM",Sheet1!P1633="SIM"),"Sim","")</f>
        <v/>
      </c>
      <c r="AD1633" s="70" t="str">
        <f>IF(AC1633="sim",Sheet1!I1633,"")</f>
        <v/>
      </c>
    </row>
    <row r="1634" spans="29:30" x14ac:dyDescent="0.25">
      <c r="AC1634" s="70" t="str">
        <f>IF(AND(Sheet1!O1634="SIM",Sheet1!P1634="SIM"),"Sim","")</f>
        <v/>
      </c>
      <c r="AD1634" s="70" t="str">
        <f>IF(AC1634="sim",Sheet1!I1634,"")</f>
        <v/>
      </c>
    </row>
    <row r="1635" spans="29:30" x14ac:dyDescent="0.25">
      <c r="AC1635" s="70" t="str">
        <f>IF(AND(Sheet1!O1635="SIM",Sheet1!P1635="SIM"),"Sim","")</f>
        <v/>
      </c>
      <c r="AD1635" s="70" t="str">
        <f>IF(AC1635="sim",Sheet1!I1635,"")</f>
        <v/>
      </c>
    </row>
    <row r="1636" spans="29:30" x14ac:dyDescent="0.25">
      <c r="AC1636" s="70" t="str">
        <f>IF(AND(Sheet1!O1636="SIM",Sheet1!P1636="SIM"),"Sim","")</f>
        <v/>
      </c>
      <c r="AD1636" s="70" t="str">
        <f>IF(AC1636="sim",Sheet1!I1636,"")</f>
        <v/>
      </c>
    </row>
    <row r="1637" spans="29:30" x14ac:dyDescent="0.25">
      <c r="AC1637" s="70" t="str">
        <f>IF(AND(Sheet1!O1637="SIM",Sheet1!P1637="SIM"),"Sim","")</f>
        <v/>
      </c>
      <c r="AD1637" s="70" t="str">
        <f>IF(AC1637="sim",Sheet1!I1637,"")</f>
        <v/>
      </c>
    </row>
    <row r="1638" spans="29:30" x14ac:dyDescent="0.25">
      <c r="AC1638" s="70" t="str">
        <f>IF(AND(Sheet1!O1638="SIM",Sheet1!P1638="SIM"),"Sim","")</f>
        <v/>
      </c>
      <c r="AD1638" s="70" t="str">
        <f>IF(AC1638="sim",Sheet1!I1638,"")</f>
        <v/>
      </c>
    </row>
    <row r="1639" spans="29:30" x14ac:dyDescent="0.25">
      <c r="AC1639" s="70" t="str">
        <f>IF(AND(Sheet1!O1639="SIM",Sheet1!P1639="SIM"),"Sim","")</f>
        <v/>
      </c>
      <c r="AD1639" s="70" t="str">
        <f>IF(AC1639="sim",Sheet1!I1639,"")</f>
        <v/>
      </c>
    </row>
    <row r="1640" spans="29:30" x14ac:dyDescent="0.25">
      <c r="AC1640" s="70" t="str">
        <f>IF(AND(Sheet1!O1640="SIM",Sheet1!P1640="SIM"),"Sim","")</f>
        <v/>
      </c>
      <c r="AD1640" s="70" t="str">
        <f>IF(AC1640="sim",Sheet1!I1640,"")</f>
        <v/>
      </c>
    </row>
    <row r="1641" spans="29:30" x14ac:dyDescent="0.25">
      <c r="AC1641" s="70" t="str">
        <f>IF(AND(Sheet1!O1641="SIM",Sheet1!P1641="SIM"),"Sim","")</f>
        <v/>
      </c>
      <c r="AD1641" s="70" t="str">
        <f>IF(AC1641="sim",Sheet1!I1641,"")</f>
        <v/>
      </c>
    </row>
    <row r="1642" spans="29:30" x14ac:dyDescent="0.25">
      <c r="AC1642" s="70" t="str">
        <f>IF(AND(Sheet1!O1642="SIM",Sheet1!P1642="SIM"),"Sim","")</f>
        <v/>
      </c>
      <c r="AD1642" s="70" t="str">
        <f>IF(AC1642="sim",Sheet1!I1642,"")</f>
        <v/>
      </c>
    </row>
    <row r="1643" spans="29:30" x14ac:dyDescent="0.25">
      <c r="AC1643" s="70" t="str">
        <f>IF(AND(Sheet1!O1643="SIM",Sheet1!P1643="SIM"),"Sim","")</f>
        <v/>
      </c>
      <c r="AD1643" s="70" t="str">
        <f>IF(AC1643="sim",Sheet1!I1643,"")</f>
        <v/>
      </c>
    </row>
    <row r="1644" spans="29:30" x14ac:dyDescent="0.25">
      <c r="AC1644" s="70" t="str">
        <f>IF(AND(Sheet1!O1644="SIM",Sheet1!P1644="SIM"),"Sim","")</f>
        <v/>
      </c>
      <c r="AD1644" s="70" t="str">
        <f>IF(AC1644="sim",Sheet1!I1644,"")</f>
        <v/>
      </c>
    </row>
    <row r="1645" spans="29:30" x14ac:dyDescent="0.25">
      <c r="AC1645" s="70" t="str">
        <f>IF(AND(Sheet1!O1645="SIM",Sheet1!P1645="SIM"),"Sim","")</f>
        <v/>
      </c>
      <c r="AD1645" s="70" t="str">
        <f>IF(AC1645="sim",Sheet1!I1645,"")</f>
        <v/>
      </c>
    </row>
    <row r="1646" spans="29:30" x14ac:dyDescent="0.25">
      <c r="AC1646" s="70" t="str">
        <f>IF(AND(Sheet1!O1646="SIM",Sheet1!P1646="SIM"),"Sim","")</f>
        <v/>
      </c>
      <c r="AD1646" s="70" t="str">
        <f>IF(AC1646="sim",Sheet1!I1646,"")</f>
        <v/>
      </c>
    </row>
    <row r="1647" spans="29:30" x14ac:dyDescent="0.25">
      <c r="AC1647" s="70" t="str">
        <f>IF(AND(Sheet1!O1647="SIM",Sheet1!P1647="SIM"),"Sim","")</f>
        <v/>
      </c>
      <c r="AD1647" s="70" t="str">
        <f>IF(AC1647="sim",Sheet1!I1647,"")</f>
        <v/>
      </c>
    </row>
    <row r="1648" spans="29:30" x14ac:dyDescent="0.25">
      <c r="AC1648" s="70" t="str">
        <f>IF(AND(Sheet1!O1648="SIM",Sheet1!P1648="SIM"),"Sim","")</f>
        <v/>
      </c>
      <c r="AD1648" s="70" t="str">
        <f>IF(AC1648="sim",Sheet1!I1648,"")</f>
        <v/>
      </c>
    </row>
    <row r="1649" spans="29:30" x14ac:dyDescent="0.25">
      <c r="AC1649" s="70" t="str">
        <f>IF(AND(Sheet1!O1649="SIM",Sheet1!P1649="SIM"),"Sim","")</f>
        <v/>
      </c>
      <c r="AD1649" s="70" t="str">
        <f>IF(AC1649="sim",Sheet1!I1649,"")</f>
        <v/>
      </c>
    </row>
    <row r="1650" spans="29:30" x14ac:dyDescent="0.25">
      <c r="AC1650" s="70" t="str">
        <f>IF(AND(Sheet1!O1650="SIM",Sheet1!P1650="SIM"),"Sim","")</f>
        <v/>
      </c>
      <c r="AD1650" s="70" t="str">
        <f>IF(AC1650="sim",Sheet1!I1650,"")</f>
        <v/>
      </c>
    </row>
    <row r="1651" spans="29:30" x14ac:dyDescent="0.25">
      <c r="AC1651" s="70" t="str">
        <f>IF(AND(Sheet1!O1651="SIM",Sheet1!P1651="SIM"),"Sim","")</f>
        <v/>
      </c>
      <c r="AD1651" s="70" t="str">
        <f>IF(AC1651="sim",Sheet1!I1651,"")</f>
        <v/>
      </c>
    </row>
    <row r="1652" spans="29:30" x14ac:dyDescent="0.25">
      <c r="AC1652" s="70" t="str">
        <f>IF(AND(Sheet1!O1652="SIM",Sheet1!P1652="SIM"),"Sim","")</f>
        <v/>
      </c>
      <c r="AD1652" s="70" t="str">
        <f>IF(AC1652="sim",Sheet1!I1652,"")</f>
        <v/>
      </c>
    </row>
    <row r="1653" spans="29:30" x14ac:dyDescent="0.25">
      <c r="AC1653" s="70" t="str">
        <f>IF(AND(Sheet1!O1653="SIM",Sheet1!P1653="SIM"),"Sim","")</f>
        <v/>
      </c>
      <c r="AD1653" s="70" t="str">
        <f>IF(AC1653="sim",Sheet1!I1653,"")</f>
        <v/>
      </c>
    </row>
    <row r="1654" spans="29:30" x14ac:dyDescent="0.25">
      <c r="AC1654" s="70" t="str">
        <f>IF(AND(Sheet1!O1654="SIM",Sheet1!P1654="SIM"),"Sim","")</f>
        <v/>
      </c>
      <c r="AD1654" s="70" t="str">
        <f>IF(AC1654="sim",Sheet1!I1654,"")</f>
        <v/>
      </c>
    </row>
    <row r="1655" spans="29:30" x14ac:dyDescent="0.25">
      <c r="AC1655" s="70" t="str">
        <f>IF(AND(Sheet1!O1655="SIM",Sheet1!P1655="SIM"),"Sim","")</f>
        <v/>
      </c>
      <c r="AD1655" s="70" t="str">
        <f>IF(AC1655="sim",Sheet1!I1655,"")</f>
        <v/>
      </c>
    </row>
    <row r="1656" spans="29:30" x14ac:dyDescent="0.25">
      <c r="AC1656" s="70" t="str">
        <f>IF(AND(Sheet1!O1656="SIM",Sheet1!P1656="SIM"),"Sim","")</f>
        <v/>
      </c>
      <c r="AD1656" s="70" t="str">
        <f>IF(AC1656="sim",Sheet1!I1656,"")</f>
        <v/>
      </c>
    </row>
    <row r="1657" spans="29:30" x14ac:dyDescent="0.25">
      <c r="AC1657" s="70" t="str">
        <f>IF(AND(Sheet1!O1657="SIM",Sheet1!P1657="SIM"),"Sim","")</f>
        <v/>
      </c>
      <c r="AD1657" s="70" t="str">
        <f>IF(AC1657="sim",Sheet1!I1657,"")</f>
        <v/>
      </c>
    </row>
    <row r="1658" spans="29:30" x14ac:dyDescent="0.25">
      <c r="AC1658" s="70" t="str">
        <f>IF(AND(Sheet1!O1658="SIM",Sheet1!P1658="SIM"),"Sim","")</f>
        <v/>
      </c>
      <c r="AD1658" s="70" t="str">
        <f>IF(AC1658="sim",Sheet1!I1658,"")</f>
        <v/>
      </c>
    </row>
    <row r="1659" spans="29:30" x14ac:dyDescent="0.25">
      <c r="AC1659" s="70" t="str">
        <f>IF(AND(Sheet1!O1659="SIM",Sheet1!P1659="SIM"),"Sim","")</f>
        <v/>
      </c>
      <c r="AD1659" s="70" t="str">
        <f>IF(AC1659="sim",Sheet1!I1659,"")</f>
        <v/>
      </c>
    </row>
    <row r="1660" spans="29:30" x14ac:dyDescent="0.25">
      <c r="AC1660" s="70" t="str">
        <f>IF(AND(Sheet1!O1660="SIM",Sheet1!P1660="SIM"),"Sim","")</f>
        <v/>
      </c>
      <c r="AD1660" s="70" t="str">
        <f>IF(AC1660="sim",Sheet1!I1660,"")</f>
        <v/>
      </c>
    </row>
    <row r="1661" spans="29:30" x14ac:dyDescent="0.25">
      <c r="AC1661" s="70" t="str">
        <f>IF(AND(Sheet1!O1661="SIM",Sheet1!P1661="SIM"),"Sim","")</f>
        <v/>
      </c>
      <c r="AD1661" s="70" t="str">
        <f>IF(AC1661="sim",Sheet1!I1661,"")</f>
        <v/>
      </c>
    </row>
    <row r="1662" spans="29:30" x14ac:dyDescent="0.25">
      <c r="AC1662" s="70" t="str">
        <f>IF(AND(Sheet1!O1662="SIM",Sheet1!P1662="SIM"),"Sim","")</f>
        <v/>
      </c>
      <c r="AD1662" s="70" t="str">
        <f>IF(AC1662="sim",Sheet1!I1662,"")</f>
        <v/>
      </c>
    </row>
    <row r="1663" spans="29:30" x14ac:dyDescent="0.25">
      <c r="AC1663" s="70" t="str">
        <f>IF(AND(Sheet1!O1663="SIM",Sheet1!P1663="SIM"),"Sim","")</f>
        <v/>
      </c>
      <c r="AD1663" s="70" t="str">
        <f>IF(AC1663="sim",Sheet1!I1663,"")</f>
        <v/>
      </c>
    </row>
    <row r="1664" spans="29:30" x14ac:dyDescent="0.25">
      <c r="AC1664" s="70" t="str">
        <f>IF(AND(Sheet1!O1664="SIM",Sheet1!P1664="SIM"),"Sim","")</f>
        <v/>
      </c>
      <c r="AD1664" s="70" t="str">
        <f>IF(AC1664="sim",Sheet1!I1664,"")</f>
        <v/>
      </c>
    </row>
    <row r="1665" spans="29:30" x14ac:dyDescent="0.25">
      <c r="AC1665" s="70" t="str">
        <f>IF(AND(Sheet1!O1665="SIM",Sheet1!P1665="SIM"),"Sim","")</f>
        <v/>
      </c>
      <c r="AD1665" s="70" t="str">
        <f>IF(AC1665="sim",Sheet1!I1665,"")</f>
        <v/>
      </c>
    </row>
    <row r="1666" spans="29:30" x14ac:dyDescent="0.25">
      <c r="AC1666" s="70" t="str">
        <f>IF(AND(Sheet1!O1666="SIM",Sheet1!P1666="SIM"),"Sim","")</f>
        <v/>
      </c>
      <c r="AD1666" s="70" t="str">
        <f>IF(AC1666="sim",Sheet1!I1666,"")</f>
        <v/>
      </c>
    </row>
    <row r="1667" spans="29:30" x14ac:dyDescent="0.25">
      <c r="AC1667" s="70" t="str">
        <f>IF(AND(Sheet1!O1667="SIM",Sheet1!P1667="SIM"),"Sim","")</f>
        <v/>
      </c>
      <c r="AD1667" s="70" t="str">
        <f>IF(AC1667="sim",Sheet1!I1667,"")</f>
        <v/>
      </c>
    </row>
    <row r="1668" spans="29:30" x14ac:dyDescent="0.25">
      <c r="AC1668" s="70" t="str">
        <f>IF(AND(Sheet1!O1668="SIM",Sheet1!P1668="SIM"),"Sim","")</f>
        <v/>
      </c>
      <c r="AD1668" s="70" t="str">
        <f>IF(AC1668="sim",Sheet1!I1668,"")</f>
        <v/>
      </c>
    </row>
    <row r="1669" spans="29:30" x14ac:dyDescent="0.25">
      <c r="AC1669" s="70" t="str">
        <f>IF(AND(Sheet1!O1669="SIM",Sheet1!P1669="SIM"),"Sim","")</f>
        <v/>
      </c>
      <c r="AD1669" s="70" t="str">
        <f>IF(AC1669="sim",Sheet1!I1669,"")</f>
        <v/>
      </c>
    </row>
    <row r="1670" spans="29:30" x14ac:dyDescent="0.25">
      <c r="AC1670" s="70" t="str">
        <f>IF(AND(Sheet1!O1670="SIM",Sheet1!P1670="SIM"),"Sim","")</f>
        <v/>
      </c>
      <c r="AD1670" s="70" t="str">
        <f>IF(AC1670="sim",Sheet1!I1670,"")</f>
        <v/>
      </c>
    </row>
    <row r="1671" spans="29:30" x14ac:dyDescent="0.25">
      <c r="AC1671" s="70" t="str">
        <f>IF(AND(Sheet1!O1671="SIM",Sheet1!P1671="SIM"),"Sim","")</f>
        <v/>
      </c>
      <c r="AD1671" s="70" t="str">
        <f>IF(AC1671="sim",Sheet1!I1671,"")</f>
        <v/>
      </c>
    </row>
    <row r="1672" spans="29:30" x14ac:dyDescent="0.25">
      <c r="AC1672" s="70" t="str">
        <f>IF(AND(Sheet1!O1672="SIM",Sheet1!P1672="SIM"),"Sim","")</f>
        <v/>
      </c>
      <c r="AD1672" s="70" t="str">
        <f>IF(AC1672="sim",Sheet1!I1672,"")</f>
        <v/>
      </c>
    </row>
    <row r="1673" spans="29:30" x14ac:dyDescent="0.25">
      <c r="AC1673" s="70" t="str">
        <f>IF(AND(Sheet1!O1673="SIM",Sheet1!P1673="SIM"),"Sim","")</f>
        <v/>
      </c>
      <c r="AD1673" s="70" t="str">
        <f>IF(AC1673="sim",Sheet1!I1673,"")</f>
        <v/>
      </c>
    </row>
    <row r="1674" spans="29:30" x14ac:dyDescent="0.25">
      <c r="AC1674" s="70" t="str">
        <f>IF(AND(Sheet1!O1674="SIM",Sheet1!P1674="SIM"),"Sim","")</f>
        <v/>
      </c>
      <c r="AD1674" s="70" t="str">
        <f>IF(AC1674="sim",Sheet1!I1674,"")</f>
        <v/>
      </c>
    </row>
    <row r="1675" spans="29:30" x14ac:dyDescent="0.25">
      <c r="AC1675" s="70" t="str">
        <f>IF(AND(Sheet1!O1675="SIM",Sheet1!P1675="SIM"),"Sim","")</f>
        <v/>
      </c>
      <c r="AD1675" s="70" t="str">
        <f>IF(AC1675="sim",Sheet1!I1675,"")</f>
        <v/>
      </c>
    </row>
    <row r="1676" spans="29:30" x14ac:dyDescent="0.25">
      <c r="AC1676" s="70" t="str">
        <f>IF(AND(Sheet1!O1676="SIM",Sheet1!P1676="SIM"),"Sim","")</f>
        <v/>
      </c>
      <c r="AD1676" s="70" t="str">
        <f>IF(AC1676="sim",Sheet1!I1676,"")</f>
        <v/>
      </c>
    </row>
    <row r="1677" spans="29:30" x14ac:dyDescent="0.25">
      <c r="AC1677" s="70" t="str">
        <f>IF(AND(Sheet1!O1677="SIM",Sheet1!P1677="SIM"),"Sim","")</f>
        <v/>
      </c>
      <c r="AD1677" s="70" t="str">
        <f>IF(AC1677="sim",Sheet1!I1677,"")</f>
        <v/>
      </c>
    </row>
    <row r="1678" spans="29:30" x14ac:dyDescent="0.25">
      <c r="AC1678" s="70" t="str">
        <f>IF(AND(Sheet1!O1678="SIM",Sheet1!P1678="SIM"),"Sim","")</f>
        <v/>
      </c>
      <c r="AD1678" s="70" t="str">
        <f>IF(AC1678="sim",Sheet1!I1678,"")</f>
        <v/>
      </c>
    </row>
    <row r="1679" spans="29:30" x14ac:dyDescent="0.25">
      <c r="AC1679" s="70" t="str">
        <f>IF(AND(Sheet1!O1679="SIM",Sheet1!P1679="SIM"),"Sim","")</f>
        <v/>
      </c>
      <c r="AD1679" s="70" t="str">
        <f>IF(AC1679="sim",Sheet1!I1679,"")</f>
        <v/>
      </c>
    </row>
    <row r="1680" spans="29:30" x14ac:dyDescent="0.25">
      <c r="AC1680" s="70" t="str">
        <f>IF(AND(Sheet1!O1680="SIM",Sheet1!P1680="SIM"),"Sim","")</f>
        <v/>
      </c>
      <c r="AD1680" s="70" t="str">
        <f>IF(AC1680="sim",Sheet1!I1680,"")</f>
        <v/>
      </c>
    </row>
    <row r="1681" spans="29:30" x14ac:dyDescent="0.25">
      <c r="AC1681" s="70" t="str">
        <f>IF(AND(Sheet1!O1681="SIM",Sheet1!P1681="SIM"),"Sim","")</f>
        <v/>
      </c>
      <c r="AD1681" s="70" t="str">
        <f>IF(AC1681="sim",Sheet1!I1681,"")</f>
        <v/>
      </c>
    </row>
    <row r="1682" spans="29:30" x14ac:dyDescent="0.25">
      <c r="AC1682" s="70" t="str">
        <f>IF(AND(Sheet1!O1682="SIM",Sheet1!P1682="SIM"),"Sim","")</f>
        <v/>
      </c>
      <c r="AD1682" s="70" t="str">
        <f>IF(AC1682="sim",Sheet1!I1682,"")</f>
        <v/>
      </c>
    </row>
    <row r="1683" spans="29:30" x14ac:dyDescent="0.25">
      <c r="AC1683" s="70" t="str">
        <f>IF(AND(Sheet1!O1683="SIM",Sheet1!P1683="SIM"),"Sim","")</f>
        <v/>
      </c>
      <c r="AD1683" s="70" t="str">
        <f>IF(AC1683="sim",Sheet1!I1683,"")</f>
        <v/>
      </c>
    </row>
    <row r="1684" spans="29:30" x14ac:dyDescent="0.25">
      <c r="AC1684" s="70" t="str">
        <f>IF(AND(Sheet1!O1684="SIM",Sheet1!P1684="SIM"),"Sim","")</f>
        <v/>
      </c>
      <c r="AD1684" s="70" t="str">
        <f>IF(AC1684="sim",Sheet1!I1684,"")</f>
        <v/>
      </c>
    </row>
    <row r="1685" spans="29:30" x14ac:dyDescent="0.25">
      <c r="AC1685" s="70" t="str">
        <f>IF(AND(Sheet1!O1685="SIM",Sheet1!P1685="SIM"),"Sim","")</f>
        <v/>
      </c>
      <c r="AD1685" s="70" t="str">
        <f>IF(AC1685="sim",Sheet1!I1685,"")</f>
        <v/>
      </c>
    </row>
    <row r="1686" spans="29:30" x14ac:dyDescent="0.25">
      <c r="AC1686" s="70" t="str">
        <f>IF(AND(Sheet1!O1686="SIM",Sheet1!P1686="SIM"),"Sim","")</f>
        <v/>
      </c>
      <c r="AD1686" s="70" t="str">
        <f>IF(AC1686="sim",Sheet1!I1686,"")</f>
        <v/>
      </c>
    </row>
    <row r="1687" spans="29:30" x14ac:dyDescent="0.25">
      <c r="AC1687" s="70" t="str">
        <f>IF(AND(Sheet1!O1687="SIM",Sheet1!P1687="SIM"),"Sim","")</f>
        <v/>
      </c>
      <c r="AD1687" s="70" t="str">
        <f>IF(AC1687="sim",Sheet1!I1687,"")</f>
        <v/>
      </c>
    </row>
    <row r="1688" spans="29:30" x14ac:dyDescent="0.25">
      <c r="AC1688" s="70" t="str">
        <f>IF(AND(Sheet1!O1688="SIM",Sheet1!P1688="SIM"),"Sim","")</f>
        <v/>
      </c>
      <c r="AD1688" s="70" t="str">
        <f>IF(AC1688="sim",Sheet1!I1688,"")</f>
        <v/>
      </c>
    </row>
    <row r="1689" spans="29:30" x14ac:dyDescent="0.25">
      <c r="AC1689" s="70" t="str">
        <f>IF(AND(Sheet1!O1689="SIM",Sheet1!P1689="SIM"),"Sim","")</f>
        <v/>
      </c>
      <c r="AD1689" s="70" t="str">
        <f>IF(AC1689="sim",Sheet1!I1689,"")</f>
        <v/>
      </c>
    </row>
    <row r="1690" spans="29:30" x14ac:dyDescent="0.25">
      <c r="AC1690" s="70" t="str">
        <f>IF(AND(Sheet1!O1690="SIM",Sheet1!P1690="SIM"),"Sim","")</f>
        <v/>
      </c>
      <c r="AD1690" s="70" t="str">
        <f>IF(AC1690="sim",Sheet1!I1690,"")</f>
        <v/>
      </c>
    </row>
    <row r="1691" spans="29:30" x14ac:dyDescent="0.25">
      <c r="AC1691" s="70" t="str">
        <f>IF(AND(Sheet1!O1691="SIM",Sheet1!P1691="SIM"),"Sim","")</f>
        <v/>
      </c>
      <c r="AD1691" s="70" t="str">
        <f>IF(AC1691="sim",Sheet1!I1691,"")</f>
        <v/>
      </c>
    </row>
    <row r="1692" spans="29:30" x14ac:dyDescent="0.25">
      <c r="AC1692" s="70" t="str">
        <f>IF(AND(Sheet1!O1692="SIM",Sheet1!P1692="SIM"),"Sim","")</f>
        <v/>
      </c>
      <c r="AD1692" s="70" t="str">
        <f>IF(AC1692="sim",Sheet1!I1692,"")</f>
        <v/>
      </c>
    </row>
    <row r="1693" spans="29:30" x14ac:dyDescent="0.25">
      <c r="AC1693" s="70" t="str">
        <f>IF(AND(Sheet1!O1693="SIM",Sheet1!P1693="SIM"),"Sim","")</f>
        <v/>
      </c>
      <c r="AD1693" s="70" t="str">
        <f>IF(AC1693="sim",Sheet1!I1693,"")</f>
        <v/>
      </c>
    </row>
    <row r="1694" spans="29:30" x14ac:dyDescent="0.25">
      <c r="AC1694" s="70" t="str">
        <f>IF(AND(Sheet1!O1694="SIM",Sheet1!P1694="SIM"),"Sim","")</f>
        <v/>
      </c>
      <c r="AD1694" s="70" t="str">
        <f>IF(AC1694="sim",Sheet1!I1694,"")</f>
        <v/>
      </c>
    </row>
    <row r="1695" spans="29:30" x14ac:dyDescent="0.25">
      <c r="AC1695" s="70" t="str">
        <f>IF(AND(Sheet1!O1695="SIM",Sheet1!P1695="SIM"),"Sim","")</f>
        <v/>
      </c>
      <c r="AD1695" s="70" t="str">
        <f>IF(AC1695="sim",Sheet1!I1695,"")</f>
        <v/>
      </c>
    </row>
    <row r="1696" spans="29:30" x14ac:dyDescent="0.25">
      <c r="AC1696" s="70" t="str">
        <f>IF(AND(Sheet1!O1696="SIM",Sheet1!P1696="SIM"),"Sim","")</f>
        <v/>
      </c>
      <c r="AD1696" s="70" t="str">
        <f>IF(AC1696="sim",Sheet1!I1696,"")</f>
        <v/>
      </c>
    </row>
    <row r="1697" spans="29:30" x14ac:dyDescent="0.25">
      <c r="AC1697" s="70" t="str">
        <f>IF(AND(Sheet1!O1697="SIM",Sheet1!P1697="SIM"),"Sim","")</f>
        <v/>
      </c>
      <c r="AD1697" s="70" t="str">
        <f>IF(AC1697="sim",Sheet1!I1697,"")</f>
        <v/>
      </c>
    </row>
    <row r="1698" spans="29:30" x14ac:dyDescent="0.25">
      <c r="AC1698" s="70" t="str">
        <f>IF(AND(Sheet1!O1698="SIM",Sheet1!P1698="SIM"),"Sim","")</f>
        <v/>
      </c>
      <c r="AD1698" s="70" t="str">
        <f>IF(AC1698="sim",Sheet1!I1698,"")</f>
        <v/>
      </c>
    </row>
    <row r="1699" spans="29:30" x14ac:dyDescent="0.25">
      <c r="AC1699" s="70" t="str">
        <f>IF(AND(Sheet1!O1699="SIM",Sheet1!P1699="SIM"),"Sim","")</f>
        <v/>
      </c>
      <c r="AD1699" s="70" t="str">
        <f>IF(AC1699="sim",Sheet1!I1699,"")</f>
        <v/>
      </c>
    </row>
    <row r="1700" spans="29:30" x14ac:dyDescent="0.25">
      <c r="AC1700" s="70" t="str">
        <f>IF(AND(Sheet1!O1700="SIM",Sheet1!P1700="SIM"),"Sim","")</f>
        <v/>
      </c>
      <c r="AD1700" s="70" t="str">
        <f>IF(AC1700="sim",Sheet1!I1700,"")</f>
        <v/>
      </c>
    </row>
    <row r="1701" spans="29:30" x14ac:dyDescent="0.25">
      <c r="AC1701" s="70" t="str">
        <f>IF(AND(Sheet1!O1701="SIM",Sheet1!P1701="SIM"),"Sim","")</f>
        <v/>
      </c>
      <c r="AD1701" s="70" t="str">
        <f>IF(AC1701="sim",Sheet1!I1701,"")</f>
        <v/>
      </c>
    </row>
    <row r="1702" spans="29:30" x14ac:dyDescent="0.25">
      <c r="AC1702" s="70" t="str">
        <f>IF(AND(Sheet1!O1702="SIM",Sheet1!P1702="SIM"),"Sim","")</f>
        <v/>
      </c>
      <c r="AD1702" s="70" t="str">
        <f>IF(AC1702="sim",Sheet1!I1702,"")</f>
        <v/>
      </c>
    </row>
    <row r="1703" spans="29:30" x14ac:dyDescent="0.25">
      <c r="AC1703" s="70" t="str">
        <f>IF(AND(Sheet1!O1703="SIM",Sheet1!P1703="SIM"),"Sim","")</f>
        <v/>
      </c>
      <c r="AD1703" s="70" t="str">
        <f>IF(AC1703="sim",Sheet1!I1703,"")</f>
        <v/>
      </c>
    </row>
    <row r="1704" spans="29:30" x14ac:dyDescent="0.25">
      <c r="AC1704" s="70" t="str">
        <f>IF(AND(Sheet1!O1704="SIM",Sheet1!P1704="SIM"),"Sim","")</f>
        <v/>
      </c>
      <c r="AD1704" s="70" t="str">
        <f>IF(AC1704="sim",Sheet1!I1704,"")</f>
        <v/>
      </c>
    </row>
    <row r="1705" spans="29:30" x14ac:dyDescent="0.25">
      <c r="AC1705" s="70" t="str">
        <f>IF(AND(Sheet1!O1705="SIM",Sheet1!P1705="SIM"),"Sim","")</f>
        <v/>
      </c>
      <c r="AD1705" s="70" t="str">
        <f>IF(AC1705="sim",Sheet1!I1705,"")</f>
        <v/>
      </c>
    </row>
    <row r="1706" spans="29:30" x14ac:dyDescent="0.25">
      <c r="AC1706" s="70" t="str">
        <f>IF(AND(Sheet1!O1706="SIM",Sheet1!P1706="SIM"),"Sim","")</f>
        <v/>
      </c>
      <c r="AD1706" s="70" t="str">
        <f>IF(AC1706="sim",Sheet1!I1706,"")</f>
        <v/>
      </c>
    </row>
    <row r="1707" spans="29:30" x14ac:dyDescent="0.25">
      <c r="AC1707" s="70" t="str">
        <f>IF(AND(Sheet1!O1707="SIM",Sheet1!P1707="SIM"),"Sim","")</f>
        <v/>
      </c>
      <c r="AD1707" s="70" t="str">
        <f>IF(AC1707="sim",Sheet1!I1707,"")</f>
        <v/>
      </c>
    </row>
    <row r="1708" spans="29:30" x14ac:dyDescent="0.25">
      <c r="AC1708" s="70" t="str">
        <f>IF(AND(Sheet1!O1708="SIM",Sheet1!P1708="SIM"),"Sim","")</f>
        <v/>
      </c>
      <c r="AD1708" s="70" t="str">
        <f>IF(AC1708="sim",Sheet1!I1708,"")</f>
        <v/>
      </c>
    </row>
    <row r="1709" spans="29:30" x14ac:dyDescent="0.25">
      <c r="AC1709" s="70" t="str">
        <f>IF(AND(Sheet1!O1709="SIM",Sheet1!P1709="SIM"),"Sim","")</f>
        <v/>
      </c>
      <c r="AD1709" s="70" t="str">
        <f>IF(AC1709="sim",Sheet1!I1709,"")</f>
        <v/>
      </c>
    </row>
    <row r="1710" spans="29:30" x14ac:dyDescent="0.25">
      <c r="AC1710" s="70" t="str">
        <f>IF(AND(Sheet1!O1710="SIM",Sheet1!P1710="SIM"),"Sim","")</f>
        <v/>
      </c>
      <c r="AD1710" s="70" t="str">
        <f>IF(AC1710="sim",Sheet1!I1710,"")</f>
        <v/>
      </c>
    </row>
    <row r="1711" spans="29:30" x14ac:dyDescent="0.25">
      <c r="AC1711" s="70" t="str">
        <f>IF(AND(Sheet1!O1711="SIM",Sheet1!P1711="SIM"),"Sim","")</f>
        <v/>
      </c>
      <c r="AD1711" s="70" t="str">
        <f>IF(AC1711="sim",Sheet1!I1711,"")</f>
        <v/>
      </c>
    </row>
    <row r="1712" spans="29:30" x14ac:dyDescent="0.25">
      <c r="AC1712" s="70" t="str">
        <f>IF(AND(Sheet1!O1712="SIM",Sheet1!P1712="SIM"),"Sim","")</f>
        <v/>
      </c>
      <c r="AD1712" s="70" t="str">
        <f>IF(AC1712="sim",Sheet1!I1712,"")</f>
        <v/>
      </c>
    </row>
    <row r="1713" spans="29:30" x14ac:dyDescent="0.25">
      <c r="AC1713" s="70" t="str">
        <f>IF(AND(Sheet1!O1713="SIM",Sheet1!P1713="SIM"),"Sim","")</f>
        <v/>
      </c>
      <c r="AD1713" s="70" t="str">
        <f>IF(AC1713="sim",Sheet1!I1713,"")</f>
        <v/>
      </c>
    </row>
    <row r="1714" spans="29:30" x14ac:dyDescent="0.25">
      <c r="AC1714" s="70" t="str">
        <f>IF(AND(Sheet1!O1714="SIM",Sheet1!P1714="SIM"),"Sim","")</f>
        <v/>
      </c>
      <c r="AD1714" s="70" t="str">
        <f>IF(AC1714="sim",Sheet1!I1714,"")</f>
        <v/>
      </c>
    </row>
    <row r="1715" spans="29:30" x14ac:dyDescent="0.25">
      <c r="AC1715" s="70" t="str">
        <f>IF(AND(Sheet1!O1715="SIM",Sheet1!P1715="SIM"),"Sim","")</f>
        <v/>
      </c>
      <c r="AD1715" s="70" t="str">
        <f>IF(AC1715="sim",Sheet1!I1715,"")</f>
        <v/>
      </c>
    </row>
    <row r="1716" spans="29:30" x14ac:dyDescent="0.25">
      <c r="AC1716" s="70" t="str">
        <f>IF(AND(Sheet1!O1716="SIM",Sheet1!P1716="SIM"),"Sim","")</f>
        <v/>
      </c>
      <c r="AD1716" s="70" t="str">
        <f>IF(AC1716="sim",Sheet1!I1716,"")</f>
        <v/>
      </c>
    </row>
    <row r="1717" spans="29:30" x14ac:dyDescent="0.25">
      <c r="AC1717" s="70" t="str">
        <f>IF(AND(Sheet1!O1717="SIM",Sheet1!P1717="SIM"),"Sim","")</f>
        <v/>
      </c>
      <c r="AD1717" s="70" t="str">
        <f>IF(AC1717="sim",Sheet1!I1717,"")</f>
        <v/>
      </c>
    </row>
    <row r="1718" spans="29:30" x14ac:dyDescent="0.25">
      <c r="AC1718" s="70" t="str">
        <f>IF(AND(Sheet1!O1718="SIM",Sheet1!P1718="SIM"),"Sim","")</f>
        <v/>
      </c>
      <c r="AD1718" s="70" t="str">
        <f>IF(AC1718="sim",Sheet1!I1718,"")</f>
        <v/>
      </c>
    </row>
    <row r="1719" spans="29:30" x14ac:dyDescent="0.25">
      <c r="AC1719" s="70" t="str">
        <f>IF(AND(Sheet1!O1719="SIM",Sheet1!P1719="SIM"),"Sim","")</f>
        <v/>
      </c>
      <c r="AD1719" s="70" t="str">
        <f>IF(AC1719="sim",Sheet1!I1719,"")</f>
        <v/>
      </c>
    </row>
    <row r="1720" spans="29:30" x14ac:dyDescent="0.25">
      <c r="AC1720" s="70" t="str">
        <f>IF(AND(Sheet1!O1720="SIM",Sheet1!P1720="SIM"),"Sim","")</f>
        <v/>
      </c>
      <c r="AD1720" s="70" t="str">
        <f>IF(AC1720="sim",Sheet1!I1720,"")</f>
        <v/>
      </c>
    </row>
    <row r="1721" spans="29:30" x14ac:dyDescent="0.25">
      <c r="AC1721" s="70" t="str">
        <f>IF(AND(Sheet1!O1721="SIM",Sheet1!P1721="SIM"),"Sim","")</f>
        <v/>
      </c>
      <c r="AD1721" s="70" t="str">
        <f>IF(AC1721="sim",Sheet1!I1721,"")</f>
        <v/>
      </c>
    </row>
    <row r="1722" spans="29:30" x14ac:dyDescent="0.25">
      <c r="AC1722" s="70" t="str">
        <f>IF(AND(Sheet1!O1722="SIM",Sheet1!P1722="SIM"),"Sim","")</f>
        <v/>
      </c>
      <c r="AD1722" s="70" t="str">
        <f>IF(AC1722="sim",Sheet1!I1722,"")</f>
        <v/>
      </c>
    </row>
    <row r="1723" spans="29:30" x14ac:dyDescent="0.25">
      <c r="AC1723" s="70" t="str">
        <f>IF(AND(Sheet1!O1723="SIM",Sheet1!P1723="SIM"),"Sim","")</f>
        <v/>
      </c>
      <c r="AD1723" s="70" t="str">
        <f>IF(AC1723="sim",Sheet1!I1723,"")</f>
        <v/>
      </c>
    </row>
    <row r="1724" spans="29:30" x14ac:dyDescent="0.25">
      <c r="AC1724" s="70" t="str">
        <f>IF(AND(Sheet1!O1724="SIM",Sheet1!P1724="SIM"),"Sim","")</f>
        <v/>
      </c>
      <c r="AD1724" s="70" t="str">
        <f>IF(AC1724="sim",Sheet1!I1724,"")</f>
        <v/>
      </c>
    </row>
    <row r="1725" spans="29:30" x14ac:dyDescent="0.25">
      <c r="AC1725" s="70" t="str">
        <f>IF(AND(Sheet1!O1725="SIM",Sheet1!P1725="SIM"),"Sim","")</f>
        <v/>
      </c>
      <c r="AD1725" s="70" t="str">
        <f>IF(AC1725="sim",Sheet1!I1725,"")</f>
        <v/>
      </c>
    </row>
    <row r="1726" spans="29:30" x14ac:dyDescent="0.25">
      <c r="AC1726" s="70" t="str">
        <f>IF(AND(Sheet1!O1726="SIM",Sheet1!P1726="SIM"),"Sim","")</f>
        <v/>
      </c>
      <c r="AD1726" s="70" t="str">
        <f>IF(AC1726="sim",Sheet1!I1726,"")</f>
        <v/>
      </c>
    </row>
    <row r="1727" spans="29:30" x14ac:dyDescent="0.25">
      <c r="AC1727" s="70" t="str">
        <f>IF(AND(Sheet1!O1727="SIM",Sheet1!P1727="SIM"),"Sim","")</f>
        <v/>
      </c>
      <c r="AD1727" s="70" t="str">
        <f>IF(AC1727="sim",Sheet1!I1727,"")</f>
        <v/>
      </c>
    </row>
    <row r="1728" spans="29:30" x14ac:dyDescent="0.25">
      <c r="AC1728" s="70" t="str">
        <f>IF(AND(Sheet1!O1728="SIM",Sheet1!P1728="SIM"),"Sim","")</f>
        <v/>
      </c>
      <c r="AD1728" s="70" t="str">
        <f>IF(AC1728="sim",Sheet1!I1728,"")</f>
        <v/>
      </c>
    </row>
    <row r="1729" spans="29:30" x14ac:dyDescent="0.25">
      <c r="AC1729" s="70" t="str">
        <f>IF(AND(Sheet1!O1729="SIM",Sheet1!P1729="SIM"),"Sim","")</f>
        <v/>
      </c>
      <c r="AD1729" s="70" t="str">
        <f>IF(AC1729="sim",Sheet1!I1729,"")</f>
        <v/>
      </c>
    </row>
    <row r="1730" spans="29:30" x14ac:dyDescent="0.25">
      <c r="AC1730" s="70" t="str">
        <f>IF(AND(Sheet1!O1730="SIM",Sheet1!P1730="SIM"),"Sim","")</f>
        <v/>
      </c>
      <c r="AD1730" s="70" t="str">
        <f>IF(AC1730="sim",Sheet1!I1730,"")</f>
        <v/>
      </c>
    </row>
    <row r="1731" spans="29:30" x14ac:dyDescent="0.25">
      <c r="AC1731" s="70" t="str">
        <f>IF(AND(Sheet1!O1731="SIM",Sheet1!P1731="SIM"),"Sim","")</f>
        <v/>
      </c>
      <c r="AD1731" s="70" t="str">
        <f>IF(AC1731="sim",Sheet1!I1731,"")</f>
        <v/>
      </c>
    </row>
    <row r="1732" spans="29:30" x14ac:dyDescent="0.25">
      <c r="AC1732" s="70" t="str">
        <f>IF(AND(Sheet1!O1732="SIM",Sheet1!P1732="SIM"),"Sim","")</f>
        <v/>
      </c>
      <c r="AD1732" s="70" t="str">
        <f>IF(AC1732="sim",Sheet1!I1732,"")</f>
        <v/>
      </c>
    </row>
    <row r="1733" spans="29:30" x14ac:dyDescent="0.25">
      <c r="AC1733" s="70" t="str">
        <f>IF(AND(Sheet1!O1733="SIM",Sheet1!P1733="SIM"),"Sim","")</f>
        <v/>
      </c>
      <c r="AD1733" s="70" t="str">
        <f>IF(AC1733="sim",Sheet1!I1733,"")</f>
        <v/>
      </c>
    </row>
    <row r="1734" spans="29:30" x14ac:dyDescent="0.25">
      <c r="AC1734" s="70" t="str">
        <f>IF(AND(Sheet1!O1734="SIM",Sheet1!P1734="SIM"),"Sim","")</f>
        <v/>
      </c>
      <c r="AD1734" s="70" t="str">
        <f>IF(AC1734="sim",Sheet1!I1734,"")</f>
        <v/>
      </c>
    </row>
    <row r="1735" spans="29:30" x14ac:dyDescent="0.25">
      <c r="AC1735" s="70" t="str">
        <f>IF(AND(Sheet1!O1735="SIM",Sheet1!P1735="SIM"),"Sim","")</f>
        <v/>
      </c>
      <c r="AD1735" s="70" t="str">
        <f>IF(AC1735="sim",Sheet1!I1735,"")</f>
        <v/>
      </c>
    </row>
    <row r="1736" spans="29:30" x14ac:dyDescent="0.25">
      <c r="AC1736" s="70" t="str">
        <f>IF(AND(Sheet1!O1736="SIM",Sheet1!P1736="SIM"),"Sim","")</f>
        <v/>
      </c>
      <c r="AD1736" s="70" t="str">
        <f>IF(AC1736="sim",Sheet1!I1736,"")</f>
        <v/>
      </c>
    </row>
    <row r="1737" spans="29:30" x14ac:dyDescent="0.25">
      <c r="AC1737" s="70" t="str">
        <f>IF(AND(Sheet1!O1737="SIM",Sheet1!P1737="SIM"),"Sim","")</f>
        <v/>
      </c>
      <c r="AD1737" s="70" t="str">
        <f>IF(AC1737="sim",Sheet1!I1737,"")</f>
        <v/>
      </c>
    </row>
    <row r="1738" spans="29:30" x14ac:dyDescent="0.25">
      <c r="AC1738" s="70" t="str">
        <f>IF(AND(Sheet1!O1738="SIM",Sheet1!P1738="SIM"),"Sim","")</f>
        <v/>
      </c>
      <c r="AD1738" s="70" t="str">
        <f>IF(AC1738="sim",Sheet1!I1738,"")</f>
        <v/>
      </c>
    </row>
    <row r="1739" spans="29:30" x14ac:dyDescent="0.25">
      <c r="AC1739" s="70" t="str">
        <f>IF(AND(Sheet1!O1739="SIM",Sheet1!P1739="SIM"),"Sim","")</f>
        <v/>
      </c>
      <c r="AD1739" s="70" t="str">
        <f>IF(AC1739="sim",Sheet1!I1739,"")</f>
        <v/>
      </c>
    </row>
    <row r="1740" spans="29:30" x14ac:dyDescent="0.25">
      <c r="AC1740" s="70" t="str">
        <f>IF(AND(Sheet1!O1740="SIM",Sheet1!P1740="SIM"),"Sim","")</f>
        <v/>
      </c>
      <c r="AD1740" s="70" t="str">
        <f>IF(AC1740="sim",Sheet1!I1740,"")</f>
        <v/>
      </c>
    </row>
    <row r="1741" spans="29:30" x14ac:dyDescent="0.25">
      <c r="AC1741" s="70" t="str">
        <f>IF(AND(Sheet1!O1741="SIM",Sheet1!P1741="SIM"),"Sim","")</f>
        <v/>
      </c>
      <c r="AD1741" s="70" t="str">
        <f>IF(AC1741="sim",Sheet1!I1741,"")</f>
        <v/>
      </c>
    </row>
    <row r="1742" spans="29:30" x14ac:dyDescent="0.25">
      <c r="AC1742" s="70" t="str">
        <f>IF(AND(Sheet1!O1742="SIM",Sheet1!P1742="SIM"),"Sim","")</f>
        <v/>
      </c>
      <c r="AD1742" s="70" t="str">
        <f>IF(AC1742="sim",Sheet1!I1742,"")</f>
        <v/>
      </c>
    </row>
    <row r="1743" spans="29:30" x14ac:dyDescent="0.25">
      <c r="AC1743" s="70" t="str">
        <f>IF(AND(Sheet1!O1743="SIM",Sheet1!P1743="SIM"),"Sim","")</f>
        <v/>
      </c>
      <c r="AD1743" s="70" t="str">
        <f>IF(AC1743="sim",Sheet1!I1743,"")</f>
        <v/>
      </c>
    </row>
    <row r="1744" spans="29:30" x14ac:dyDescent="0.25">
      <c r="AC1744" s="70" t="str">
        <f>IF(AND(Sheet1!O1744="SIM",Sheet1!P1744="SIM"),"Sim","")</f>
        <v/>
      </c>
      <c r="AD1744" s="70" t="str">
        <f>IF(AC1744="sim",Sheet1!I1744,"")</f>
        <v/>
      </c>
    </row>
    <row r="1745" spans="29:30" x14ac:dyDescent="0.25">
      <c r="AC1745" s="70" t="str">
        <f>IF(AND(Sheet1!O1745="SIM",Sheet1!P1745="SIM"),"Sim","")</f>
        <v/>
      </c>
      <c r="AD1745" s="70" t="str">
        <f>IF(AC1745="sim",Sheet1!I1745,"")</f>
        <v/>
      </c>
    </row>
    <row r="1746" spans="29:30" x14ac:dyDescent="0.25">
      <c r="AC1746" s="70" t="str">
        <f>IF(AND(Sheet1!O1746="SIM",Sheet1!P1746="SIM"),"Sim","")</f>
        <v/>
      </c>
      <c r="AD1746" s="70" t="str">
        <f>IF(AC1746="sim",Sheet1!I1746,"")</f>
        <v/>
      </c>
    </row>
    <row r="1747" spans="29:30" x14ac:dyDescent="0.25">
      <c r="AC1747" s="70" t="str">
        <f>IF(AND(Sheet1!O1747="SIM",Sheet1!P1747="SIM"),"Sim","")</f>
        <v/>
      </c>
      <c r="AD1747" s="70" t="str">
        <f>IF(AC1747="sim",Sheet1!I1747,"")</f>
        <v/>
      </c>
    </row>
    <row r="1748" spans="29:30" x14ac:dyDescent="0.25">
      <c r="AC1748" s="70" t="str">
        <f>IF(AND(Sheet1!O1748="SIM",Sheet1!P1748="SIM"),"Sim","")</f>
        <v/>
      </c>
      <c r="AD1748" s="70" t="str">
        <f>IF(AC1748="sim",Sheet1!I1748,"")</f>
        <v/>
      </c>
    </row>
    <row r="1749" spans="29:30" x14ac:dyDescent="0.25">
      <c r="AC1749" s="70" t="str">
        <f>IF(AND(Sheet1!O1749="SIM",Sheet1!P1749="SIM"),"Sim","")</f>
        <v/>
      </c>
      <c r="AD1749" s="70" t="str">
        <f>IF(AC1749="sim",Sheet1!I1749,"")</f>
        <v/>
      </c>
    </row>
    <row r="1750" spans="29:30" x14ac:dyDescent="0.25">
      <c r="AC1750" s="70" t="str">
        <f>IF(AND(Sheet1!O1750="SIM",Sheet1!P1750="SIM"),"Sim","")</f>
        <v/>
      </c>
      <c r="AD1750" s="70" t="str">
        <f>IF(AC1750="sim",Sheet1!I1750,"")</f>
        <v/>
      </c>
    </row>
    <row r="1751" spans="29:30" x14ac:dyDescent="0.25">
      <c r="AC1751" s="70" t="str">
        <f>IF(AND(Sheet1!O1751="SIM",Sheet1!P1751="SIM"),"Sim","")</f>
        <v/>
      </c>
      <c r="AD1751" s="70" t="str">
        <f>IF(AC1751="sim",Sheet1!I1751,"")</f>
        <v/>
      </c>
    </row>
    <row r="1752" spans="29:30" x14ac:dyDescent="0.25">
      <c r="AC1752" s="70" t="str">
        <f>IF(AND(Sheet1!O1752="SIM",Sheet1!P1752="SIM"),"Sim","")</f>
        <v/>
      </c>
      <c r="AD1752" s="70" t="str">
        <f>IF(AC1752="sim",Sheet1!I1752,"")</f>
        <v/>
      </c>
    </row>
    <row r="1753" spans="29:30" x14ac:dyDescent="0.25">
      <c r="AC1753" s="70" t="str">
        <f>IF(AND(Sheet1!O1753="SIM",Sheet1!P1753="SIM"),"Sim","")</f>
        <v/>
      </c>
      <c r="AD1753" s="70" t="str">
        <f>IF(AC1753="sim",Sheet1!I1753,"")</f>
        <v/>
      </c>
    </row>
    <row r="1754" spans="29:30" x14ac:dyDescent="0.25">
      <c r="AC1754" s="70" t="str">
        <f>IF(AND(Sheet1!O1754="SIM",Sheet1!P1754="SIM"),"Sim","")</f>
        <v/>
      </c>
      <c r="AD1754" s="70" t="str">
        <f>IF(AC1754="sim",Sheet1!I1754,"")</f>
        <v/>
      </c>
    </row>
    <row r="1755" spans="29:30" x14ac:dyDescent="0.25">
      <c r="AC1755" s="70" t="str">
        <f>IF(AND(Sheet1!O1755="SIM",Sheet1!P1755="SIM"),"Sim","")</f>
        <v/>
      </c>
      <c r="AD1755" s="70" t="str">
        <f>IF(AC1755="sim",Sheet1!I1755,"")</f>
        <v/>
      </c>
    </row>
    <row r="1756" spans="29:30" x14ac:dyDescent="0.25">
      <c r="AC1756" s="70" t="str">
        <f>IF(AND(Sheet1!O1756="SIM",Sheet1!P1756="SIM"),"Sim","")</f>
        <v/>
      </c>
      <c r="AD1756" s="70" t="str">
        <f>IF(AC1756="sim",Sheet1!I1756,"")</f>
        <v/>
      </c>
    </row>
    <row r="1757" spans="29:30" x14ac:dyDescent="0.25">
      <c r="AC1757" s="70" t="str">
        <f>IF(AND(Sheet1!O1757="SIM",Sheet1!P1757="SIM"),"Sim","")</f>
        <v/>
      </c>
      <c r="AD1757" s="70" t="str">
        <f>IF(AC1757="sim",Sheet1!I1757,"")</f>
        <v/>
      </c>
    </row>
    <row r="1758" spans="29:30" x14ac:dyDescent="0.25">
      <c r="AC1758" s="70" t="str">
        <f>IF(AND(Sheet1!O1758="SIM",Sheet1!P1758="SIM"),"Sim","")</f>
        <v/>
      </c>
      <c r="AD1758" s="70" t="str">
        <f>IF(AC1758="sim",Sheet1!I1758,"")</f>
        <v/>
      </c>
    </row>
    <row r="1759" spans="29:30" x14ac:dyDescent="0.25">
      <c r="AC1759" s="70" t="str">
        <f>IF(AND(Sheet1!O1759="SIM",Sheet1!P1759="SIM"),"Sim","")</f>
        <v/>
      </c>
      <c r="AD1759" s="70" t="str">
        <f>IF(AC1759="sim",Sheet1!I1759,"")</f>
        <v/>
      </c>
    </row>
    <row r="1760" spans="29:30" x14ac:dyDescent="0.25">
      <c r="AC1760" s="70" t="str">
        <f>IF(AND(Sheet1!O1760="SIM",Sheet1!P1760="SIM"),"Sim","")</f>
        <v/>
      </c>
      <c r="AD1760" s="70" t="str">
        <f>IF(AC1760="sim",Sheet1!I1760,"")</f>
        <v/>
      </c>
    </row>
    <row r="1761" spans="29:30" x14ac:dyDescent="0.25">
      <c r="AC1761" s="70" t="str">
        <f>IF(AND(Sheet1!O1761="SIM",Sheet1!P1761="SIM"),"Sim","")</f>
        <v/>
      </c>
      <c r="AD1761" s="70" t="str">
        <f>IF(AC1761="sim",Sheet1!I1761,"")</f>
        <v/>
      </c>
    </row>
    <row r="1762" spans="29:30" x14ac:dyDescent="0.25">
      <c r="AC1762" s="70" t="str">
        <f>IF(AND(Sheet1!O1762="SIM",Sheet1!P1762="SIM"),"Sim","")</f>
        <v/>
      </c>
      <c r="AD1762" s="70" t="str">
        <f>IF(AC1762="sim",Sheet1!I1762,"")</f>
        <v/>
      </c>
    </row>
    <row r="1763" spans="29:30" x14ac:dyDescent="0.25">
      <c r="AC1763" s="70" t="str">
        <f>IF(AND(Sheet1!O1763="SIM",Sheet1!P1763="SIM"),"Sim","")</f>
        <v/>
      </c>
      <c r="AD1763" s="70" t="str">
        <f>IF(AC1763="sim",Sheet1!I1763,"")</f>
        <v/>
      </c>
    </row>
    <row r="1764" spans="29:30" x14ac:dyDescent="0.25">
      <c r="AC1764" s="70" t="str">
        <f>IF(AND(Sheet1!O1764="SIM",Sheet1!P1764="SIM"),"Sim","")</f>
        <v/>
      </c>
      <c r="AD1764" s="70" t="str">
        <f>IF(AC1764="sim",Sheet1!I1764,"")</f>
        <v/>
      </c>
    </row>
    <row r="1765" spans="29:30" x14ac:dyDescent="0.25">
      <c r="AC1765" s="70" t="str">
        <f>IF(AND(Sheet1!O1765="SIM",Sheet1!P1765="SIM"),"Sim","")</f>
        <v/>
      </c>
      <c r="AD1765" s="70" t="str">
        <f>IF(AC1765="sim",Sheet1!I1765,"")</f>
        <v/>
      </c>
    </row>
    <row r="1766" spans="29:30" x14ac:dyDescent="0.25">
      <c r="AC1766" s="70" t="str">
        <f>IF(AND(Sheet1!O1766="SIM",Sheet1!P1766="SIM"),"Sim","")</f>
        <v/>
      </c>
      <c r="AD1766" s="70" t="str">
        <f>IF(AC1766="sim",Sheet1!I1766,"")</f>
        <v/>
      </c>
    </row>
    <row r="1767" spans="29:30" x14ac:dyDescent="0.25">
      <c r="AC1767" s="70" t="str">
        <f>IF(AND(Sheet1!O1767="SIM",Sheet1!P1767="SIM"),"Sim","")</f>
        <v/>
      </c>
      <c r="AD1767" s="70" t="str">
        <f>IF(AC1767="sim",Sheet1!I1767,"")</f>
        <v/>
      </c>
    </row>
    <row r="1768" spans="29:30" x14ac:dyDescent="0.25">
      <c r="AC1768" s="70" t="str">
        <f>IF(AND(Sheet1!O1768="SIM",Sheet1!P1768="SIM"),"Sim","")</f>
        <v/>
      </c>
      <c r="AD1768" s="70" t="str">
        <f>IF(AC1768="sim",Sheet1!I1768,"")</f>
        <v/>
      </c>
    </row>
    <row r="1769" spans="29:30" x14ac:dyDescent="0.25">
      <c r="AC1769" s="70" t="str">
        <f>IF(AND(Sheet1!O1769="SIM",Sheet1!P1769="SIM"),"Sim","")</f>
        <v/>
      </c>
      <c r="AD1769" s="70" t="str">
        <f>IF(AC1769="sim",Sheet1!I1769,"")</f>
        <v/>
      </c>
    </row>
    <row r="1770" spans="29:30" x14ac:dyDescent="0.25">
      <c r="AC1770" s="70" t="str">
        <f>IF(AND(Sheet1!O1770="SIM",Sheet1!P1770="SIM"),"Sim","")</f>
        <v/>
      </c>
      <c r="AD1770" s="70" t="str">
        <f>IF(AC1770="sim",Sheet1!I1770,"")</f>
        <v/>
      </c>
    </row>
    <row r="1771" spans="29:30" x14ac:dyDescent="0.25">
      <c r="AC1771" s="70" t="str">
        <f>IF(AND(Sheet1!O1771="SIM",Sheet1!P1771="SIM"),"Sim","")</f>
        <v/>
      </c>
      <c r="AD1771" s="70" t="str">
        <f>IF(AC1771="sim",Sheet1!I1771,"")</f>
        <v/>
      </c>
    </row>
    <row r="1772" spans="29:30" x14ac:dyDescent="0.25">
      <c r="AC1772" s="70" t="str">
        <f>IF(AND(Sheet1!O1772="SIM",Sheet1!P1772="SIM"),"Sim","")</f>
        <v/>
      </c>
      <c r="AD1772" s="70" t="str">
        <f>IF(AC1772="sim",Sheet1!I1772,"")</f>
        <v/>
      </c>
    </row>
    <row r="1773" spans="29:30" x14ac:dyDescent="0.25">
      <c r="AC1773" s="70" t="str">
        <f>IF(AND(Sheet1!O1773="SIM",Sheet1!P1773="SIM"),"Sim","")</f>
        <v/>
      </c>
      <c r="AD1773" s="70" t="str">
        <f>IF(AC1773="sim",Sheet1!I1773,"")</f>
        <v/>
      </c>
    </row>
    <row r="1774" spans="29:30" x14ac:dyDescent="0.25">
      <c r="AC1774" s="70" t="str">
        <f>IF(AND(Sheet1!O1774="SIM",Sheet1!P1774="SIM"),"Sim","")</f>
        <v/>
      </c>
      <c r="AD1774" s="70" t="str">
        <f>IF(AC1774="sim",Sheet1!I1774,"")</f>
        <v/>
      </c>
    </row>
    <row r="1775" spans="29:30" x14ac:dyDescent="0.25">
      <c r="AC1775" s="70" t="str">
        <f>IF(AND(Sheet1!O1775="SIM",Sheet1!P1775="SIM"),"Sim","")</f>
        <v/>
      </c>
      <c r="AD1775" s="70" t="str">
        <f>IF(AC1775="sim",Sheet1!I1775,"")</f>
        <v/>
      </c>
    </row>
    <row r="1776" spans="29:30" x14ac:dyDescent="0.25">
      <c r="AC1776" s="70" t="str">
        <f>IF(AND(Sheet1!O1776="SIM",Sheet1!P1776="SIM"),"Sim","")</f>
        <v/>
      </c>
      <c r="AD1776" s="70" t="str">
        <f>IF(AC1776="sim",Sheet1!I1776,"")</f>
        <v/>
      </c>
    </row>
    <row r="1777" spans="29:30" x14ac:dyDescent="0.25">
      <c r="AC1777" s="70" t="str">
        <f>IF(AND(Sheet1!O1777="SIM",Sheet1!P1777="SIM"),"Sim","")</f>
        <v/>
      </c>
      <c r="AD1777" s="70" t="str">
        <f>IF(AC1777="sim",Sheet1!I1777,"")</f>
        <v/>
      </c>
    </row>
    <row r="1778" spans="29:30" x14ac:dyDescent="0.25">
      <c r="AC1778" s="70" t="str">
        <f>IF(AND(Sheet1!O1778="SIM",Sheet1!P1778="SIM"),"Sim","")</f>
        <v/>
      </c>
      <c r="AD1778" s="70" t="str">
        <f>IF(AC1778="sim",Sheet1!I1778,"")</f>
        <v/>
      </c>
    </row>
    <row r="1779" spans="29:30" x14ac:dyDescent="0.25">
      <c r="AC1779" s="70" t="str">
        <f>IF(AND(Sheet1!O1779="SIM",Sheet1!P1779="SIM"),"Sim","")</f>
        <v/>
      </c>
      <c r="AD1779" s="70" t="str">
        <f>IF(AC1779="sim",Sheet1!I1779,"")</f>
        <v/>
      </c>
    </row>
    <row r="1780" spans="29:30" x14ac:dyDescent="0.25">
      <c r="AC1780" s="70" t="str">
        <f>IF(AND(Sheet1!O1780="SIM",Sheet1!P1780="SIM"),"Sim","")</f>
        <v/>
      </c>
      <c r="AD1780" s="70" t="str">
        <f>IF(AC1780="sim",Sheet1!I1780,"")</f>
        <v/>
      </c>
    </row>
    <row r="1781" spans="29:30" x14ac:dyDescent="0.25">
      <c r="AC1781" s="70" t="str">
        <f>IF(AND(Sheet1!O1781="SIM",Sheet1!P1781="SIM"),"Sim","")</f>
        <v/>
      </c>
      <c r="AD1781" s="70" t="str">
        <f>IF(AC1781="sim",Sheet1!I1781,"")</f>
        <v/>
      </c>
    </row>
    <row r="1782" spans="29:30" x14ac:dyDescent="0.25">
      <c r="AC1782" s="70" t="str">
        <f>IF(AND(Sheet1!O1782="SIM",Sheet1!P1782="SIM"),"Sim","")</f>
        <v/>
      </c>
      <c r="AD1782" s="70" t="str">
        <f>IF(AC1782="sim",Sheet1!I1782,"")</f>
        <v/>
      </c>
    </row>
    <row r="1783" spans="29:30" x14ac:dyDescent="0.25">
      <c r="AC1783" s="70" t="str">
        <f>IF(AND(Sheet1!O1783="SIM",Sheet1!P1783="SIM"),"Sim","")</f>
        <v/>
      </c>
      <c r="AD1783" s="70" t="str">
        <f>IF(AC1783="sim",Sheet1!I1783,"")</f>
        <v/>
      </c>
    </row>
    <row r="1784" spans="29:30" x14ac:dyDescent="0.25">
      <c r="AC1784" s="70" t="str">
        <f>IF(AND(Sheet1!O1784="SIM",Sheet1!P1784="SIM"),"Sim","")</f>
        <v/>
      </c>
      <c r="AD1784" s="70" t="str">
        <f>IF(AC1784="sim",Sheet1!I1784,"")</f>
        <v/>
      </c>
    </row>
    <row r="1785" spans="29:30" x14ac:dyDescent="0.25">
      <c r="AC1785" s="70" t="str">
        <f>IF(AND(Sheet1!O1785="SIM",Sheet1!P1785="SIM"),"Sim","")</f>
        <v/>
      </c>
      <c r="AD1785" s="70" t="str">
        <f>IF(AC1785="sim",Sheet1!I1785,"")</f>
        <v/>
      </c>
    </row>
    <row r="1786" spans="29:30" x14ac:dyDescent="0.25">
      <c r="AC1786" s="70" t="str">
        <f>IF(AND(Sheet1!O1786="SIM",Sheet1!P1786="SIM"),"Sim","")</f>
        <v/>
      </c>
      <c r="AD1786" s="70" t="str">
        <f>IF(AC1786="sim",Sheet1!I1786,"")</f>
        <v/>
      </c>
    </row>
    <row r="1787" spans="29:30" x14ac:dyDescent="0.25">
      <c r="AC1787" s="70" t="str">
        <f>IF(AND(Sheet1!O1787="SIM",Sheet1!P1787="SIM"),"Sim","")</f>
        <v/>
      </c>
      <c r="AD1787" s="70" t="str">
        <f>IF(AC1787="sim",Sheet1!I1787,"")</f>
        <v/>
      </c>
    </row>
    <row r="1788" spans="29:30" x14ac:dyDescent="0.25">
      <c r="AC1788" s="70" t="str">
        <f>IF(AND(Sheet1!O1788="SIM",Sheet1!P1788="SIM"),"Sim","")</f>
        <v/>
      </c>
      <c r="AD1788" s="70" t="str">
        <f>IF(AC1788="sim",Sheet1!I1788,"")</f>
        <v/>
      </c>
    </row>
    <row r="1789" spans="29:30" x14ac:dyDescent="0.25">
      <c r="AC1789" s="70" t="str">
        <f>IF(AND(Sheet1!O1789="SIM",Sheet1!P1789="SIM"),"Sim","")</f>
        <v/>
      </c>
      <c r="AD1789" s="70" t="str">
        <f>IF(AC1789="sim",Sheet1!I1789,"")</f>
        <v/>
      </c>
    </row>
    <row r="1790" spans="29:30" x14ac:dyDescent="0.25">
      <c r="AC1790" s="70" t="str">
        <f>IF(AND(Sheet1!O1790="SIM",Sheet1!P1790="SIM"),"Sim","")</f>
        <v/>
      </c>
      <c r="AD1790" s="70" t="str">
        <f>IF(AC1790="sim",Sheet1!I1790,"")</f>
        <v/>
      </c>
    </row>
    <row r="1791" spans="29:30" x14ac:dyDescent="0.25">
      <c r="AC1791" s="70" t="str">
        <f>IF(AND(Sheet1!O1791="SIM",Sheet1!P1791="SIM"),"Sim","")</f>
        <v/>
      </c>
      <c r="AD1791" s="70" t="str">
        <f>IF(AC1791="sim",Sheet1!I1791,"")</f>
        <v/>
      </c>
    </row>
    <row r="1792" spans="29:30" x14ac:dyDescent="0.25">
      <c r="AC1792" s="70" t="str">
        <f>IF(AND(Sheet1!O1792="SIM",Sheet1!P1792="SIM"),"Sim","")</f>
        <v/>
      </c>
      <c r="AD1792" s="70" t="str">
        <f>IF(AC1792="sim",Sheet1!I1792,"")</f>
        <v/>
      </c>
    </row>
    <row r="1793" spans="29:30" x14ac:dyDescent="0.25">
      <c r="AC1793" s="70" t="str">
        <f>IF(AND(Sheet1!O1793="SIM",Sheet1!P1793="SIM"),"Sim","")</f>
        <v/>
      </c>
      <c r="AD1793" s="70" t="str">
        <f>IF(AC1793="sim",Sheet1!I1793,"")</f>
        <v/>
      </c>
    </row>
    <row r="1794" spans="29:30" x14ac:dyDescent="0.25">
      <c r="AC1794" s="70" t="str">
        <f>IF(AND(Sheet1!O1794="SIM",Sheet1!P1794="SIM"),"Sim","")</f>
        <v/>
      </c>
      <c r="AD1794" s="70" t="str">
        <f>IF(AC1794="sim",Sheet1!I1794,"")</f>
        <v/>
      </c>
    </row>
    <row r="1795" spans="29:30" x14ac:dyDescent="0.25">
      <c r="AC1795" s="70" t="str">
        <f>IF(AND(Sheet1!O1795="SIM",Sheet1!P1795="SIM"),"Sim","")</f>
        <v/>
      </c>
      <c r="AD1795" s="70" t="str">
        <f>IF(AC1795="sim",Sheet1!I1795,"")</f>
        <v/>
      </c>
    </row>
    <row r="1796" spans="29:30" x14ac:dyDescent="0.25">
      <c r="AC1796" s="70" t="str">
        <f>IF(AND(Sheet1!O1796="SIM",Sheet1!P1796="SIM"),"Sim","")</f>
        <v/>
      </c>
      <c r="AD1796" s="70" t="str">
        <f>IF(AC1796="sim",Sheet1!I1796,"")</f>
        <v/>
      </c>
    </row>
    <row r="1797" spans="29:30" x14ac:dyDescent="0.25">
      <c r="AC1797" s="70" t="str">
        <f>IF(AND(Sheet1!O1797="SIM",Sheet1!P1797="SIM"),"Sim","")</f>
        <v/>
      </c>
      <c r="AD1797" s="70" t="str">
        <f>IF(AC1797="sim",Sheet1!I1797,"")</f>
        <v/>
      </c>
    </row>
    <row r="1798" spans="29:30" x14ac:dyDescent="0.25">
      <c r="AC1798" s="70" t="str">
        <f>IF(AND(Sheet1!O1798="SIM",Sheet1!P1798="SIM"),"Sim","")</f>
        <v/>
      </c>
      <c r="AD1798" s="70" t="str">
        <f>IF(AC1798="sim",Sheet1!I1798,"")</f>
        <v/>
      </c>
    </row>
    <row r="1799" spans="29:30" x14ac:dyDescent="0.25">
      <c r="AC1799" s="70" t="str">
        <f>IF(AND(Sheet1!O1799="SIM",Sheet1!P1799="SIM"),"Sim","")</f>
        <v/>
      </c>
      <c r="AD1799" s="70" t="str">
        <f>IF(AC1799="sim",Sheet1!I1799,"")</f>
        <v/>
      </c>
    </row>
    <row r="1800" spans="29:30" x14ac:dyDescent="0.25">
      <c r="AC1800" s="70" t="str">
        <f>IF(AND(Sheet1!O1800="SIM",Sheet1!P1800="SIM"),"Sim","")</f>
        <v/>
      </c>
      <c r="AD1800" s="70" t="str">
        <f>IF(AC1800="sim",Sheet1!I1800,"")</f>
        <v/>
      </c>
    </row>
    <row r="1801" spans="29:30" x14ac:dyDescent="0.25">
      <c r="AC1801" s="70" t="str">
        <f>IF(AND(Sheet1!O1801="SIM",Sheet1!P1801="SIM"),"Sim","")</f>
        <v/>
      </c>
      <c r="AD1801" s="70" t="str">
        <f>IF(AC1801="sim",Sheet1!I1801,"")</f>
        <v/>
      </c>
    </row>
    <row r="1802" spans="29:30" x14ac:dyDescent="0.25">
      <c r="AC1802" s="70" t="str">
        <f>IF(AND(Sheet1!O1802="SIM",Sheet1!P1802="SIM"),"Sim","")</f>
        <v/>
      </c>
      <c r="AD1802" s="70" t="str">
        <f>IF(AC1802="sim",Sheet1!I1802,"")</f>
        <v/>
      </c>
    </row>
    <row r="1803" spans="29:30" x14ac:dyDescent="0.25">
      <c r="AC1803" s="70" t="str">
        <f>IF(AND(Sheet1!O1803="SIM",Sheet1!P1803="SIM"),"Sim","")</f>
        <v/>
      </c>
      <c r="AD1803" s="70" t="str">
        <f>IF(AC1803="sim",Sheet1!I1803,"")</f>
        <v/>
      </c>
    </row>
    <row r="1804" spans="29:30" x14ac:dyDescent="0.25">
      <c r="AC1804" s="70" t="str">
        <f>IF(AND(Sheet1!O1804="SIM",Sheet1!P1804="SIM"),"Sim","")</f>
        <v/>
      </c>
      <c r="AD1804" s="70" t="str">
        <f>IF(AC1804="sim",Sheet1!I1804,"")</f>
        <v/>
      </c>
    </row>
    <row r="1805" spans="29:30" x14ac:dyDescent="0.25">
      <c r="AC1805" s="70" t="str">
        <f>IF(AND(Sheet1!O1805="SIM",Sheet1!P1805="SIM"),"Sim","")</f>
        <v/>
      </c>
      <c r="AD1805" s="70" t="str">
        <f>IF(AC1805="sim",Sheet1!I1805,"")</f>
        <v/>
      </c>
    </row>
    <row r="1806" spans="29:30" x14ac:dyDescent="0.25">
      <c r="AC1806" s="70" t="str">
        <f>IF(AND(Sheet1!O1806="SIM",Sheet1!P1806="SIM"),"Sim","")</f>
        <v/>
      </c>
      <c r="AD1806" s="70" t="str">
        <f>IF(AC1806="sim",Sheet1!I1806,"")</f>
        <v/>
      </c>
    </row>
    <row r="1807" spans="29:30" x14ac:dyDescent="0.25">
      <c r="AC1807" s="70" t="str">
        <f>IF(AND(Sheet1!O1807="SIM",Sheet1!P1807="SIM"),"Sim","")</f>
        <v/>
      </c>
      <c r="AD1807" s="70" t="str">
        <f>IF(AC1807="sim",Sheet1!I1807,"")</f>
        <v/>
      </c>
    </row>
    <row r="1808" spans="29:30" x14ac:dyDescent="0.25">
      <c r="AC1808" s="70" t="str">
        <f>IF(AND(Sheet1!O1808="SIM",Sheet1!P1808="SIM"),"Sim","")</f>
        <v/>
      </c>
      <c r="AD1808" s="70" t="str">
        <f>IF(AC1808="sim",Sheet1!I1808,"")</f>
        <v/>
      </c>
    </row>
    <row r="1809" spans="29:30" x14ac:dyDescent="0.25">
      <c r="AC1809" s="70" t="str">
        <f>IF(AND(Sheet1!O1809="SIM",Sheet1!P1809="SIM"),"Sim","")</f>
        <v/>
      </c>
      <c r="AD1809" s="70" t="str">
        <f>IF(AC1809="sim",Sheet1!I1809,"")</f>
        <v/>
      </c>
    </row>
    <row r="1810" spans="29:30" x14ac:dyDescent="0.25">
      <c r="AC1810" s="70" t="str">
        <f>IF(AND(Sheet1!O1810="SIM",Sheet1!P1810="SIM"),"Sim","")</f>
        <v/>
      </c>
      <c r="AD1810" s="70" t="str">
        <f>IF(AC1810="sim",Sheet1!I1810,"")</f>
        <v/>
      </c>
    </row>
    <row r="1811" spans="29:30" x14ac:dyDescent="0.25">
      <c r="AC1811" s="70" t="str">
        <f>IF(AND(Sheet1!O1811="SIM",Sheet1!P1811="SIM"),"Sim","")</f>
        <v/>
      </c>
      <c r="AD1811" s="70" t="str">
        <f>IF(AC1811="sim",Sheet1!I1811,"")</f>
        <v/>
      </c>
    </row>
    <row r="1812" spans="29:30" x14ac:dyDescent="0.25">
      <c r="AC1812" s="70" t="str">
        <f>IF(AND(Sheet1!O1812="SIM",Sheet1!P1812="SIM"),"Sim","")</f>
        <v/>
      </c>
      <c r="AD1812" s="70" t="str">
        <f>IF(AC1812="sim",Sheet1!I1812,"")</f>
        <v/>
      </c>
    </row>
    <row r="1813" spans="29:30" x14ac:dyDescent="0.25">
      <c r="AC1813" s="70" t="str">
        <f>IF(AND(Sheet1!O1813="SIM",Sheet1!P1813="SIM"),"Sim","")</f>
        <v/>
      </c>
      <c r="AD1813" s="70" t="str">
        <f>IF(AC1813="sim",Sheet1!I1813,"")</f>
        <v/>
      </c>
    </row>
    <row r="1814" spans="29:30" x14ac:dyDescent="0.25">
      <c r="AC1814" s="70" t="str">
        <f>IF(AND(Sheet1!O1814="SIM",Sheet1!P1814="SIM"),"Sim","")</f>
        <v/>
      </c>
      <c r="AD1814" s="70" t="str">
        <f>IF(AC1814="sim",Sheet1!I1814,"")</f>
        <v/>
      </c>
    </row>
    <row r="1815" spans="29:30" x14ac:dyDescent="0.25">
      <c r="AC1815" s="70" t="str">
        <f>IF(AND(Sheet1!O1815="SIM",Sheet1!P1815="SIM"),"Sim","")</f>
        <v/>
      </c>
      <c r="AD1815" s="70" t="str">
        <f>IF(AC1815="sim",Sheet1!I1815,"")</f>
        <v/>
      </c>
    </row>
    <row r="1816" spans="29:30" x14ac:dyDescent="0.25">
      <c r="AC1816" s="70" t="str">
        <f>IF(AND(Sheet1!O1816="SIM",Sheet1!P1816="SIM"),"Sim","")</f>
        <v/>
      </c>
      <c r="AD1816" s="70" t="str">
        <f>IF(AC1816="sim",Sheet1!I1816,"")</f>
        <v/>
      </c>
    </row>
    <row r="1817" spans="29:30" x14ac:dyDescent="0.25">
      <c r="AC1817" s="70" t="str">
        <f>IF(AND(Sheet1!O1817="SIM",Sheet1!P1817="SIM"),"Sim","")</f>
        <v/>
      </c>
      <c r="AD1817" s="70" t="str">
        <f>IF(AC1817="sim",Sheet1!I1817,"")</f>
        <v/>
      </c>
    </row>
    <row r="1818" spans="29:30" x14ac:dyDescent="0.25">
      <c r="AC1818" s="70" t="str">
        <f>IF(AND(Sheet1!O1818="SIM",Sheet1!P1818="SIM"),"Sim","")</f>
        <v/>
      </c>
      <c r="AD1818" s="70" t="str">
        <f>IF(AC1818="sim",Sheet1!I1818,"")</f>
        <v/>
      </c>
    </row>
    <row r="1819" spans="29:30" x14ac:dyDescent="0.25">
      <c r="AC1819" s="70" t="str">
        <f>IF(AND(Sheet1!O1819="SIM",Sheet1!P1819="SIM"),"Sim","")</f>
        <v/>
      </c>
      <c r="AD1819" s="70" t="str">
        <f>IF(AC1819="sim",Sheet1!I1819,"")</f>
        <v/>
      </c>
    </row>
    <row r="1820" spans="29:30" x14ac:dyDescent="0.25">
      <c r="AC1820" s="70" t="str">
        <f>IF(AND(Sheet1!O1820="SIM",Sheet1!P1820="SIM"),"Sim","")</f>
        <v/>
      </c>
      <c r="AD1820" s="70" t="str">
        <f>IF(AC1820="sim",Sheet1!I1820,"")</f>
        <v/>
      </c>
    </row>
    <row r="1821" spans="29:30" x14ac:dyDescent="0.25">
      <c r="AC1821" s="70" t="str">
        <f>IF(AND(Sheet1!O1821="SIM",Sheet1!P1821="SIM"),"Sim","")</f>
        <v/>
      </c>
      <c r="AD1821" s="70" t="str">
        <f>IF(AC1821="sim",Sheet1!I1821,"")</f>
        <v/>
      </c>
    </row>
    <row r="1822" spans="29:30" x14ac:dyDescent="0.25">
      <c r="AC1822" s="70" t="str">
        <f>IF(AND(Sheet1!O1822="SIM",Sheet1!P1822="SIM"),"Sim","")</f>
        <v/>
      </c>
      <c r="AD1822" s="70" t="str">
        <f>IF(AC1822="sim",Sheet1!I1822,"")</f>
        <v/>
      </c>
    </row>
    <row r="1823" spans="29:30" x14ac:dyDescent="0.25">
      <c r="AC1823" s="70" t="str">
        <f>IF(AND(Sheet1!O1823="SIM",Sheet1!P1823="SIM"),"Sim","")</f>
        <v/>
      </c>
      <c r="AD1823" s="70" t="str">
        <f>IF(AC1823="sim",Sheet1!I1823,"")</f>
        <v/>
      </c>
    </row>
    <row r="1824" spans="29:30" x14ac:dyDescent="0.25">
      <c r="AC1824" s="70" t="str">
        <f>IF(AND(Sheet1!O1824="SIM",Sheet1!P1824="SIM"),"Sim","")</f>
        <v/>
      </c>
      <c r="AD1824" s="70" t="str">
        <f>IF(AC1824="sim",Sheet1!I1824,"")</f>
        <v/>
      </c>
    </row>
    <row r="1825" spans="29:30" x14ac:dyDescent="0.25">
      <c r="AC1825" s="70" t="str">
        <f>IF(AND(Sheet1!O1825="SIM",Sheet1!P1825="SIM"),"Sim","")</f>
        <v/>
      </c>
      <c r="AD1825" s="70" t="str">
        <f>IF(AC1825="sim",Sheet1!I1825,"")</f>
        <v/>
      </c>
    </row>
    <row r="1826" spans="29:30" x14ac:dyDescent="0.25">
      <c r="AC1826" s="70" t="str">
        <f>IF(AND(Sheet1!O1826="SIM",Sheet1!P1826="SIM"),"Sim","")</f>
        <v/>
      </c>
      <c r="AD1826" s="70" t="str">
        <f>IF(AC1826="sim",Sheet1!I1826,"")</f>
        <v/>
      </c>
    </row>
    <row r="1827" spans="29:30" x14ac:dyDescent="0.25">
      <c r="AC1827" s="70" t="str">
        <f>IF(AND(Sheet1!O1827="SIM",Sheet1!P1827="SIM"),"Sim","")</f>
        <v/>
      </c>
      <c r="AD1827" s="70" t="str">
        <f>IF(AC1827="sim",Sheet1!I1827,"")</f>
        <v/>
      </c>
    </row>
    <row r="1828" spans="29:30" x14ac:dyDescent="0.25">
      <c r="AC1828" s="70" t="str">
        <f>IF(AND(Sheet1!O1828="SIM",Sheet1!P1828="SIM"),"Sim","")</f>
        <v/>
      </c>
      <c r="AD1828" s="70" t="str">
        <f>IF(AC1828="sim",Sheet1!I1828,"")</f>
        <v/>
      </c>
    </row>
    <row r="1829" spans="29:30" x14ac:dyDescent="0.25">
      <c r="AC1829" s="70" t="str">
        <f>IF(AND(Sheet1!O1829="SIM",Sheet1!P1829="SIM"),"Sim","")</f>
        <v/>
      </c>
      <c r="AD1829" s="70" t="str">
        <f>IF(AC1829="sim",Sheet1!I1829,"")</f>
        <v/>
      </c>
    </row>
    <row r="1830" spans="29:30" x14ac:dyDescent="0.25">
      <c r="AC1830" s="70" t="str">
        <f>IF(AND(Sheet1!O1830="SIM",Sheet1!P1830="SIM"),"Sim","")</f>
        <v/>
      </c>
      <c r="AD1830" s="70" t="str">
        <f>IF(AC1830="sim",Sheet1!I1830,"")</f>
        <v/>
      </c>
    </row>
    <row r="1831" spans="29:30" x14ac:dyDescent="0.25">
      <c r="AC1831" s="70" t="str">
        <f>IF(AND(Sheet1!O1831="SIM",Sheet1!P1831="SIM"),"Sim","")</f>
        <v/>
      </c>
      <c r="AD1831" s="70" t="str">
        <f>IF(AC1831="sim",Sheet1!I1831,"")</f>
        <v/>
      </c>
    </row>
    <row r="1832" spans="29:30" x14ac:dyDescent="0.25">
      <c r="AC1832" s="70" t="str">
        <f>IF(AND(Sheet1!O1832="SIM",Sheet1!P1832="SIM"),"Sim","")</f>
        <v/>
      </c>
      <c r="AD1832" s="70" t="str">
        <f>IF(AC1832="sim",Sheet1!I1832,"")</f>
        <v/>
      </c>
    </row>
    <row r="1833" spans="29:30" x14ac:dyDescent="0.25">
      <c r="AC1833" s="70" t="str">
        <f>IF(AND(Sheet1!O1833="SIM",Sheet1!P1833="SIM"),"Sim","")</f>
        <v/>
      </c>
      <c r="AD1833" s="70" t="str">
        <f>IF(AC1833="sim",Sheet1!I1833,"")</f>
        <v/>
      </c>
    </row>
    <row r="1834" spans="29:30" x14ac:dyDescent="0.25">
      <c r="AC1834" s="70" t="str">
        <f>IF(AND(Sheet1!O1834="SIM",Sheet1!P1834="SIM"),"Sim","")</f>
        <v/>
      </c>
      <c r="AD1834" s="70" t="str">
        <f>IF(AC1834="sim",Sheet1!I1834,"")</f>
        <v/>
      </c>
    </row>
    <row r="1835" spans="29:30" x14ac:dyDescent="0.25">
      <c r="AC1835" s="70" t="str">
        <f>IF(AND(Sheet1!O1835="SIM",Sheet1!P1835="SIM"),"Sim","")</f>
        <v/>
      </c>
      <c r="AD1835" s="70" t="str">
        <f>IF(AC1835="sim",Sheet1!I1835,"")</f>
        <v/>
      </c>
    </row>
    <row r="1836" spans="29:30" x14ac:dyDescent="0.25">
      <c r="AC1836" s="70" t="str">
        <f>IF(AND(Sheet1!O1836="SIM",Sheet1!P1836="SIM"),"Sim","")</f>
        <v/>
      </c>
      <c r="AD1836" s="70" t="str">
        <f>IF(AC1836="sim",Sheet1!I1836,"")</f>
        <v/>
      </c>
    </row>
    <row r="1837" spans="29:30" x14ac:dyDescent="0.25">
      <c r="AC1837" s="70" t="str">
        <f>IF(AND(Sheet1!O1837="SIM",Sheet1!P1837="SIM"),"Sim","")</f>
        <v/>
      </c>
      <c r="AD1837" s="70" t="str">
        <f>IF(AC1837="sim",Sheet1!I1837,"")</f>
        <v/>
      </c>
    </row>
    <row r="1838" spans="29:30" x14ac:dyDescent="0.25">
      <c r="AC1838" s="70" t="str">
        <f>IF(AND(Sheet1!O1838="SIM",Sheet1!P1838="SIM"),"Sim","")</f>
        <v/>
      </c>
      <c r="AD1838" s="70" t="str">
        <f>IF(AC1838="sim",Sheet1!I1838,"")</f>
        <v/>
      </c>
    </row>
    <row r="1839" spans="29:30" x14ac:dyDescent="0.25">
      <c r="AC1839" s="70" t="str">
        <f>IF(AND(Sheet1!O1839="SIM",Sheet1!P1839="SIM"),"Sim","")</f>
        <v/>
      </c>
      <c r="AD1839" s="70" t="str">
        <f>IF(AC1839="sim",Sheet1!I1839,"")</f>
        <v/>
      </c>
    </row>
    <row r="1840" spans="29:30" x14ac:dyDescent="0.25">
      <c r="AC1840" s="70" t="str">
        <f>IF(AND(Sheet1!O1840="SIM",Sheet1!P1840="SIM"),"Sim","")</f>
        <v/>
      </c>
      <c r="AD1840" s="70" t="str">
        <f>IF(AC1840="sim",Sheet1!I1840,"")</f>
        <v/>
      </c>
    </row>
    <row r="1841" spans="29:30" x14ac:dyDescent="0.25">
      <c r="AC1841" s="70" t="str">
        <f>IF(AND(Sheet1!O1841="SIM",Sheet1!P1841="SIM"),"Sim","")</f>
        <v/>
      </c>
      <c r="AD1841" s="70" t="str">
        <f>IF(AC1841="sim",Sheet1!I1841,"")</f>
        <v/>
      </c>
    </row>
    <row r="1842" spans="29:30" x14ac:dyDescent="0.25">
      <c r="AC1842" s="70" t="str">
        <f>IF(AND(Sheet1!O1842="SIM",Sheet1!P1842="SIM"),"Sim","")</f>
        <v/>
      </c>
      <c r="AD1842" s="70" t="str">
        <f>IF(AC1842="sim",Sheet1!I1842,"")</f>
        <v/>
      </c>
    </row>
    <row r="1843" spans="29:30" x14ac:dyDescent="0.25">
      <c r="AC1843" s="70" t="str">
        <f>IF(AND(Sheet1!O1843="SIM",Sheet1!P1843="SIM"),"Sim","")</f>
        <v/>
      </c>
      <c r="AD1843" s="70" t="str">
        <f>IF(AC1843="sim",Sheet1!I1843,"")</f>
        <v/>
      </c>
    </row>
    <row r="1844" spans="29:30" x14ac:dyDescent="0.25">
      <c r="AC1844" s="70" t="str">
        <f>IF(AND(Sheet1!O1844="SIM",Sheet1!P1844="SIM"),"Sim","")</f>
        <v/>
      </c>
      <c r="AD1844" s="70" t="str">
        <f>IF(AC1844="sim",Sheet1!I1844,"")</f>
        <v/>
      </c>
    </row>
    <row r="1845" spans="29:30" x14ac:dyDescent="0.25">
      <c r="AC1845" s="70" t="str">
        <f>IF(AND(Sheet1!O1845="SIM",Sheet1!P1845="SIM"),"Sim","")</f>
        <v/>
      </c>
      <c r="AD1845" s="70" t="str">
        <f>IF(AC1845="sim",Sheet1!I1845,"")</f>
        <v/>
      </c>
    </row>
    <row r="1846" spans="29:30" x14ac:dyDescent="0.25">
      <c r="AC1846" s="70" t="str">
        <f>IF(AND(Sheet1!O1846="SIM",Sheet1!P1846="SIM"),"Sim","")</f>
        <v/>
      </c>
      <c r="AD1846" s="70" t="str">
        <f>IF(AC1846="sim",Sheet1!I1846,"")</f>
        <v/>
      </c>
    </row>
    <row r="1847" spans="29:30" x14ac:dyDescent="0.25">
      <c r="AC1847" s="70" t="str">
        <f>IF(AND(Sheet1!O1847="SIM",Sheet1!P1847="SIM"),"Sim","")</f>
        <v/>
      </c>
      <c r="AD1847" s="70" t="str">
        <f>IF(AC1847="sim",Sheet1!I1847,"")</f>
        <v/>
      </c>
    </row>
    <row r="1848" spans="29:30" x14ac:dyDescent="0.25">
      <c r="AC1848" s="70" t="str">
        <f>IF(AND(Sheet1!O1848="SIM",Sheet1!P1848="SIM"),"Sim","")</f>
        <v/>
      </c>
      <c r="AD1848" s="70" t="str">
        <f>IF(AC1848="sim",Sheet1!I1848,"")</f>
        <v/>
      </c>
    </row>
    <row r="1849" spans="29:30" x14ac:dyDescent="0.25">
      <c r="AC1849" s="70" t="str">
        <f>IF(AND(Sheet1!O1849="SIM",Sheet1!P1849="SIM"),"Sim","")</f>
        <v/>
      </c>
      <c r="AD1849" s="70" t="str">
        <f>IF(AC1849="sim",Sheet1!I1849,"")</f>
        <v/>
      </c>
    </row>
    <row r="1850" spans="29:30" x14ac:dyDescent="0.25">
      <c r="AC1850" s="70" t="str">
        <f>IF(AND(Sheet1!O1850="SIM",Sheet1!P1850="SIM"),"Sim","")</f>
        <v/>
      </c>
      <c r="AD1850" s="70" t="str">
        <f>IF(AC1850="sim",Sheet1!I1850,"")</f>
        <v/>
      </c>
    </row>
    <row r="1851" spans="29:30" x14ac:dyDescent="0.25">
      <c r="AC1851" s="70" t="str">
        <f>IF(AND(Sheet1!O1851="SIM",Sheet1!P1851="SIM"),"Sim","")</f>
        <v/>
      </c>
      <c r="AD1851" s="70" t="str">
        <f>IF(AC1851="sim",Sheet1!I1851,"")</f>
        <v/>
      </c>
    </row>
    <row r="1852" spans="29:30" x14ac:dyDescent="0.25">
      <c r="AC1852" s="70" t="str">
        <f>IF(AND(Sheet1!O1852="SIM",Sheet1!P1852="SIM"),"Sim","")</f>
        <v/>
      </c>
      <c r="AD1852" s="70" t="str">
        <f>IF(AC1852="sim",Sheet1!I1852,"")</f>
        <v/>
      </c>
    </row>
    <row r="1853" spans="29:30" x14ac:dyDescent="0.25">
      <c r="AC1853" s="70" t="str">
        <f>IF(AND(Sheet1!O1853="SIM",Sheet1!P1853="SIM"),"Sim","")</f>
        <v/>
      </c>
      <c r="AD1853" s="70" t="str">
        <f>IF(AC1853="sim",Sheet1!I1853,"")</f>
        <v/>
      </c>
    </row>
    <row r="1854" spans="29:30" x14ac:dyDescent="0.25">
      <c r="AC1854" s="70" t="str">
        <f>IF(AND(Sheet1!O1854="SIM",Sheet1!P1854="SIM"),"Sim","")</f>
        <v/>
      </c>
      <c r="AD1854" s="70" t="str">
        <f>IF(AC1854="sim",Sheet1!I1854,"")</f>
        <v/>
      </c>
    </row>
    <row r="1855" spans="29:30" x14ac:dyDescent="0.25">
      <c r="AC1855" s="70" t="str">
        <f>IF(AND(Sheet1!O1855="SIM",Sheet1!P1855="SIM"),"Sim","")</f>
        <v/>
      </c>
      <c r="AD1855" s="70" t="str">
        <f>IF(AC1855="sim",Sheet1!I1855,"")</f>
        <v/>
      </c>
    </row>
    <row r="1856" spans="29:30" x14ac:dyDescent="0.25">
      <c r="AC1856" s="70" t="str">
        <f>IF(AND(Sheet1!O1856="SIM",Sheet1!P1856="SIM"),"Sim","")</f>
        <v/>
      </c>
      <c r="AD1856" s="70" t="str">
        <f>IF(AC1856="sim",Sheet1!I1856,"")</f>
        <v/>
      </c>
    </row>
    <row r="1857" spans="29:30" x14ac:dyDescent="0.25">
      <c r="AC1857" s="70" t="str">
        <f>IF(AND(Sheet1!O1857="SIM",Sheet1!P1857="SIM"),"Sim","")</f>
        <v/>
      </c>
      <c r="AD1857" s="70" t="str">
        <f>IF(AC1857="sim",Sheet1!I1857,"")</f>
        <v/>
      </c>
    </row>
    <row r="1858" spans="29:30" x14ac:dyDescent="0.25">
      <c r="AC1858" s="70" t="str">
        <f>IF(AND(Sheet1!O1858="SIM",Sheet1!P1858="SIM"),"Sim","")</f>
        <v/>
      </c>
      <c r="AD1858" s="70" t="str">
        <f>IF(AC1858="sim",Sheet1!I1858,"")</f>
        <v/>
      </c>
    </row>
    <row r="1859" spans="29:30" x14ac:dyDescent="0.25">
      <c r="AC1859" s="70" t="str">
        <f>IF(AND(Sheet1!O1859="SIM",Sheet1!P1859="SIM"),"Sim","")</f>
        <v/>
      </c>
      <c r="AD1859" s="70" t="str">
        <f>IF(AC1859="sim",Sheet1!I1859,"")</f>
        <v/>
      </c>
    </row>
    <row r="1860" spans="29:30" x14ac:dyDescent="0.25">
      <c r="AC1860" s="70" t="str">
        <f>IF(AND(Sheet1!O1860="SIM",Sheet1!P1860="SIM"),"Sim","")</f>
        <v/>
      </c>
      <c r="AD1860" s="70" t="str">
        <f>IF(AC1860="sim",Sheet1!I1860,"")</f>
        <v/>
      </c>
    </row>
    <row r="1861" spans="29:30" x14ac:dyDescent="0.25">
      <c r="AC1861" s="70" t="str">
        <f>IF(AND(Sheet1!O1861="SIM",Sheet1!P1861="SIM"),"Sim","")</f>
        <v/>
      </c>
      <c r="AD1861" s="70" t="str">
        <f>IF(AC1861="sim",Sheet1!I1861,"")</f>
        <v/>
      </c>
    </row>
    <row r="1862" spans="29:30" x14ac:dyDescent="0.25">
      <c r="AC1862" s="70" t="str">
        <f>IF(AND(Sheet1!O1862="SIM",Sheet1!P1862="SIM"),"Sim","")</f>
        <v/>
      </c>
      <c r="AD1862" s="70" t="str">
        <f>IF(AC1862="sim",Sheet1!I1862,"")</f>
        <v/>
      </c>
    </row>
    <row r="1863" spans="29:30" x14ac:dyDescent="0.25">
      <c r="AC1863" s="70" t="str">
        <f>IF(AND(Sheet1!O1863="SIM",Sheet1!P1863="SIM"),"Sim","")</f>
        <v/>
      </c>
      <c r="AD1863" s="70" t="str">
        <f>IF(AC1863="sim",Sheet1!I1863,"")</f>
        <v/>
      </c>
    </row>
    <row r="1864" spans="29:30" x14ac:dyDescent="0.25">
      <c r="AC1864" s="70" t="str">
        <f>IF(AND(Sheet1!O1864="SIM",Sheet1!P1864="SIM"),"Sim","")</f>
        <v/>
      </c>
      <c r="AD1864" s="70" t="str">
        <f>IF(AC1864="sim",Sheet1!I1864,"")</f>
        <v/>
      </c>
    </row>
    <row r="1865" spans="29:30" x14ac:dyDescent="0.25">
      <c r="AC1865" s="70" t="str">
        <f>IF(AND(Sheet1!O1865="SIM",Sheet1!P1865="SIM"),"Sim","")</f>
        <v/>
      </c>
      <c r="AD1865" s="70" t="str">
        <f>IF(AC1865="sim",Sheet1!I1865,"")</f>
        <v/>
      </c>
    </row>
    <row r="1866" spans="29:30" x14ac:dyDescent="0.25">
      <c r="AC1866" s="70" t="str">
        <f>IF(AND(Sheet1!O1866="SIM",Sheet1!P1866="SIM"),"Sim","")</f>
        <v/>
      </c>
      <c r="AD1866" s="70" t="str">
        <f>IF(AC1866="sim",Sheet1!I1866,"")</f>
        <v/>
      </c>
    </row>
    <row r="1867" spans="29:30" x14ac:dyDescent="0.25">
      <c r="AC1867" s="70" t="str">
        <f>IF(AND(Sheet1!O1867="SIM",Sheet1!P1867="SIM"),"Sim","")</f>
        <v/>
      </c>
      <c r="AD1867" s="70" t="str">
        <f>IF(AC1867="sim",Sheet1!I1867,"")</f>
        <v/>
      </c>
    </row>
    <row r="1868" spans="29:30" x14ac:dyDescent="0.25">
      <c r="AC1868" s="70" t="str">
        <f>IF(AND(Sheet1!O1868="SIM",Sheet1!P1868="SIM"),"Sim","")</f>
        <v/>
      </c>
      <c r="AD1868" s="70" t="str">
        <f>IF(AC1868="sim",Sheet1!I1868,"")</f>
        <v/>
      </c>
    </row>
    <row r="1869" spans="29:30" x14ac:dyDescent="0.25">
      <c r="AC1869" s="70" t="str">
        <f>IF(AND(Sheet1!O1869="SIM",Sheet1!P1869="SIM"),"Sim","")</f>
        <v/>
      </c>
      <c r="AD1869" s="70" t="str">
        <f>IF(AC1869="sim",Sheet1!I1869,"")</f>
        <v/>
      </c>
    </row>
    <row r="1870" spans="29:30" x14ac:dyDescent="0.25">
      <c r="AC1870" s="70" t="str">
        <f>IF(AND(Sheet1!O1870="SIM",Sheet1!P1870="SIM"),"Sim","")</f>
        <v/>
      </c>
      <c r="AD1870" s="70" t="str">
        <f>IF(AC1870="sim",Sheet1!I1870,"")</f>
        <v/>
      </c>
    </row>
    <row r="1871" spans="29:30" x14ac:dyDescent="0.25">
      <c r="AC1871" s="70" t="str">
        <f>IF(AND(Sheet1!O1871="SIM",Sheet1!P1871="SIM"),"Sim","")</f>
        <v/>
      </c>
      <c r="AD1871" s="70" t="str">
        <f>IF(AC1871="sim",Sheet1!I1871,"")</f>
        <v/>
      </c>
    </row>
    <row r="1872" spans="29:30" x14ac:dyDescent="0.25">
      <c r="AC1872" s="70" t="str">
        <f>IF(AND(Sheet1!O1872="SIM",Sheet1!P1872="SIM"),"Sim","")</f>
        <v/>
      </c>
      <c r="AD1872" s="70" t="str">
        <f>IF(AC1872="sim",Sheet1!I1872,"")</f>
        <v/>
      </c>
    </row>
    <row r="1873" spans="29:30" x14ac:dyDescent="0.25">
      <c r="AC1873" s="70" t="str">
        <f>IF(AND(Sheet1!O1873="SIM",Sheet1!P1873="SIM"),"Sim","")</f>
        <v/>
      </c>
      <c r="AD1873" s="70" t="str">
        <f>IF(AC1873="sim",Sheet1!I1873,"")</f>
        <v/>
      </c>
    </row>
    <row r="1874" spans="29:30" x14ac:dyDescent="0.25">
      <c r="AC1874" s="70" t="str">
        <f>IF(AND(Sheet1!O1874="SIM",Sheet1!P1874="SIM"),"Sim","")</f>
        <v/>
      </c>
      <c r="AD1874" s="70" t="str">
        <f>IF(AC1874="sim",Sheet1!I1874,"")</f>
        <v/>
      </c>
    </row>
    <row r="1875" spans="29:30" x14ac:dyDescent="0.25">
      <c r="AC1875" s="70" t="str">
        <f>IF(AND(Sheet1!O1875="SIM",Sheet1!P1875="SIM"),"Sim","")</f>
        <v/>
      </c>
      <c r="AD1875" s="70" t="str">
        <f>IF(AC1875="sim",Sheet1!I1875,"")</f>
        <v/>
      </c>
    </row>
    <row r="1876" spans="29:30" x14ac:dyDescent="0.25">
      <c r="AC1876" s="70" t="str">
        <f>IF(AND(Sheet1!O1876="SIM",Sheet1!P1876="SIM"),"Sim","")</f>
        <v/>
      </c>
      <c r="AD1876" s="70" t="str">
        <f>IF(AC1876="sim",Sheet1!I1876,"")</f>
        <v/>
      </c>
    </row>
    <row r="1877" spans="29:30" x14ac:dyDescent="0.25">
      <c r="AC1877" s="70" t="str">
        <f>IF(AND(Sheet1!O1877="SIM",Sheet1!P1877="SIM"),"Sim","")</f>
        <v/>
      </c>
      <c r="AD1877" s="70" t="str">
        <f>IF(AC1877="sim",Sheet1!I1877,"")</f>
        <v/>
      </c>
    </row>
    <row r="1878" spans="29:30" x14ac:dyDescent="0.25">
      <c r="AC1878" s="70" t="str">
        <f>IF(AND(Sheet1!O1878="SIM",Sheet1!P1878="SIM"),"Sim","")</f>
        <v/>
      </c>
      <c r="AD1878" s="70" t="str">
        <f>IF(AC1878="sim",Sheet1!I1878,"")</f>
        <v/>
      </c>
    </row>
    <row r="1879" spans="29:30" x14ac:dyDescent="0.25">
      <c r="AC1879" s="70" t="str">
        <f>IF(AND(Sheet1!O1879="SIM",Sheet1!P1879="SIM"),"Sim","")</f>
        <v/>
      </c>
      <c r="AD1879" s="70" t="str">
        <f>IF(AC1879="sim",Sheet1!I1879,"")</f>
        <v/>
      </c>
    </row>
    <row r="1880" spans="29:30" x14ac:dyDescent="0.25">
      <c r="AC1880" s="70" t="str">
        <f>IF(AND(Sheet1!O1880="SIM",Sheet1!P1880="SIM"),"Sim","")</f>
        <v/>
      </c>
      <c r="AD1880" s="70" t="str">
        <f>IF(AC1880="sim",Sheet1!I1880,"")</f>
        <v/>
      </c>
    </row>
    <row r="1881" spans="29:30" x14ac:dyDescent="0.25">
      <c r="AC1881" s="70" t="str">
        <f>IF(AND(Sheet1!O1881="SIM",Sheet1!P1881="SIM"),"Sim","")</f>
        <v/>
      </c>
      <c r="AD1881" s="70" t="str">
        <f>IF(AC1881="sim",Sheet1!I1881,"")</f>
        <v/>
      </c>
    </row>
    <row r="1882" spans="29:30" x14ac:dyDescent="0.25">
      <c r="AC1882" s="70" t="str">
        <f>IF(AND(Sheet1!O1882="SIM",Sheet1!P1882="SIM"),"Sim","")</f>
        <v/>
      </c>
      <c r="AD1882" s="70" t="str">
        <f>IF(AC1882="sim",Sheet1!I1882,"")</f>
        <v/>
      </c>
    </row>
    <row r="1883" spans="29:30" x14ac:dyDescent="0.25">
      <c r="AC1883" s="70" t="str">
        <f>IF(AND(Sheet1!O1883="SIM",Sheet1!P1883="SIM"),"Sim","")</f>
        <v/>
      </c>
      <c r="AD1883" s="70" t="str">
        <f>IF(AC1883="sim",Sheet1!I1883,"")</f>
        <v/>
      </c>
    </row>
    <row r="1884" spans="29:30" x14ac:dyDescent="0.25">
      <c r="AC1884" s="70" t="str">
        <f>IF(AND(Sheet1!O1884="SIM",Sheet1!P1884="SIM"),"Sim","")</f>
        <v/>
      </c>
      <c r="AD1884" s="70" t="str">
        <f>IF(AC1884="sim",Sheet1!I1884,"")</f>
        <v/>
      </c>
    </row>
    <row r="1885" spans="29:30" x14ac:dyDescent="0.25">
      <c r="AC1885" s="70" t="str">
        <f>IF(AND(Sheet1!O1885="SIM",Sheet1!P1885="SIM"),"Sim","")</f>
        <v/>
      </c>
      <c r="AD1885" s="70" t="str">
        <f>IF(AC1885="sim",Sheet1!I1885,"")</f>
        <v/>
      </c>
    </row>
    <row r="1886" spans="29:30" x14ac:dyDescent="0.25">
      <c r="AC1886" s="70" t="str">
        <f>IF(AND(Sheet1!O1886="SIM",Sheet1!P1886="SIM"),"Sim","")</f>
        <v/>
      </c>
      <c r="AD1886" s="70" t="str">
        <f>IF(AC1886="sim",Sheet1!I1886,"")</f>
        <v/>
      </c>
    </row>
    <row r="1887" spans="29:30" x14ac:dyDescent="0.25">
      <c r="AC1887" s="70" t="str">
        <f>IF(AND(Sheet1!O1887="SIM",Sheet1!P1887="SIM"),"Sim","")</f>
        <v/>
      </c>
      <c r="AD1887" s="70" t="str">
        <f>IF(AC1887="sim",Sheet1!I1887,"")</f>
        <v/>
      </c>
    </row>
    <row r="1888" spans="29:30" x14ac:dyDescent="0.25">
      <c r="AC1888" s="70" t="str">
        <f>IF(AND(Sheet1!O1888="SIM",Sheet1!P1888="SIM"),"Sim","")</f>
        <v/>
      </c>
      <c r="AD1888" s="70" t="str">
        <f>IF(AC1888="sim",Sheet1!I1888,"")</f>
        <v/>
      </c>
    </row>
    <row r="1889" spans="29:30" x14ac:dyDescent="0.25">
      <c r="AC1889" s="70" t="str">
        <f>IF(AND(Sheet1!O1889="SIM",Sheet1!P1889="SIM"),"Sim","")</f>
        <v/>
      </c>
      <c r="AD1889" s="70" t="str">
        <f>IF(AC1889="sim",Sheet1!I1889,"")</f>
        <v/>
      </c>
    </row>
    <row r="1890" spans="29:30" x14ac:dyDescent="0.25">
      <c r="AC1890" s="70" t="str">
        <f>IF(AND(Sheet1!O1890="SIM",Sheet1!P1890="SIM"),"Sim","")</f>
        <v/>
      </c>
      <c r="AD1890" s="70" t="str">
        <f>IF(AC1890="sim",Sheet1!I1890,"")</f>
        <v/>
      </c>
    </row>
    <row r="1891" spans="29:30" x14ac:dyDescent="0.25">
      <c r="AC1891" s="70" t="str">
        <f>IF(AND(Sheet1!O1891="SIM",Sheet1!P1891="SIM"),"Sim","")</f>
        <v/>
      </c>
      <c r="AD1891" s="70" t="str">
        <f>IF(AC1891="sim",Sheet1!I1891,"")</f>
        <v/>
      </c>
    </row>
    <row r="1892" spans="29:30" x14ac:dyDescent="0.25">
      <c r="AC1892" s="70" t="str">
        <f>IF(AND(Sheet1!O1892="SIM",Sheet1!P1892="SIM"),"Sim","")</f>
        <v/>
      </c>
      <c r="AD1892" s="70" t="str">
        <f>IF(AC1892="sim",Sheet1!I1892,"")</f>
        <v/>
      </c>
    </row>
    <row r="1893" spans="29:30" x14ac:dyDescent="0.25">
      <c r="AC1893" s="70" t="str">
        <f>IF(AND(Sheet1!O1893="SIM",Sheet1!P1893="SIM"),"Sim","")</f>
        <v/>
      </c>
      <c r="AD1893" s="70" t="str">
        <f>IF(AC1893="sim",Sheet1!I1893,"")</f>
        <v/>
      </c>
    </row>
    <row r="1894" spans="29:30" x14ac:dyDescent="0.25">
      <c r="AC1894" s="70" t="str">
        <f>IF(AND(Sheet1!O1894="SIM",Sheet1!P1894="SIM"),"Sim","")</f>
        <v/>
      </c>
      <c r="AD1894" s="70" t="str">
        <f>IF(AC1894="sim",Sheet1!I1894,"")</f>
        <v/>
      </c>
    </row>
    <row r="1895" spans="29:30" x14ac:dyDescent="0.25">
      <c r="AC1895" s="70" t="str">
        <f>IF(AND(Sheet1!O1895="SIM",Sheet1!P1895="SIM"),"Sim","")</f>
        <v/>
      </c>
      <c r="AD1895" s="70" t="str">
        <f>IF(AC1895="sim",Sheet1!I1895,"")</f>
        <v/>
      </c>
    </row>
    <row r="1896" spans="29:30" x14ac:dyDescent="0.25">
      <c r="AC1896" s="70" t="str">
        <f>IF(AND(Sheet1!O1896="SIM",Sheet1!P1896="SIM"),"Sim","")</f>
        <v/>
      </c>
      <c r="AD1896" s="70" t="str">
        <f>IF(AC1896="sim",Sheet1!I1896,"")</f>
        <v/>
      </c>
    </row>
    <row r="1897" spans="29:30" x14ac:dyDescent="0.25">
      <c r="AC1897" s="70" t="str">
        <f>IF(AND(Sheet1!O1897="SIM",Sheet1!P1897="SIM"),"Sim","")</f>
        <v/>
      </c>
      <c r="AD1897" s="70" t="str">
        <f>IF(AC1897="sim",Sheet1!I1897,"")</f>
        <v/>
      </c>
    </row>
    <row r="1898" spans="29:30" x14ac:dyDescent="0.25">
      <c r="AC1898" s="70" t="str">
        <f>IF(AND(Sheet1!O1898="SIM",Sheet1!P1898="SIM"),"Sim","")</f>
        <v/>
      </c>
      <c r="AD1898" s="70" t="str">
        <f>IF(AC1898="sim",Sheet1!I1898,"")</f>
        <v/>
      </c>
    </row>
    <row r="1899" spans="29:30" x14ac:dyDescent="0.25">
      <c r="AC1899" s="70" t="str">
        <f>IF(AND(Sheet1!O1899="SIM",Sheet1!P1899="SIM"),"Sim","")</f>
        <v/>
      </c>
      <c r="AD1899" s="70" t="str">
        <f>IF(AC1899="sim",Sheet1!I1899,"")</f>
        <v/>
      </c>
    </row>
    <row r="1900" spans="29:30" x14ac:dyDescent="0.25">
      <c r="AC1900" s="70" t="str">
        <f>IF(AND(Sheet1!O1900="SIM",Sheet1!P1900="SIM"),"Sim","")</f>
        <v/>
      </c>
      <c r="AD1900" s="70" t="str">
        <f>IF(AC1900="sim",Sheet1!I1900,"")</f>
        <v/>
      </c>
    </row>
    <row r="1901" spans="29:30" x14ac:dyDescent="0.25">
      <c r="AC1901" s="70" t="str">
        <f>IF(AND(Sheet1!O1901="SIM",Sheet1!P1901="SIM"),"Sim","")</f>
        <v/>
      </c>
      <c r="AD1901" s="70" t="str">
        <f>IF(AC1901="sim",Sheet1!I1901,"")</f>
        <v/>
      </c>
    </row>
    <row r="1902" spans="29:30" x14ac:dyDescent="0.25">
      <c r="AC1902" s="70" t="str">
        <f>IF(AND(Sheet1!O1902="SIM",Sheet1!P1902="SIM"),"Sim","")</f>
        <v/>
      </c>
      <c r="AD1902" s="70" t="str">
        <f>IF(AC1902="sim",Sheet1!I1902,"")</f>
        <v/>
      </c>
    </row>
    <row r="1903" spans="29:30" x14ac:dyDescent="0.25">
      <c r="AC1903" s="70" t="str">
        <f>IF(AND(Sheet1!O1903="SIM",Sheet1!P1903="SIM"),"Sim","")</f>
        <v/>
      </c>
      <c r="AD1903" s="70" t="str">
        <f>IF(AC1903="sim",Sheet1!I1903,"")</f>
        <v/>
      </c>
    </row>
    <row r="1904" spans="29:30" x14ac:dyDescent="0.25">
      <c r="AC1904" s="70" t="str">
        <f>IF(AND(Sheet1!O1904="SIM",Sheet1!P1904="SIM"),"Sim","")</f>
        <v/>
      </c>
      <c r="AD1904" s="70" t="str">
        <f>IF(AC1904="sim",Sheet1!I1904,"")</f>
        <v/>
      </c>
    </row>
    <row r="1905" spans="29:30" x14ac:dyDescent="0.25">
      <c r="AC1905" s="70" t="str">
        <f>IF(AND(Sheet1!O1905="SIM",Sheet1!P1905="SIM"),"Sim","")</f>
        <v/>
      </c>
      <c r="AD1905" s="70" t="str">
        <f>IF(AC1905="sim",Sheet1!I1905,"")</f>
        <v/>
      </c>
    </row>
    <row r="1906" spans="29:30" x14ac:dyDescent="0.25">
      <c r="AC1906" s="70" t="str">
        <f>IF(AND(Sheet1!O1906="SIM",Sheet1!P1906="SIM"),"Sim","")</f>
        <v/>
      </c>
      <c r="AD1906" s="70" t="str">
        <f>IF(AC1906="sim",Sheet1!I1906,"")</f>
        <v/>
      </c>
    </row>
    <row r="1907" spans="29:30" x14ac:dyDescent="0.25">
      <c r="AC1907" s="70" t="str">
        <f>IF(AND(Sheet1!O1907="SIM",Sheet1!P1907="SIM"),"Sim","")</f>
        <v/>
      </c>
      <c r="AD1907" s="70" t="str">
        <f>IF(AC1907="sim",Sheet1!I1907,"")</f>
        <v/>
      </c>
    </row>
    <row r="1908" spans="29:30" x14ac:dyDescent="0.25">
      <c r="AC1908" s="70" t="str">
        <f>IF(AND(Sheet1!O1908="SIM",Sheet1!P1908="SIM"),"Sim","")</f>
        <v/>
      </c>
      <c r="AD1908" s="70" t="str">
        <f>IF(AC1908="sim",Sheet1!I1908,"")</f>
        <v/>
      </c>
    </row>
    <row r="1909" spans="29:30" x14ac:dyDescent="0.25">
      <c r="AC1909" s="70" t="str">
        <f>IF(AND(Sheet1!O1909="SIM",Sheet1!P1909="SIM"),"Sim","")</f>
        <v/>
      </c>
      <c r="AD1909" s="70" t="str">
        <f>IF(AC1909="sim",Sheet1!I1909,"")</f>
        <v/>
      </c>
    </row>
    <row r="1910" spans="29:30" x14ac:dyDescent="0.25">
      <c r="AC1910" s="70" t="str">
        <f>IF(AND(Sheet1!O1910="SIM",Sheet1!P1910="SIM"),"Sim","")</f>
        <v/>
      </c>
      <c r="AD1910" s="70" t="str">
        <f>IF(AC1910="sim",Sheet1!I1910,"")</f>
        <v/>
      </c>
    </row>
    <row r="1911" spans="29:30" x14ac:dyDescent="0.25">
      <c r="AC1911" s="70" t="str">
        <f>IF(AND(Sheet1!O1911="SIM",Sheet1!P1911="SIM"),"Sim","")</f>
        <v/>
      </c>
      <c r="AD1911" s="70" t="str">
        <f>IF(AC1911="sim",Sheet1!I1911,"")</f>
        <v/>
      </c>
    </row>
    <row r="1912" spans="29:30" x14ac:dyDescent="0.25">
      <c r="AC1912" s="70" t="str">
        <f>IF(AND(Sheet1!O1912="SIM",Sheet1!P1912="SIM"),"Sim","")</f>
        <v/>
      </c>
      <c r="AD1912" s="70" t="str">
        <f>IF(AC1912="sim",Sheet1!I1912,"")</f>
        <v/>
      </c>
    </row>
    <row r="1913" spans="29:30" x14ac:dyDescent="0.25">
      <c r="AC1913" s="70" t="str">
        <f>IF(AND(Sheet1!O1913="SIM",Sheet1!P1913="SIM"),"Sim","")</f>
        <v/>
      </c>
      <c r="AD1913" s="70" t="str">
        <f>IF(AC1913="sim",Sheet1!I1913,"")</f>
        <v/>
      </c>
    </row>
    <row r="1914" spans="29:30" x14ac:dyDescent="0.25">
      <c r="AC1914" s="70" t="str">
        <f>IF(AND(Sheet1!O1914="SIM",Sheet1!P1914="SIM"),"Sim","")</f>
        <v/>
      </c>
      <c r="AD1914" s="70" t="str">
        <f>IF(AC1914="sim",Sheet1!I1914,"")</f>
        <v/>
      </c>
    </row>
    <row r="1915" spans="29:30" x14ac:dyDescent="0.25">
      <c r="AC1915" s="70" t="str">
        <f>IF(AND(Sheet1!O1915="SIM",Sheet1!P1915="SIM"),"Sim","")</f>
        <v/>
      </c>
      <c r="AD1915" s="70" t="str">
        <f>IF(AC1915="sim",Sheet1!I1915,"")</f>
        <v/>
      </c>
    </row>
    <row r="1916" spans="29:30" x14ac:dyDescent="0.25">
      <c r="AC1916" s="70" t="str">
        <f>IF(AND(Sheet1!O1916="SIM",Sheet1!P1916="SIM"),"Sim","")</f>
        <v/>
      </c>
      <c r="AD1916" s="70" t="str">
        <f>IF(AC1916="sim",Sheet1!I1916,"")</f>
        <v/>
      </c>
    </row>
    <row r="1917" spans="29:30" x14ac:dyDescent="0.25">
      <c r="AC1917" s="70" t="str">
        <f>IF(AND(Sheet1!O1917="SIM",Sheet1!P1917="SIM"),"Sim","")</f>
        <v/>
      </c>
      <c r="AD1917" s="70" t="str">
        <f>IF(AC1917="sim",Sheet1!I1917,"")</f>
        <v/>
      </c>
    </row>
    <row r="1918" spans="29:30" x14ac:dyDescent="0.25">
      <c r="AC1918" s="70" t="str">
        <f>IF(AND(Sheet1!O1918="SIM",Sheet1!P1918="SIM"),"Sim","")</f>
        <v/>
      </c>
      <c r="AD1918" s="70" t="str">
        <f>IF(AC1918="sim",Sheet1!I1918,"")</f>
        <v/>
      </c>
    </row>
    <row r="1919" spans="29:30" x14ac:dyDescent="0.25">
      <c r="AC1919" s="70" t="str">
        <f>IF(AND(Sheet1!O1919="SIM",Sheet1!P1919="SIM"),"Sim","")</f>
        <v/>
      </c>
      <c r="AD1919" s="70" t="str">
        <f>IF(AC1919="sim",Sheet1!I1919,"")</f>
        <v/>
      </c>
    </row>
    <row r="1920" spans="29:30" x14ac:dyDescent="0.25">
      <c r="AC1920" s="70" t="str">
        <f>IF(AND(Sheet1!O1920="SIM",Sheet1!P1920="SIM"),"Sim","")</f>
        <v/>
      </c>
      <c r="AD1920" s="70" t="str">
        <f>IF(AC1920="sim",Sheet1!I1920,"")</f>
        <v/>
      </c>
    </row>
    <row r="1921" spans="29:30" x14ac:dyDescent="0.25">
      <c r="AC1921" s="70" t="str">
        <f>IF(AND(Sheet1!O1921="SIM",Sheet1!P1921="SIM"),"Sim","")</f>
        <v/>
      </c>
      <c r="AD1921" s="70" t="str">
        <f>IF(AC1921="sim",Sheet1!I1921,"")</f>
        <v/>
      </c>
    </row>
    <row r="1922" spans="29:30" x14ac:dyDescent="0.25">
      <c r="AC1922" s="70" t="str">
        <f>IF(AND(Sheet1!O1922="SIM",Sheet1!P1922="SIM"),"Sim","")</f>
        <v/>
      </c>
      <c r="AD1922" s="70" t="str">
        <f>IF(AC1922="sim",Sheet1!I1922,"")</f>
        <v/>
      </c>
    </row>
    <row r="1923" spans="29:30" x14ac:dyDescent="0.25">
      <c r="AC1923" s="70" t="str">
        <f>IF(AND(Sheet1!O1923="SIM",Sheet1!P1923="SIM"),"Sim","")</f>
        <v/>
      </c>
      <c r="AD1923" s="70" t="str">
        <f>IF(AC1923="sim",Sheet1!I1923,"")</f>
        <v/>
      </c>
    </row>
    <row r="1924" spans="29:30" x14ac:dyDescent="0.25">
      <c r="AC1924" s="70" t="str">
        <f>IF(AND(Sheet1!O1924="SIM",Sheet1!P1924="SIM"),"Sim","")</f>
        <v/>
      </c>
      <c r="AD1924" s="70" t="str">
        <f>IF(AC1924="sim",Sheet1!I1924,"")</f>
        <v/>
      </c>
    </row>
    <row r="1925" spans="29:30" x14ac:dyDescent="0.25">
      <c r="AC1925" s="70" t="str">
        <f>IF(AND(Sheet1!O1925="SIM",Sheet1!P1925="SIM"),"Sim","")</f>
        <v/>
      </c>
      <c r="AD1925" s="70" t="str">
        <f>IF(AC1925="sim",Sheet1!I1925,"")</f>
        <v/>
      </c>
    </row>
    <row r="1926" spans="29:30" x14ac:dyDescent="0.25">
      <c r="AC1926" s="70" t="str">
        <f>IF(AND(Sheet1!O1926="SIM",Sheet1!P1926="SIM"),"Sim","")</f>
        <v/>
      </c>
      <c r="AD1926" s="70" t="str">
        <f>IF(AC1926="sim",Sheet1!I1926,"")</f>
        <v/>
      </c>
    </row>
    <row r="1927" spans="29:30" x14ac:dyDescent="0.25">
      <c r="AC1927" s="70" t="str">
        <f>IF(AND(Sheet1!O1927="SIM",Sheet1!P1927="SIM"),"Sim","")</f>
        <v/>
      </c>
      <c r="AD1927" s="70" t="str">
        <f>IF(AC1927="sim",Sheet1!I1927,"")</f>
        <v/>
      </c>
    </row>
    <row r="1928" spans="29:30" x14ac:dyDescent="0.25">
      <c r="AC1928" s="70" t="str">
        <f>IF(AND(Sheet1!O1928="SIM",Sheet1!P1928="SIM"),"Sim","")</f>
        <v/>
      </c>
      <c r="AD1928" s="70" t="str">
        <f>IF(AC1928="sim",Sheet1!I1928,"")</f>
        <v/>
      </c>
    </row>
    <row r="1929" spans="29:30" x14ac:dyDescent="0.25">
      <c r="AC1929" s="70" t="str">
        <f>IF(AND(Sheet1!O1929="SIM",Sheet1!P1929="SIM"),"Sim","")</f>
        <v/>
      </c>
      <c r="AD1929" s="70" t="str">
        <f>IF(AC1929="sim",Sheet1!I1929,"")</f>
        <v/>
      </c>
    </row>
    <row r="1930" spans="29:30" x14ac:dyDescent="0.25">
      <c r="AC1930" s="70" t="str">
        <f>IF(AND(Sheet1!O1930="SIM",Sheet1!P1930="SIM"),"Sim","")</f>
        <v/>
      </c>
      <c r="AD1930" s="70" t="str">
        <f>IF(AC1930="sim",Sheet1!I1930,"")</f>
        <v/>
      </c>
    </row>
    <row r="1931" spans="29:30" x14ac:dyDescent="0.25">
      <c r="AC1931" s="70" t="str">
        <f>IF(AND(Sheet1!O1931="SIM",Sheet1!P1931="SIM"),"Sim","")</f>
        <v/>
      </c>
      <c r="AD1931" s="70" t="str">
        <f>IF(AC1931="sim",Sheet1!I1931,"")</f>
        <v/>
      </c>
    </row>
    <row r="1932" spans="29:30" x14ac:dyDescent="0.25">
      <c r="AC1932" s="70" t="str">
        <f>IF(AND(Sheet1!O1932="SIM",Sheet1!P1932="SIM"),"Sim","")</f>
        <v/>
      </c>
      <c r="AD1932" s="70" t="str">
        <f>IF(AC1932="sim",Sheet1!I1932,"")</f>
        <v/>
      </c>
    </row>
    <row r="1933" spans="29:30" x14ac:dyDescent="0.25">
      <c r="AC1933" s="70" t="str">
        <f>IF(AND(Sheet1!O1933="SIM",Sheet1!P1933="SIM"),"Sim","")</f>
        <v/>
      </c>
      <c r="AD1933" s="70" t="str">
        <f>IF(AC1933="sim",Sheet1!I1933,"")</f>
        <v/>
      </c>
    </row>
    <row r="1934" spans="29:30" x14ac:dyDescent="0.25">
      <c r="AC1934" s="70" t="str">
        <f>IF(AND(Sheet1!O1934="SIM",Sheet1!P1934="SIM"),"Sim","")</f>
        <v/>
      </c>
      <c r="AD1934" s="70" t="str">
        <f>IF(AC1934="sim",Sheet1!I1934,"")</f>
        <v/>
      </c>
    </row>
    <row r="1935" spans="29:30" x14ac:dyDescent="0.25">
      <c r="AC1935" s="70" t="str">
        <f>IF(AND(Sheet1!O1935="SIM",Sheet1!P1935="SIM"),"Sim","")</f>
        <v/>
      </c>
      <c r="AD1935" s="70" t="str">
        <f>IF(AC1935="sim",Sheet1!I1935,"")</f>
        <v/>
      </c>
    </row>
    <row r="1936" spans="29:30" x14ac:dyDescent="0.25">
      <c r="AC1936" s="70" t="str">
        <f>IF(AND(Sheet1!O1936="SIM",Sheet1!P1936="SIM"),"Sim","")</f>
        <v/>
      </c>
      <c r="AD1936" s="70" t="str">
        <f>IF(AC1936="sim",Sheet1!I1936,"")</f>
        <v/>
      </c>
    </row>
    <row r="1937" spans="29:30" x14ac:dyDescent="0.25">
      <c r="AC1937" s="70" t="str">
        <f>IF(AND(Sheet1!O1937="SIM",Sheet1!P1937="SIM"),"Sim","")</f>
        <v/>
      </c>
      <c r="AD1937" s="70" t="str">
        <f>IF(AC1937="sim",Sheet1!I1937,"")</f>
        <v/>
      </c>
    </row>
    <row r="1938" spans="29:30" x14ac:dyDescent="0.25">
      <c r="AC1938" s="70" t="str">
        <f>IF(AND(Sheet1!O1938="SIM",Sheet1!P1938="SIM"),"Sim","")</f>
        <v/>
      </c>
      <c r="AD1938" s="70" t="str">
        <f>IF(AC1938="sim",Sheet1!I1938,"")</f>
        <v/>
      </c>
    </row>
    <row r="1939" spans="29:30" x14ac:dyDescent="0.25">
      <c r="AC1939" s="70" t="str">
        <f>IF(AND(Sheet1!O1939="SIM",Sheet1!P1939="SIM"),"Sim","")</f>
        <v/>
      </c>
      <c r="AD1939" s="70" t="str">
        <f>IF(AC1939="sim",Sheet1!I1939,"")</f>
        <v/>
      </c>
    </row>
    <row r="1940" spans="29:30" x14ac:dyDescent="0.25">
      <c r="AC1940" s="70" t="str">
        <f>IF(AND(Sheet1!O1940="SIM",Sheet1!P1940="SIM"),"Sim","")</f>
        <v/>
      </c>
      <c r="AD1940" s="70" t="str">
        <f>IF(AC1940="sim",Sheet1!I1940,"")</f>
        <v/>
      </c>
    </row>
    <row r="1941" spans="29:30" x14ac:dyDescent="0.25">
      <c r="AC1941" s="70" t="str">
        <f>IF(AND(Sheet1!O1941="SIM",Sheet1!P1941="SIM"),"Sim","")</f>
        <v/>
      </c>
      <c r="AD1941" s="70" t="str">
        <f>IF(AC1941="sim",Sheet1!I1941,"")</f>
        <v/>
      </c>
    </row>
    <row r="1942" spans="29:30" x14ac:dyDescent="0.25">
      <c r="AC1942" s="70" t="str">
        <f>IF(AND(Sheet1!O1942="SIM",Sheet1!P1942="SIM"),"Sim","")</f>
        <v/>
      </c>
      <c r="AD1942" s="70" t="str">
        <f>IF(AC1942="sim",Sheet1!I1942,"")</f>
        <v/>
      </c>
    </row>
    <row r="1943" spans="29:30" x14ac:dyDescent="0.25">
      <c r="AC1943" s="70" t="str">
        <f>IF(AND(Sheet1!O1943="SIM",Sheet1!P1943="SIM"),"Sim","")</f>
        <v/>
      </c>
      <c r="AD1943" s="70" t="str">
        <f>IF(AC1943="sim",Sheet1!I1943,"")</f>
        <v/>
      </c>
    </row>
    <row r="1944" spans="29:30" x14ac:dyDescent="0.25">
      <c r="AC1944" s="70" t="str">
        <f>IF(AND(Sheet1!O1944="SIM",Sheet1!P1944="SIM"),"Sim","")</f>
        <v/>
      </c>
      <c r="AD1944" s="70" t="str">
        <f>IF(AC1944="sim",Sheet1!I1944,"")</f>
        <v/>
      </c>
    </row>
    <row r="1945" spans="29:30" x14ac:dyDescent="0.25">
      <c r="AC1945" s="70" t="str">
        <f>IF(AND(Sheet1!O1945="SIM",Sheet1!P1945="SIM"),"Sim","")</f>
        <v/>
      </c>
      <c r="AD1945" s="70" t="str">
        <f>IF(AC1945="sim",Sheet1!I1945,"")</f>
        <v/>
      </c>
    </row>
    <row r="1946" spans="29:30" x14ac:dyDescent="0.25">
      <c r="AC1946" s="70" t="str">
        <f>IF(AND(Sheet1!O1946="SIM",Sheet1!P1946="SIM"),"Sim","")</f>
        <v/>
      </c>
      <c r="AD1946" s="70" t="str">
        <f>IF(AC1946="sim",Sheet1!I1946,"")</f>
        <v/>
      </c>
    </row>
    <row r="1947" spans="29:30" x14ac:dyDescent="0.25">
      <c r="AC1947" s="70" t="str">
        <f>IF(AND(Sheet1!O1947="SIM",Sheet1!P1947="SIM"),"Sim","")</f>
        <v/>
      </c>
      <c r="AD1947" s="70" t="str">
        <f>IF(AC1947="sim",Sheet1!I1947,"")</f>
        <v/>
      </c>
    </row>
    <row r="1948" spans="29:30" x14ac:dyDescent="0.25">
      <c r="AC1948" s="70" t="str">
        <f>IF(AND(Sheet1!O1948="SIM",Sheet1!P1948="SIM"),"Sim","")</f>
        <v/>
      </c>
      <c r="AD1948" s="70" t="str">
        <f>IF(AC1948="sim",Sheet1!I1948,"")</f>
        <v/>
      </c>
    </row>
    <row r="1949" spans="29:30" x14ac:dyDescent="0.25">
      <c r="AC1949" s="70" t="str">
        <f>IF(AND(Sheet1!O1949="SIM",Sheet1!P1949="SIM"),"Sim","")</f>
        <v/>
      </c>
      <c r="AD1949" s="70" t="str">
        <f>IF(AC1949="sim",Sheet1!I1949,"")</f>
        <v/>
      </c>
    </row>
    <row r="1950" spans="29:30" x14ac:dyDescent="0.25">
      <c r="AC1950" s="70" t="str">
        <f>IF(AND(Sheet1!O1950="SIM",Sheet1!P1950="SIM"),"Sim","")</f>
        <v/>
      </c>
      <c r="AD1950" s="70" t="str">
        <f>IF(AC1950="sim",Sheet1!I1950,"")</f>
        <v/>
      </c>
    </row>
    <row r="1951" spans="29:30" x14ac:dyDescent="0.25">
      <c r="AC1951" s="70" t="str">
        <f>IF(AND(Sheet1!O1951="SIM",Sheet1!P1951="SIM"),"Sim","")</f>
        <v/>
      </c>
      <c r="AD1951" s="70" t="str">
        <f>IF(AC1951="sim",Sheet1!I1951,"")</f>
        <v/>
      </c>
    </row>
    <row r="1952" spans="29:30" x14ac:dyDescent="0.25">
      <c r="AC1952" s="70" t="str">
        <f>IF(AND(Sheet1!O1952="SIM",Sheet1!P1952="SIM"),"Sim","")</f>
        <v/>
      </c>
      <c r="AD1952" s="70" t="str">
        <f>IF(AC1952="sim",Sheet1!I1952,"")</f>
        <v/>
      </c>
    </row>
    <row r="1953" spans="29:30" x14ac:dyDescent="0.25">
      <c r="AC1953" s="70" t="str">
        <f>IF(AND(Sheet1!O1953="SIM",Sheet1!P1953="SIM"),"Sim","")</f>
        <v/>
      </c>
      <c r="AD1953" s="70" t="str">
        <f>IF(AC1953="sim",Sheet1!I1953,"")</f>
        <v/>
      </c>
    </row>
    <row r="1954" spans="29:30" x14ac:dyDescent="0.25">
      <c r="AC1954" s="70" t="str">
        <f>IF(AND(Sheet1!O1954="SIM",Sheet1!P1954="SIM"),"Sim","")</f>
        <v/>
      </c>
      <c r="AD1954" s="70" t="str">
        <f>IF(AC1954="sim",Sheet1!I1954,"")</f>
        <v/>
      </c>
    </row>
    <row r="1955" spans="29:30" x14ac:dyDescent="0.25">
      <c r="AC1955" s="70" t="str">
        <f>IF(AND(Sheet1!O1955="SIM",Sheet1!P1955="SIM"),"Sim","")</f>
        <v/>
      </c>
      <c r="AD1955" s="70" t="str">
        <f>IF(AC1955="sim",Sheet1!I1955,"")</f>
        <v/>
      </c>
    </row>
    <row r="1956" spans="29:30" x14ac:dyDescent="0.25">
      <c r="AC1956" s="70" t="str">
        <f>IF(AND(Sheet1!O1956="SIM",Sheet1!P1956="SIM"),"Sim","")</f>
        <v/>
      </c>
      <c r="AD1956" s="70" t="str">
        <f>IF(AC1956="sim",Sheet1!I1956,"")</f>
        <v/>
      </c>
    </row>
    <row r="1957" spans="29:30" x14ac:dyDescent="0.25">
      <c r="AC1957" s="70" t="str">
        <f>IF(AND(Sheet1!O1957="SIM",Sheet1!P1957="SIM"),"Sim","")</f>
        <v/>
      </c>
      <c r="AD1957" s="70" t="str">
        <f>IF(AC1957="sim",Sheet1!I1957,"")</f>
        <v/>
      </c>
    </row>
    <row r="1958" spans="29:30" x14ac:dyDescent="0.25">
      <c r="AC1958" s="70" t="str">
        <f>IF(AND(Sheet1!O1958="SIM",Sheet1!P1958="SIM"),"Sim","")</f>
        <v/>
      </c>
      <c r="AD1958" s="70" t="str">
        <f>IF(AC1958="sim",Sheet1!I1958,"")</f>
        <v/>
      </c>
    </row>
    <row r="1959" spans="29:30" x14ac:dyDescent="0.25">
      <c r="AC1959" s="70" t="str">
        <f>IF(AND(Sheet1!O1959="SIM",Sheet1!P1959="SIM"),"Sim","")</f>
        <v/>
      </c>
      <c r="AD1959" s="70" t="str">
        <f>IF(AC1959="sim",Sheet1!I1959,"")</f>
        <v/>
      </c>
    </row>
    <row r="1960" spans="29:30" x14ac:dyDescent="0.25">
      <c r="AC1960" s="70" t="str">
        <f>IF(AND(Sheet1!O1960="SIM",Sheet1!P1960="SIM"),"Sim","")</f>
        <v/>
      </c>
      <c r="AD1960" s="70" t="str">
        <f>IF(AC1960="sim",Sheet1!I1960,"")</f>
        <v/>
      </c>
    </row>
    <row r="1961" spans="29:30" x14ac:dyDescent="0.25">
      <c r="AC1961" s="70" t="str">
        <f>IF(AND(Sheet1!O1961="SIM",Sheet1!P1961="SIM"),"Sim","")</f>
        <v/>
      </c>
      <c r="AD1961" s="70" t="str">
        <f>IF(AC1961="sim",Sheet1!I1961,"")</f>
        <v/>
      </c>
    </row>
    <row r="1962" spans="29:30" x14ac:dyDescent="0.25">
      <c r="AC1962" s="70" t="str">
        <f>IF(AND(Sheet1!O1962="SIM",Sheet1!P1962="SIM"),"Sim","")</f>
        <v/>
      </c>
      <c r="AD1962" s="70" t="str">
        <f>IF(AC1962="sim",Sheet1!I1962,"")</f>
        <v/>
      </c>
    </row>
    <row r="1963" spans="29:30" x14ac:dyDescent="0.25">
      <c r="AC1963" s="70" t="str">
        <f>IF(AND(Sheet1!O1963="SIM",Sheet1!P1963="SIM"),"Sim","")</f>
        <v/>
      </c>
      <c r="AD1963" s="70" t="str">
        <f>IF(AC1963="sim",Sheet1!I1963,"")</f>
        <v/>
      </c>
    </row>
    <row r="1964" spans="29:30" x14ac:dyDescent="0.25">
      <c r="AC1964" s="70" t="str">
        <f>IF(AND(Sheet1!O1964="SIM",Sheet1!P1964="SIM"),"Sim","")</f>
        <v/>
      </c>
      <c r="AD1964" s="70" t="str">
        <f>IF(AC1964="sim",Sheet1!I1964,"")</f>
        <v/>
      </c>
    </row>
    <row r="1965" spans="29:30" x14ac:dyDescent="0.25">
      <c r="AC1965" s="70" t="str">
        <f>IF(AND(Sheet1!O1965="SIM",Sheet1!P1965="SIM"),"Sim","")</f>
        <v/>
      </c>
      <c r="AD1965" s="70" t="str">
        <f>IF(AC1965="sim",Sheet1!I1965,"")</f>
        <v/>
      </c>
    </row>
    <row r="1966" spans="29:30" x14ac:dyDescent="0.25">
      <c r="AC1966" s="70" t="str">
        <f>IF(AND(Sheet1!O1966="SIM",Sheet1!P1966="SIM"),"Sim","")</f>
        <v/>
      </c>
      <c r="AD1966" s="70" t="str">
        <f>IF(AC1966="sim",Sheet1!I1966,"")</f>
        <v/>
      </c>
    </row>
    <row r="1967" spans="29:30" x14ac:dyDescent="0.25">
      <c r="AC1967" s="70" t="str">
        <f>IF(AND(Sheet1!O1967="SIM",Sheet1!P1967="SIM"),"Sim","")</f>
        <v/>
      </c>
      <c r="AD1967" s="70" t="str">
        <f>IF(AC1967="sim",Sheet1!I1967,"")</f>
        <v/>
      </c>
    </row>
    <row r="1968" spans="29:30" x14ac:dyDescent="0.25">
      <c r="AC1968" s="70" t="str">
        <f>IF(AND(Sheet1!O1968="SIM",Sheet1!P1968="SIM"),"Sim","")</f>
        <v/>
      </c>
      <c r="AD1968" s="70" t="str">
        <f>IF(AC1968="sim",Sheet1!I1968,"")</f>
        <v/>
      </c>
    </row>
    <row r="1969" spans="29:30" x14ac:dyDescent="0.25">
      <c r="AC1969" s="70" t="str">
        <f>IF(AND(Sheet1!O1969="SIM",Sheet1!P1969="SIM"),"Sim","")</f>
        <v/>
      </c>
      <c r="AD1969" s="70" t="str">
        <f>IF(AC1969="sim",Sheet1!I1969,"")</f>
        <v/>
      </c>
    </row>
    <row r="1970" spans="29:30" x14ac:dyDescent="0.25">
      <c r="AC1970" s="70" t="str">
        <f>IF(AND(Sheet1!O1970="SIM",Sheet1!P1970="SIM"),"Sim","")</f>
        <v/>
      </c>
      <c r="AD1970" s="70" t="str">
        <f>IF(AC1970="sim",Sheet1!I1970,"")</f>
        <v/>
      </c>
    </row>
    <row r="1971" spans="29:30" x14ac:dyDescent="0.25">
      <c r="AC1971" s="70" t="str">
        <f>IF(AND(Sheet1!O1971="SIM",Sheet1!P1971="SIM"),"Sim","")</f>
        <v/>
      </c>
      <c r="AD1971" s="70" t="str">
        <f>IF(AC1971="sim",Sheet1!I1971,"")</f>
        <v/>
      </c>
    </row>
    <row r="1972" spans="29:30" x14ac:dyDescent="0.25">
      <c r="AC1972" s="70" t="str">
        <f>IF(AND(Sheet1!O1972="SIM",Sheet1!P1972="SIM"),"Sim","")</f>
        <v/>
      </c>
      <c r="AD1972" s="70" t="str">
        <f>IF(AC1972="sim",Sheet1!I1972,"")</f>
        <v/>
      </c>
    </row>
    <row r="1973" spans="29:30" x14ac:dyDescent="0.25">
      <c r="AC1973" s="70" t="str">
        <f>IF(AND(Sheet1!O1973="SIM",Sheet1!P1973="SIM"),"Sim","")</f>
        <v/>
      </c>
      <c r="AD1973" s="70" t="str">
        <f>IF(AC1973="sim",Sheet1!I1973,"")</f>
        <v/>
      </c>
    </row>
    <row r="1974" spans="29:30" x14ac:dyDescent="0.25">
      <c r="AC1974" s="70" t="str">
        <f>IF(AND(Sheet1!O1974="SIM",Sheet1!P1974="SIM"),"Sim","")</f>
        <v/>
      </c>
      <c r="AD1974" s="70" t="str">
        <f>IF(AC1974="sim",Sheet1!I1974,"")</f>
        <v/>
      </c>
    </row>
    <row r="1975" spans="29:30" x14ac:dyDescent="0.25">
      <c r="AC1975" s="70" t="str">
        <f>IF(AND(Sheet1!O1975="SIM",Sheet1!P1975="SIM"),"Sim","")</f>
        <v/>
      </c>
      <c r="AD1975" s="70" t="str">
        <f>IF(AC1975="sim",Sheet1!I1975,"")</f>
        <v/>
      </c>
    </row>
    <row r="1976" spans="29:30" x14ac:dyDescent="0.25">
      <c r="AC1976" s="70" t="str">
        <f>IF(AND(Sheet1!O1976="SIM",Sheet1!P1976="SIM"),"Sim","")</f>
        <v/>
      </c>
      <c r="AD1976" s="70" t="str">
        <f>IF(AC1976="sim",Sheet1!I1976,"")</f>
        <v/>
      </c>
    </row>
    <row r="1977" spans="29:30" x14ac:dyDescent="0.25">
      <c r="AC1977" s="70" t="str">
        <f>IF(AND(Sheet1!O1977="SIM",Sheet1!P1977="SIM"),"Sim","")</f>
        <v/>
      </c>
      <c r="AD1977" s="70" t="str">
        <f>IF(AC1977="sim",Sheet1!I1977,"")</f>
        <v/>
      </c>
    </row>
    <row r="1978" spans="29:30" x14ac:dyDescent="0.25">
      <c r="AC1978" s="70" t="str">
        <f>IF(AND(Sheet1!O1978="SIM",Sheet1!P1978="SIM"),"Sim","")</f>
        <v/>
      </c>
      <c r="AD1978" s="70" t="str">
        <f>IF(AC1978="sim",Sheet1!I1978,"")</f>
        <v/>
      </c>
    </row>
    <row r="1979" spans="29:30" x14ac:dyDescent="0.25">
      <c r="AC1979" s="70" t="str">
        <f>IF(AND(Sheet1!O1979="SIM",Sheet1!P1979="SIM"),"Sim","")</f>
        <v/>
      </c>
      <c r="AD1979" s="70" t="str">
        <f>IF(AC1979="sim",Sheet1!I1979,"")</f>
        <v/>
      </c>
    </row>
    <row r="1980" spans="29:30" x14ac:dyDescent="0.25">
      <c r="AC1980" s="70" t="str">
        <f>IF(AND(Sheet1!O1980="SIM",Sheet1!P1980="SIM"),"Sim","")</f>
        <v/>
      </c>
      <c r="AD1980" s="70" t="str">
        <f>IF(AC1980="sim",Sheet1!I1980,"")</f>
        <v/>
      </c>
    </row>
    <row r="1981" spans="29:30" x14ac:dyDescent="0.25">
      <c r="AC1981" s="70" t="str">
        <f>IF(AND(Sheet1!O1981="SIM",Sheet1!P1981="SIM"),"Sim","")</f>
        <v/>
      </c>
      <c r="AD1981" s="70" t="str">
        <f>IF(AC1981="sim",Sheet1!I1981,"")</f>
        <v/>
      </c>
    </row>
    <row r="1982" spans="29:30" x14ac:dyDescent="0.25">
      <c r="AC1982" s="70" t="str">
        <f>IF(AND(Sheet1!O1982="SIM",Sheet1!P1982="SIM"),"Sim","")</f>
        <v/>
      </c>
      <c r="AD1982" s="70" t="str">
        <f>IF(AC1982="sim",Sheet1!I1982,"")</f>
        <v/>
      </c>
    </row>
    <row r="1983" spans="29:30" x14ac:dyDescent="0.25">
      <c r="AC1983" s="70" t="str">
        <f>IF(AND(Sheet1!O1983="SIM",Sheet1!P1983="SIM"),"Sim","")</f>
        <v/>
      </c>
      <c r="AD1983" s="70" t="str">
        <f>IF(AC1983="sim",Sheet1!I1983,"")</f>
        <v/>
      </c>
    </row>
    <row r="1984" spans="29:30" x14ac:dyDescent="0.25">
      <c r="AC1984" s="70" t="str">
        <f>IF(AND(Sheet1!O1984="SIM",Sheet1!P1984="SIM"),"Sim","")</f>
        <v/>
      </c>
      <c r="AD1984" s="70" t="str">
        <f>IF(AC1984="sim",Sheet1!I1984,"")</f>
        <v/>
      </c>
    </row>
    <row r="1985" spans="29:30" x14ac:dyDescent="0.25">
      <c r="AC1985" s="70" t="str">
        <f>IF(AND(Sheet1!O1985="SIM",Sheet1!P1985="SIM"),"Sim","")</f>
        <v/>
      </c>
      <c r="AD1985" s="70" t="str">
        <f>IF(AC1985="sim",Sheet1!I1985,"")</f>
        <v/>
      </c>
    </row>
    <row r="1986" spans="29:30" x14ac:dyDescent="0.25">
      <c r="AC1986" s="70" t="str">
        <f>IF(AND(Sheet1!O1986="SIM",Sheet1!P1986="SIM"),"Sim","")</f>
        <v/>
      </c>
      <c r="AD1986" s="70" t="str">
        <f>IF(AC1986="sim",Sheet1!I1986,"")</f>
        <v/>
      </c>
    </row>
    <row r="1987" spans="29:30" x14ac:dyDescent="0.25">
      <c r="AC1987" s="70" t="str">
        <f>IF(AND(Sheet1!O1987="SIM",Sheet1!P1987="SIM"),"Sim","")</f>
        <v/>
      </c>
      <c r="AD1987" s="70" t="str">
        <f>IF(AC1987="sim",Sheet1!I1987,"")</f>
        <v/>
      </c>
    </row>
    <row r="1988" spans="29:30" x14ac:dyDescent="0.25">
      <c r="AC1988" s="70" t="str">
        <f>IF(AND(Sheet1!O1988="SIM",Sheet1!P1988="SIM"),"Sim","")</f>
        <v/>
      </c>
      <c r="AD1988" s="70" t="str">
        <f>IF(AC1988="sim",Sheet1!I1988,"")</f>
        <v/>
      </c>
    </row>
    <row r="1989" spans="29:30" x14ac:dyDescent="0.25">
      <c r="AC1989" s="70" t="str">
        <f>IF(AND(Sheet1!O1989="SIM",Sheet1!P1989="SIM"),"Sim","")</f>
        <v/>
      </c>
      <c r="AD1989" s="70" t="str">
        <f>IF(AC1989="sim",Sheet1!I1989,"")</f>
        <v/>
      </c>
    </row>
    <row r="1990" spans="29:30" x14ac:dyDescent="0.25">
      <c r="AC1990" s="70" t="str">
        <f>IF(AND(Sheet1!O1990="SIM",Sheet1!P1990="SIM"),"Sim","")</f>
        <v/>
      </c>
      <c r="AD1990" s="70" t="str">
        <f>IF(AC1990="sim",Sheet1!I1990,"")</f>
        <v/>
      </c>
    </row>
    <row r="1991" spans="29:30" x14ac:dyDescent="0.25">
      <c r="AC1991" s="70" t="str">
        <f>IF(AND(Sheet1!O1991="SIM",Sheet1!P1991="SIM"),"Sim","")</f>
        <v/>
      </c>
      <c r="AD1991" s="70" t="str">
        <f>IF(AC1991="sim",Sheet1!I1991,"")</f>
        <v/>
      </c>
    </row>
    <row r="1992" spans="29:30" x14ac:dyDescent="0.25">
      <c r="AC1992" s="70" t="str">
        <f>IF(AND(Sheet1!O1992="SIM",Sheet1!P1992="SIM"),"Sim","")</f>
        <v/>
      </c>
      <c r="AD1992" s="70" t="str">
        <f>IF(AC1992="sim",Sheet1!I1992,"")</f>
        <v/>
      </c>
    </row>
    <row r="1993" spans="29:30" x14ac:dyDescent="0.25">
      <c r="AC1993" s="70" t="str">
        <f>IF(AND(Sheet1!O1993="SIM",Sheet1!P1993="SIM"),"Sim","")</f>
        <v/>
      </c>
      <c r="AD1993" s="70" t="str">
        <f>IF(AC1993="sim",Sheet1!I1993,"")</f>
        <v/>
      </c>
    </row>
    <row r="1994" spans="29:30" x14ac:dyDescent="0.25">
      <c r="AC1994" s="70" t="str">
        <f>IF(AND(Sheet1!O1994="SIM",Sheet1!P1994="SIM"),"Sim","")</f>
        <v/>
      </c>
      <c r="AD1994" s="70" t="str">
        <f>IF(AC1994="sim",Sheet1!I1994,"")</f>
        <v/>
      </c>
    </row>
    <row r="1995" spans="29:30" x14ac:dyDescent="0.25">
      <c r="AC1995" s="70" t="str">
        <f>IF(AND(Sheet1!O1995="SIM",Sheet1!P1995="SIM"),"Sim","")</f>
        <v/>
      </c>
      <c r="AD1995" s="70" t="str">
        <f>IF(AC1995="sim",Sheet1!I1995,"")</f>
        <v/>
      </c>
    </row>
    <row r="1996" spans="29:30" x14ac:dyDescent="0.25">
      <c r="AC1996" s="70" t="str">
        <f>IF(AND(Sheet1!O1996="SIM",Sheet1!P1996="SIM"),"Sim","")</f>
        <v/>
      </c>
      <c r="AD1996" s="70" t="str">
        <f>IF(AC1996="sim",Sheet1!I1996,"")</f>
        <v/>
      </c>
    </row>
    <row r="1997" spans="29:30" x14ac:dyDescent="0.25">
      <c r="AC1997" s="70" t="str">
        <f>IF(AND(Sheet1!O1997="SIM",Sheet1!P1997="SIM"),"Sim","")</f>
        <v/>
      </c>
      <c r="AD1997" s="70" t="str">
        <f>IF(AC1997="sim",Sheet1!I1997,"")</f>
        <v/>
      </c>
    </row>
    <row r="1998" spans="29:30" x14ac:dyDescent="0.25">
      <c r="AC1998" s="70" t="str">
        <f>IF(AND(Sheet1!O1998="SIM",Sheet1!P1998="SIM"),"Sim","")</f>
        <v/>
      </c>
      <c r="AD1998" s="70" t="str">
        <f>IF(AC1998="sim",Sheet1!I1998,"")</f>
        <v/>
      </c>
    </row>
    <row r="1999" spans="29:30" x14ac:dyDescent="0.25">
      <c r="AC1999" s="70" t="str">
        <f>IF(AND(Sheet1!O1999="SIM",Sheet1!P1999="SIM"),"Sim","")</f>
        <v/>
      </c>
      <c r="AD1999" s="70" t="str">
        <f>IF(AC1999="sim",Sheet1!I1999,"")</f>
        <v/>
      </c>
    </row>
    <row r="2000" spans="29:30" x14ac:dyDescent="0.25">
      <c r="AC2000" s="70" t="str">
        <f>IF(AND(Sheet1!O2000="SIM",Sheet1!P2000="SIM"),"Sim","")</f>
        <v/>
      </c>
      <c r="AD2000" s="70" t="str">
        <f>IF(AC2000="sim",Sheet1!I2000,"")</f>
        <v/>
      </c>
    </row>
    <row r="2001" spans="29:30" x14ac:dyDescent="0.25">
      <c r="AC2001" s="70" t="str">
        <f>IF(AND(Sheet1!O2001="SIM",Sheet1!P2001="SIM"),"Sim","")</f>
        <v/>
      </c>
      <c r="AD2001" s="70" t="str">
        <f>IF(AC2001="sim",Sheet1!I2001,"")</f>
        <v/>
      </c>
    </row>
    <row r="2002" spans="29:30" x14ac:dyDescent="0.25">
      <c r="AC2002" s="70" t="str">
        <f>IF(AND(Sheet1!O2002="SIM",Sheet1!P2002="SIM"),"Sim","")</f>
        <v/>
      </c>
      <c r="AD2002" s="70" t="str">
        <f>IF(AC2002="sim",Sheet1!I2002,"")</f>
        <v/>
      </c>
    </row>
    <row r="2003" spans="29:30" x14ac:dyDescent="0.25">
      <c r="AC2003" s="70" t="str">
        <f>IF(AND(Sheet1!O2003="SIM",Sheet1!P2003="SIM"),"Sim","")</f>
        <v/>
      </c>
      <c r="AD2003" s="70" t="str">
        <f>IF(AC2003="sim",Sheet1!I2003,"")</f>
        <v/>
      </c>
    </row>
    <row r="2004" spans="29:30" x14ac:dyDescent="0.25">
      <c r="AC2004" s="70" t="str">
        <f>IF(AND(Sheet1!O2004="SIM",Sheet1!P2004="SIM"),"Sim","")</f>
        <v/>
      </c>
      <c r="AD2004" s="70" t="str">
        <f>IF(AC2004="sim",Sheet1!I2004,"")</f>
        <v/>
      </c>
    </row>
    <row r="2005" spans="29:30" x14ac:dyDescent="0.25">
      <c r="AC2005" s="70" t="str">
        <f>IF(AND(Sheet1!O2005="SIM",Sheet1!P2005="SIM"),"Sim","")</f>
        <v/>
      </c>
      <c r="AD2005" s="70" t="str">
        <f>IF(AC2005="sim",Sheet1!I2005,"")</f>
        <v/>
      </c>
    </row>
    <row r="2006" spans="29:30" x14ac:dyDescent="0.25">
      <c r="AC2006" s="70" t="str">
        <f>IF(AND(Sheet1!O2006="SIM",Sheet1!P2006="SIM"),"Sim","")</f>
        <v/>
      </c>
      <c r="AD2006" s="70" t="str">
        <f>IF(AC2006="sim",Sheet1!I2006,"")</f>
        <v/>
      </c>
    </row>
    <row r="2007" spans="29:30" x14ac:dyDescent="0.25">
      <c r="AC2007" s="70" t="str">
        <f>IF(AND(Sheet1!O2007="SIM",Sheet1!P2007="SIM"),"Sim","")</f>
        <v/>
      </c>
      <c r="AD2007" s="70" t="str">
        <f>IF(AC2007="sim",Sheet1!I2007,"")</f>
        <v/>
      </c>
    </row>
    <row r="2008" spans="29:30" x14ac:dyDescent="0.25">
      <c r="AC2008" s="70" t="str">
        <f>IF(AND(Sheet1!O2008="SIM",Sheet1!P2008="SIM"),"Sim","")</f>
        <v/>
      </c>
      <c r="AD2008" s="70" t="str">
        <f>IF(AC2008="sim",Sheet1!I2008,"")</f>
        <v/>
      </c>
    </row>
    <row r="2009" spans="29:30" x14ac:dyDescent="0.25">
      <c r="AC2009" s="70" t="str">
        <f>IF(AND(Sheet1!O2009="SIM",Sheet1!P2009="SIM"),"Sim","")</f>
        <v/>
      </c>
      <c r="AD2009" s="70" t="str">
        <f>IF(AC2009="sim",Sheet1!I2009,"")</f>
        <v/>
      </c>
    </row>
    <row r="2010" spans="29:30" x14ac:dyDescent="0.25">
      <c r="AC2010" s="70" t="str">
        <f>IF(AND(Sheet1!O2010="SIM",Sheet1!P2010="SIM"),"Sim","")</f>
        <v/>
      </c>
      <c r="AD2010" s="70" t="str">
        <f>IF(AC2010="sim",Sheet1!I2010,"")</f>
        <v/>
      </c>
    </row>
    <row r="2011" spans="29:30" x14ac:dyDescent="0.25">
      <c r="AC2011" s="70" t="str">
        <f>IF(AND(Sheet1!O2011="SIM",Sheet1!P2011="SIM"),"Sim","")</f>
        <v/>
      </c>
      <c r="AD2011" s="70" t="str">
        <f>IF(AC2011="sim",Sheet1!I2011,"")</f>
        <v/>
      </c>
    </row>
    <row r="2012" spans="29:30" x14ac:dyDescent="0.25">
      <c r="AC2012" s="70" t="str">
        <f>IF(AND(Sheet1!O2012="SIM",Sheet1!P2012="SIM"),"Sim","")</f>
        <v/>
      </c>
      <c r="AD2012" s="70" t="str">
        <f>IF(AC2012="sim",Sheet1!I2012,"")</f>
        <v/>
      </c>
    </row>
    <row r="2013" spans="29:30" x14ac:dyDescent="0.25">
      <c r="AC2013" s="70" t="str">
        <f>IF(AND(Sheet1!O2013="SIM",Sheet1!P2013="SIM"),"Sim","")</f>
        <v/>
      </c>
      <c r="AD2013" s="70" t="str">
        <f>IF(AC2013="sim",Sheet1!I2013,"")</f>
        <v/>
      </c>
    </row>
    <row r="2014" spans="29:30" x14ac:dyDescent="0.25">
      <c r="AC2014" s="70" t="str">
        <f>IF(AND(Sheet1!O2014="SIM",Sheet1!P2014="SIM"),"Sim","")</f>
        <v/>
      </c>
      <c r="AD2014" s="70" t="str">
        <f>IF(AC2014="sim",Sheet1!I2014,"")</f>
        <v/>
      </c>
    </row>
    <row r="2015" spans="29:30" x14ac:dyDescent="0.25">
      <c r="AC2015" s="70" t="str">
        <f>IF(AND(Sheet1!O2015="SIM",Sheet1!P2015="SIM"),"Sim","")</f>
        <v/>
      </c>
      <c r="AD2015" s="70" t="str">
        <f>IF(AC2015="sim",Sheet1!I2015,"")</f>
        <v/>
      </c>
    </row>
    <row r="2016" spans="29:30" x14ac:dyDescent="0.25">
      <c r="AC2016" s="70" t="str">
        <f>IF(AND(Sheet1!O2016="SIM",Sheet1!P2016="SIM"),"Sim","")</f>
        <v/>
      </c>
      <c r="AD2016" s="70" t="str">
        <f>IF(AC2016="sim",Sheet1!I2016,"")</f>
        <v/>
      </c>
    </row>
    <row r="2017" spans="29:30" x14ac:dyDescent="0.25">
      <c r="AC2017" s="70" t="str">
        <f>IF(AND(Sheet1!O2017="SIM",Sheet1!P2017="SIM"),"Sim","")</f>
        <v/>
      </c>
      <c r="AD2017" s="70" t="str">
        <f>IF(AC2017="sim",Sheet1!I2017,"")</f>
        <v/>
      </c>
    </row>
    <row r="2018" spans="29:30" x14ac:dyDescent="0.25">
      <c r="AC2018" s="70" t="str">
        <f>IF(AND(Sheet1!O2018="SIM",Sheet1!P2018="SIM"),"Sim","")</f>
        <v/>
      </c>
      <c r="AD2018" s="70" t="str">
        <f>IF(AC2018="sim",Sheet1!I2018,"")</f>
        <v/>
      </c>
    </row>
    <row r="2019" spans="29:30" x14ac:dyDescent="0.25">
      <c r="AC2019" s="70" t="str">
        <f>IF(AND(Sheet1!O2019="SIM",Sheet1!P2019="SIM"),"Sim","")</f>
        <v/>
      </c>
      <c r="AD2019" s="70" t="str">
        <f>IF(AC2019="sim",Sheet1!I2019,"")</f>
        <v/>
      </c>
    </row>
    <row r="2020" spans="29:30" x14ac:dyDescent="0.25">
      <c r="AC2020" s="70" t="str">
        <f>IF(AND(Sheet1!O2020="SIM",Sheet1!P2020="SIM"),"Sim","")</f>
        <v/>
      </c>
      <c r="AD2020" s="70" t="str">
        <f>IF(AC2020="sim",Sheet1!I2020,"")</f>
        <v/>
      </c>
    </row>
    <row r="2021" spans="29:30" x14ac:dyDescent="0.25">
      <c r="AC2021" s="70" t="str">
        <f>IF(AND(Sheet1!O2021="SIM",Sheet1!P2021="SIM"),"Sim","")</f>
        <v/>
      </c>
      <c r="AD2021" s="70" t="str">
        <f>IF(AC2021="sim",Sheet1!I2021,"")</f>
        <v/>
      </c>
    </row>
    <row r="2022" spans="29:30" x14ac:dyDescent="0.25">
      <c r="AC2022" s="70" t="str">
        <f>IF(AND(Sheet1!O2022="SIM",Sheet1!P2022="SIM"),"Sim","")</f>
        <v/>
      </c>
      <c r="AD2022" s="70" t="str">
        <f>IF(AC2022="sim",Sheet1!I2022,"")</f>
        <v/>
      </c>
    </row>
    <row r="2023" spans="29:30" x14ac:dyDescent="0.25">
      <c r="AC2023" s="70" t="str">
        <f>IF(AND(Sheet1!O2023="SIM",Sheet1!P2023="SIM"),"Sim","")</f>
        <v/>
      </c>
      <c r="AD2023" s="70" t="str">
        <f>IF(AC2023="sim",Sheet1!I2023,"")</f>
        <v/>
      </c>
    </row>
    <row r="2024" spans="29:30" x14ac:dyDescent="0.25">
      <c r="AC2024" s="70" t="str">
        <f>IF(AND(Sheet1!O2024="SIM",Sheet1!P2024="SIM"),"Sim","")</f>
        <v/>
      </c>
      <c r="AD2024" s="70" t="str">
        <f>IF(AC2024="sim",Sheet1!I2024,"")</f>
        <v/>
      </c>
    </row>
    <row r="2025" spans="29:30" x14ac:dyDescent="0.25">
      <c r="AC2025" s="70" t="str">
        <f>IF(AND(Sheet1!O2025="SIM",Sheet1!P2025="SIM"),"Sim","")</f>
        <v/>
      </c>
      <c r="AD2025" s="70" t="str">
        <f>IF(AC2025="sim",Sheet1!I2025,"")</f>
        <v/>
      </c>
    </row>
    <row r="2026" spans="29:30" x14ac:dyDescent="0.25">
      <c r="AC2026" s="70" t="str">
        <f>IF(AND(Sheet1!O2026="SIM",Sheet1!P2026="SIM"),"Sim","")</f>
        <v/>
      </c>
      <c r="AD2026" s="70" t="str">
        <f>IF(AC2026="sim",Sheet1!I2026,"")</f>
        <v/>
      </c>
    </row>
    <row r="2027" spans="29:30" x14ac:dyDescent="0.25">
      <c r="AC2027" s="70" t="str">
        <f>IF(AND(Sheet1!O2027="SIM",Sheet1!P2027="SIM"),"Sim","")</f>
        <v/>
      </c>
      <c r="AD2027" s="70" t="str">
        <f>IF(AC2027="sim",Sheet1!I2027,"")</f>
        <v/>
      </c>
    </row>
    <row r="2028" spans="29:30" x14ac:dyDescent="0.25">
      <c r="AC2028" s="70" t="str">
        <f>IF(AND(Sheet1!O2028="SIM",Sheet1!P2028="SIM"),"Sim","")</f>
        <v/>
      </c>
      <c r="AD2028" s="70" t="str">
        <f>IF(AC2028="sim",Sheet1!I2028,"")</f>
        <v/>
      </c>
    </row>
    <row r="2029" spans="29:30" x14ac:dyDescent="0.25">
      <c r="AC2029" s="70" t="str">
        <f>IF(AND(Sheet1!O2029="SIM",Sheet1!P2029="SIM"),"Sim","")</f>
        <v/>
      </c>
      <c r="AD2029" s="70" t="str">
        <f>IF(AC2029="sim",Sheet1!I2029,"")</f>
        <v/>
      </c>
    </row>
    <row r="2030" spans="29:30" x14ac:dyDescent="0.25">
      <c r="AC2030" s="70" t="str">
        <f>IF(AND(Sheet1!O2030="SIM",Sheet1!P2030="SIM"),"Sim","")</f>
        <v/>
      </c>
      <c r="AD2030" s="70" t="str">
        <f>IF(AC2030="sim",Sheet1!I2030,"")</f>
        <v/>
      </c>
    </row>
    <row r="2031" spans="29:30" x14ac:dyDescent="0.25">
      <c r="AC2031" s="70" t="str">
        <f>IF(AND(Sheet1!O2031="SIM",Sheet1!P2031="SIM"),"Sim","")</f>
        <v/>
      </c>
      <c r="AD2031" s="70" t="str">
        <f>IF(AC2031="sim",Sheet1!I2031,"")</f>
        <v/>
      </c>
    </row>
    <row r="2032" spans="29:30" x14ac:dyDescent="0.25">
      <c r="AC2032" s="70" t="str">
        <f>IF(AND(Sheet1!O2032="SIM",Sheet1!P2032="SIM"),"Sim","")</f>
        <v/>
      </c>
      <c r="AD2032" s="70" t="str">
        <f>IF(AC2032="sim",Sheet1!I2032,"")</f>
        <v/>
      </c>
    </row>
    <row r="2033" spans="29:30" x14ac:dyDescent="0.25">
      <c r="AC2033" s="70" t="str">
        <f>IF(AND(Sheet1!O2033="SIM",Sheet1!P2033="SIM"),"Sim","")</f>
        <v/>
      </c>
      <c r="AD2033" s="70" t="str">
        <f>IF(AC2033="sim",Sheet1!I2033,"")</f>
        <v/>
      </c>
    </row>
    <row r="2034" spans="29:30" x14ac:dyDescent="0.25">
      <c r="AC2034" s="70" t="str">
        <f>IF(AND(Sheet1!O2034="SIM",Sheet1!P2034="SIM"),"Sim","")</f>
        <v/>
      </c>
      <c r="AD2034" s="70" t="str">
        <f>IF(AC2034="sim",Sheet1!I2034,"")</f>
        <v/>
      </c>
    </row>
    <row r="2035" spans="29:30" x14ac:dyDescent="0.25">
      <c r="AC2035" s="70" t="str">
        <f>IF(AND(Sheet1!O2035="SIM",Sheet1!P2035="SIM"),"Sim","")</f>
        <v/>
      </c>
      <c r="AD2035" s="70" t="str">
        <f>IF(AC2035="sim",Sheet1!I2035,"")</f>
        <v/>
      </c>
    </row>
    <row r="2036" spans="29:30" x14ac:dyDescent="0.25">
      <c r="AC2036" s="70" t="str">
        <f>IF(AND(Sheet1!O2036="SIM",Sheet1!P2036="SIM"),"Sim","")</f>
        <v/>
      </c>
      <c r="AD2036" s="70" t="str">
        <f>IF(AC2036="sim",Sheet1!I2036,"")</f>
        <v/>
      </c>
    </row>
    <row r="2037" spans="29:30" x14ac:dyDescent="0.25">
      <c r="AC2037" s="70" t="str">
        <f>IF(AND(Sheet1!O2037="SIM",Sheet1!P2037="SIM"),"Sim","")</f>
        <v/>
      </c>
      <c r="AD2037" s="70" t="str">
        <f>IF(AC2037="sim",Sheet1!I2037,"")</f>
        <v/>
      </c>
    </row>
    <row r="2038" spans="29:30" x14ac:dyDescent="0.25">
      <c r="AC2038" s="70" t="str">
        <f>IF(AND(Sheet1!O2038="SIM",Sheet1!P2038="SIM"),"Sim","")</f>
        <v/>
      </c>
      <c r="AD2038" s="70" t="str">
        <f>IF(AC2038="sim",Sheet1!I2038,"")</f>
        <v/>
      </c>
    </row>
    <row r="2039" spans="29:30" x14ac:dyDescent="0.25">
      <c r="AC2039" s="70" t="str">
        <f>IF(AND(Sheet1!O2039="SIM",Sheet1!P2039="SIM"),"Sim","")</f>
        <v/>
      </c>
      <c r="AD2039" s="70" t="str">
        <f>IF(AC2039="sim",Sheet1!I2039,"")</f>
        <v/>
      </c>
    </row>
    <row r="2040" spans="29:30" x14ac:dyDescent="0.25">
      <c r="AC2040" s="70" t="str">
        <f>IF(AND(Sheet1!O2040="SIM",Sheet1!P2040="SIM"),"Sim","")</f>
        <v/>
      </c>
      <c r="AD2040" s="70" t="str">
        <f>IF(AC2040="sim",Sheet1!I2040,"")</f>
        <v/>
      </c>
    </row>
    <row r="2041" spans="29:30" x14ac:dyDescent="0.25">
      <c r="AC2041" s="70" t="str">
        <f>IF(AND(Sheet1!O2041="SIM",Sheet1!P2041="SIM"),"Sim","")</f>
        <v/>
      </c>
      <c r="AD2041" s="70" t="str">
        <f>IF(AC2041="sim",Sheet1!I2041,"")</f>
        <v/>
      </c>
    </row>
    <row r="2042" spans="29:30" x14ac:dyDescent="0.25">
      <c r="AC2042" s="70" t="str">
        <f>IF(AND(Sheet1!O2042="SIM",Sheet1!P2042="SIM"),"Sim","")</f>
        <v/>
      </c>
      <c r="AD2042" s="70" t="str">
        <f>IF(AC2042="sim",Sheet1!I2042,"")</f>
        <v/>
      </c>
    </row>
    <row r="2043" spans="29:30" x14ac:dyDescent="0.25">
      <c r="AC2043" s="70" t="str">
        <f>IF(AND(Sheet1!O2043="SIM",Sheet1!P2043="SIM"),"Sim","")</f>
        <v/>
      </c>
      <c r="AD2043" s="70" t="str">
        <f>IF(AC2043="sim",Sheet1!I2043,"")</f>
        <v/>
      </c>
    </row>
    <row r="2044" spans="29:30" x14ac:dyDescent="0.25">
      <c r="AC2044" s="70" t="str">
        <f>IF(AND(Sheet1!O2044="SIM",Sheet1!P2044="SIM"),"Sim","")</f>
        <v/>
      </c>
      <c r="AD2044" s="70" t="str">
        <f>IF(AC2044="sim",Sheet1!I2044,"")</f>
        <v/>
      </c>
    </row>
    <row r="2045" spans="29:30" x14ac:dyDescent="0.25">
      <c r="AC2045" s="70" t="str">
        <f>IF(AND(Sheet1!O2045="SIM",Sheet1!P2045="SIM"),"Sim","")</f>
        <v/>
      </c>
      <c r="AD2045" s="70" t="str">
        <f>IF(AC2045="sim",Sheet1!I2045,"")</f>
        <v/>
      </c>
    </row>
    <row r="2046" spans="29:30" x14ac:dyDescent="0.25">
      <c r="AC2046" s="70" t="str">
        <f>IF(AND(Sheet1!O2046="SIM",Sheet1!P2046="SIM"),"Sim","")</f>
        <v/>
      </c>
      <c r="AD2046" s="70" t="str">
        <f>IF(AC2046="sim",Sheet1!I2046,"")</f>
        <v/>
      </c>
    </row>
    <row r="2047" spans="29:30" x14ac:dyDescent="0.25">
      <c r="AC2047" s="70" t="str">
        <f>IF(AND(Sheet1!O2047="SIM",Sheet1!P2047="SIM"),"Sim","")</f>
        <v/>
      </c>
      <c r="AD2047" s="70" t="str">
        <f>IF(AC2047="sim",Sheet1!I2047,"")</f>
        <v/>
      </c>
    </row>
    <row r="2048" spans="29:30" x14ac:dyDescent="0.25">
      <c r="AC2048" s="70" t="str">
        <f>IF(AND(Sheet1!O2048="SIM",Sheet1!P2048="SIM"),"Sim","")</f>
        <v/>
      </c>
      <c r="AD2048" s="70" t="str">
        <f>IF(AC2048="sim",Sheet1!I2048,"")</f>
        <v/>
      </c>
    </row>
    <row r="2049" spans="29:30" x14ac:dyDescent="0.25">
      <c r="AC2049" s="70" t="str">
        <f>IF(AND(Sheet1!O2049="SIM",Sheet1!P2049="SIM"),"Sim","")</f>
        <v/>
      </c>
      <c r="AD2049" s="70" t="str">
        <f>IF(AC2049="sim",Sheet1!I2049,"")</f>
        <v/>
      </c>
    </row>
    <row r="2050" spans="29:30" x14ac:dyDescent="0.25">
      <c r="AC2050" s="70" t="str">
        <f>IF(AND(Sheet1!O2050="SIM",Sheet1!P2050="SIM"),"Sim","")</f>
        <v/>
      </c>
      <c r="AD2050" s="70" t="str">
        <f>IF(AC2050="sim",Sheet1!I2050,"")</f>
        <v/>
      </c>
    </row>
    <row r="2051" spans="29:30" x14ac:dyDescent="0.25">
      <c r="AC2051" s="70" t="str">
        <f>IF(AND(Sheet1!O2051="SIM",Sheet1!P2051="SIM"),"Sim","")</f>
        <v/>
      </c>
      <c r="AD2051" s="70" t="str">
        <f>IF(AC2051="sim",Sheet1!I2051,"")</f>
        <v/>
      </c>
    </row>
    <row r="2052" spans="29:30" x14ac:dyDescent="0.25">
      <c r="AC2052" s="70" t="str">
        <f>IF(AND(Sheet1!O2052="SIM",Sheet1!P2052="SIM"),"Sim","")</f>
        <v/>
      </c>
      <c r="AD2052" s="70" t="str">
        <f>IF(AC2052="sim",Sheet1!I2052,"")</f>
        <v/>
      </c>
    </row>
    <row r="2053" spans="29:30" x14ac:dyDescent="0.25">
      <c r="AC2053" s="70" t="str">
        <f>IF(AND(Sheet1!O2053="SIM",Sheet1!P2053="SIM"),"Sim","")</f>
        <v/>
      </c>
      <c r="AD2053" s="70" t="str">
        <f>IF(AC2053="sim",Sheet1!I2053,"")</f>
        <v/>
      </c>
    </row>
    <row r="2054" spans="29:30" x14ac:dyDescent="0.25">
      <c r="AC2054" s="70" t="str">
        <f>IF(AND(Sheet1!O2054="SIM",Sheet1!P2054="SIM"),"Sim","")</f>
        <v/>
      </c>
      <c r="AD2054" s="70" t="str">
        <f>IF(AC2054="sim",Sheet1!I2054,"")</f>
        <v/>
      </c>
    </row>
    <row r="2055" spans="29:30" x14ac:dyDescent="0.25">
      <c r="AC2055" s="70" t="str">
        <f>IF(AND(Sheet1!O2055="SIM",Sheet1!P2055="SIM"),"Sim","")</f>
        <v/>
      </c>
      <c r="AD2055" s="70" t="str">
        <f>IF(AC2055="sim",Sheet1!I2055,"")</f>
        <v/>
      </c>
    </row>
    <row r="2056" spans="29:30" x14ac:dyDescent="0.25">
      <c r="AC2056" s="70" t="str">
        <f>IF(AND(Sheet1!O2056="SIM",Sheet1!P2056="SIM"),"Sim","")</f>
        <v/>
      </c>
      <c r="AD2056" s="70" t="str">
        <f>IF(AC2056="sim",Sheet1!I2056,"")</f>
        <v/>
      </c>
    </row>
    <row r="2057" spans="29:30" x14ac:dyDescent="0.25">
      <c r="AC2057" s="70" t="str">
        <f>IF(AND(Sheet1!O2057="SIM",Sheet1!P2057="SIM"),"Sim","")</f>
        <v/>
      </c>
      <c r="AD2057" s="70" t="str">
        <f>IF(AC2057="sim",Sheet1!I2057,"")</f>
        <v/>
      </c>
    </row>
    <row r="2058" spans="29:30" x14ac:dyDescent="0.25">
      <c r="AC2058" s="70" t="str">
        <f>IF(AND(Sheet1!O2058="SIM",Sheet1!P2058="SIM"),"Sim","")</f>
        <v/>
      </c>
      <c r="AD2058" s="70" t="str">
        <f>IF(AC2058="sim",Sheet1!I2058,"")</f>
        <v/>
      </c>
    </row>
    <row r="2059" spans="29:30" x14ac:dyDescent="0.25">
      <c r="AC2059" s="70" t="str">
        <f>IF(AND(Sheet1!O2059="SIM",Sheet1!P2059="SIM"),"Sim","")</f>
        <v/>
      </c>
      <c r="AD2059" s="70" t="str">
        <f>IF(AC2059="sim",Sheet1!I2059,"")</f>
        <v/>
      </c>
    </row>
    <row r="2060" spans="29:30" x14ac:dyDescent="0.25">
      <c r="AC2060" s="70" t="str">
        <f>IF(AND(Sheet1!O2060="SIM",Sheet1!P2060="SIM"),"Sim","")</f>
        <v/>
      </c>
      <c r="AD2060" s="70" t="str">
        <f>IF(AC2060="sim",Sheet1!I2060,"")</f>
        <v/>
      </c>
    </row>
    <row r="2061" spans="29:30" x14ac:dyDescent="0.25">
      <c r="AC2061" s="70" t="str">
        <f>IF(AND(Sheet1!O2061="SIM",Sheet1!P2061="SIM"),"Sim","")</f>
        <v/>
      </c>
      <c r="AD2061" s="70" t="str">
        <f>IF(AC2061="sim",Sheet1!I2061,"")</f>
        <v/>
      </c>
    </row>
    <row r="2062" spans="29:30" x14ac:dyDescent="0.25">
      <c r="AC2062" s="70" t="str">
        <f>IF(AND(Sheet1!O2062="SIM",Sheet1!P2062="SIM"),"Sim","")</f>
        <v/>
      </c>
      <c r="AD2062" s="70" t="str">
        <f>IF(AC2062="sim",Sheet1!I2062,"")</f>
        <v/>
      </c>
    </row>
    <row r="2063" spans="29:30" x14ac:dyDescent="0.25">
      <c r="AC2063" s="70" t="str">
        <f>IF(AND(Sheet1!O2063="SIM",Sheet1!P2063="SIM"),"Sim","")</f>
        <v/>
      </c>
      <c r="AD2063" s="70" t="str">
        <f>IF(AC2063="sim",Sheet1!I2063,"")</f>
        <v/>
      </c>
    </row>
    <row r="2064" spans="29:30" x14ac:dyDescent="0.25">
      <c r="AC2064" s="70" t="str">
        <f>IF(AND(Sheet1!O2064="SIM",Sheet1!P2064="SIM"),"Sim","")</f>
        <v/>
      </c>
      <c r="AD2064" s="70" t="str">
        <f>IF(AC2064="sim",Sheet1!I2064,"")</f>
        <v/>
      </c>
    </row>
    <row r="2065" spans="29:30" x14ac:dyDescent="0.25">
      <c r="AC2065" s="70" t="str">
        <f>IF(AND(Sheet1!O2065="SIM",Sheet1!P2065="SIM"),"Sim","")</f>
        <v/>
      </c>
      <c r="AD2065" s="70" t="str">
        <f>IF(AC2065="sim",Sheet1!I2065,"")</f>
        <v/>
      </c>
    </row>
    <row r="2066" spans="29:30" x14ac:dyDescent="0.25">
      <c r="AC2066" s="70" t="str">
        <f>IF(AND(Sheet1!O2066="SIM",Sheet1!P2066="SIM"),"Sim","")</f>
        <v/>
      </c>
      <c r="AD2066" s="70" t="str">
        <f>IF(AC2066="sim",Sheet1!I2066,"")</f>
        <v/>
      </c>
    </row>
    <row r="2067" spans="29:30" x14ac:dyDescent="0.25">
      <c r="AC2067" s="70" t="str">
        <f>IF(AND(Sheet1!O2067="SIM",Sheet1!P2067="SIM"),"Sim","")</f>
        <v/>
      </c>
      <c r="AD2067" s="70" t="str">
        <f>IF(AC2067="sim",Sheet1!I2067,"")</f>
        <v/>
      </c>
    </row>
    <row r="2068" spans="29:30" x14ac:dyDescent="0.25">
      <c r="AC2068" s="70" t="str">
        <f>IF(AND(Sheet1!O2068="SIM",Sheet1!P2068="SIM"),"Sim","")</f>
        <v/>
      </c>
      <c r="AD2068" s="70" t="str">
        <f>IF(AC2068="sim",Sheet1!I2068,"")</f>
        <v/>
      </c>
    </row>
    <row r="2069" spans="29:30" x14ac:dyDescent="0.25">
      <c r="AC2069" s="70" t="str">
        <f>IF(AND(Sheet1!O2069="SIM",Sheet1!P2069="SIM"),"Sim","")</f>
        <v/>
      </c>
      <c r="AD2069" s="70" t="str">
        <f>IF(AC2069="sim",Sheet1!I2069,"")</f>
        <v/>
      </c>
    </row>
    <row r="2070" spans="29:30" x14ac:dyDescent="0.25">
      <c r="AC2070" s="70" t="str">
        <f>IF(AND(Sheet1!O2070="SIM",Sheet1!P2070="SIM"),"Sim","")</f>
        <v/>
      </c>
      <c r="AD2070" s="70" t="str">
        <f>IF(AC2070="sim",Sheet1!I2070,"")</f>
        <v/>
      </c>
    </row>
    <row r="2071" spans="29:30" x14ac:dyDescent="0.25">
      <c r="AC2071" s="70" t="str">
        <f>IF(AND(Sheet1!O2071="SIM",Sheet1!P2071="SIM"),"Sim","")</f>
        <v/>
      </c>
      <c r="AD2071" s="70" t="str">
        <f>IF(AC2071="sim",Sheet1!I2071,"")</f>
        <v/>
      </c>
    </row>
    <row r="2072" spans="29:30" x14ac:dyDescent="0.25">
      <c r="AC2072" s="70" t="str">
        <f>IF(AND(Sheet1!O2072="SIM",Sheet1!P2072="SIM"),"Sim","")</f>
        <v/>
      </c>
      <c r="AD2072" s="70" t="str">
        <f>IF(AC2072="sim",Sheet1!I2072,"")</f>
        <v/>
      </c>
    </row>
    <row r="2073" spans="29:30" x14ac:dyDescent="0.25">
      <c r="AC2073" s="70" t="str">
        <f>IF(AND(Sheet1!O2073="SIM",Sheet1!P2073="SIM"),"Sim","")</f>
        <v/>
      </c>
      <c r="AD2073" s="70" t="str">
        <f>IF(AC2073="sim",Sheet1!I2073,"")</f>
        <v/>
      </c>
    </row>
    <row r="2074" spans="29:30" x14ac:dyDescent="0.25">
      <c r="AC2074" s="70" t="str">
        <f>IF(AND(Sheet1!O2074="SIM",Sheet1!P2074="SIM"),"Sim","")</f>
        <v/>
      </c>
      <c r="AD2074" s="70" t="str">
        <f>IF(AC2074="sim",Sheet1!I2074,"")</f>
        <v/>
      </c>
    </row>
    <row r="2075" spans="29:30" x14ac:dyDescent="0.25">
      <c r="AC2075" s="70" t="str">
        <f>IF(AND(Sheet1!O2075="SIM",Sheet1!P2075="SIM"),"Sim","")</f>
        <v/>
      </c>
      <c r="AD2075" s="70" t="str">
        <f>IF(AC2075="sim",Sheet1!I2075,"")</f>
        <v/>
      </c>
    </row>
    <row r="2076" spans="29:30" x14ac:dyDescent="0.25">
      <c r="AC2076" s="70" t="str">
        <f>IF(AND(Sheet1!O2076="SIM",Sheet1!P2076="SIM"),"Sim","")</f>
        <v/>
      </c>
      <c r="AD2076" s="70" t="str">
        <f>IF(AC2076="sim",Sheet1!I2076,"")</f>
        <v/>
      </c>
    </row>
    <row r="2077" spans="29:30" x14ac:dyDescent="0.25">
      <c r="AC2077" s="70" t="str">
        <f>IF(AND(Sheet1!O2077="SIM",Sheet1!P2077="SIM"),"Sim","")</f>
        <v/>
      </c>
      <c r="AD2077" s="70" t="str">
        <f>IF(AC2077="sim",Sheet1!I2077,"")</f>
        <v/>
      </c>
    </row>
    <row r="2078" spans="29:30" x14ac:dyDescent="0.25">
      <c r="AC2078" s="70" t="str">
        <f>IF(AND(Sheet1!O2078="SIM",Sheet1!P2078="SIM"),"Sim","")</f>
        <v/>
      </c>
      <c r="AD2078" s="70" t="str">
        <f>IF(AC2078="sim",Sheet1!I2078,"")</f>
        <v/>
      </c>
    </row>
    <row r="2079" spans="29:30" x14ac:dyDescent="0.25">
      <c r="AC2079" s="70" t="str">
        <f>IF(AND(Sheet1!O2079="SIM",Sheet1!P2079="SIM"),"Sim","")</f>
        <v/>
      </c>
      <c r="AD2079" s="70" t="str">
        <f>IF(AC2079="sim",Sheet1!I2079,"")</f>
        <v/>
      </c>
    </row>
    <row r="2080" spans="29:30" x14ac:dyDescent="0.25">
      <c r="AC2080" s="70" t="str">
        <f>IF(AND(Sheet1!O2080="SIM",Sheet1!P2080="SIM"),"Sim","")</f>
        <v/>
      </c>
      <c r="AD2080" s="70" t="str">
        <f>IF(AC2080="sim",Sheet1!I2080,"")</f>
        <v/>
      </c>
    </row>
    <row r="2081" spans="29:30" x14ac:dyDescent="0.25">
      <c r="AC2081" s="70" t="str">
        <f>IF(AND(Sheet1!O2081="SIM",Sheet1!P2081="SIM"),"Sim","")</f>
        <v/>
      </c>
      <c r="AD2081" s="70" t="str">
        <f>IF(AC2081="sim",Sheet1!I2081,"")</f>
        <v/>
      </c>
    </row>
    <row r="2082" spans="29:30" x14ac:dyDescent="0.25">
      <c r="AC2082" s="70" t="str">
        <f>IF(AND(Sheet1!O2082="SIM",Sheet1!P2082="SIM"),"Sim","")</f>
        <v/>
      </c>
      <c r="AD2082" s="70" t="str">
        <f>IF(AC2082="sim",Sheet1!I2082,"")</f>
        <v/>
      </c>
    </row>
    <row r="2083" spans="29:30" x14ac:dyDescent="0.25">
      <c r="AC2083" s="70" t="str">
        <f>IF(AND(Sheet1!O2083="SIM",Sheet1!P2083="SIM"),"Sim","")</f>
        <v/>
      </c>
      <c r="AD2083" s="70" t="str">
        <f>IF(AC2083="sim",Sheet1!I2083,"")</f>
        <v/>
      </c>
    </row>
    <row r="2084" spans="29:30" x14ac:dyDescent="0.25">
      <c r="AC2084" s="70" t="str">
        <f>IF(AND(Sheet1!O2084="SIM",Sheet1!P2084="SIM"),"Sim","")</f>
        <v/>
      </c>
      <c r="AD2084" s="70" t="str">
        <f>IF(AC2084="sim",Sheet1!I2084,"")</f>
        <v/>
      </c>
    </row>
    <row r="2085" spans="29:30" x14ac:dyDescent="0.25">
      <c r="AC2085" s="70" t="str">
        <f>IF(AND(Sheet1!O2085="SIM",Sheet1!P2085="SIM"),"Sim","")</f>
        <v/>
      </c>
      <c r="AD2085" s="70" t="str">
        <f>IF(AC2085="sim",Sheet1!I2085,"")</f>
        <v/>
      </c>
    </row>
    <row r="2086" spans="29:30" x14ac:dyDescent="0.25">
      <c r="AC2086" s="70" t="str">
        <f>IF(AND(Sheet1!O2086="SIM",Sheet1!P2086="SIM"),"Sim","")</f>
        <v/>
      </c>
      <c r="AD2086" s="70" t="str">
        <f>IF(AC2086="sim",Sheet1!I2086,"")</f>
        <v/>
      </c>
    </row>
    <row r="2087" spans="29:30" x14ac:dyDescent="0.25">
      <c r="AC2087" s="70" t="str">
        <f>IF(AND(Sheet1!O2087="SIM",Sheet1!P2087="SIM"),"Sim","")</f>
        <v/>
      </c>
      <c r="AD2087" s="70" t="str">
        <f>IF(AC2087="sim",Sheet1!I2087,"")</f>
        <v/>
      </c>
    </row>
    <row r="2088" spans="29:30" x14ac:dyDescent="0.25">
      <c r="AC2088" s="70" t="str">
        <f>IF(AND(Sheet1!O2088="SIM",Sheet1!P2088="SIM"),"Sim","")</f>
        <v/>
      </c>
      <c r="AD2088" s="70" t="str">
        <f>IF(AC2088="sim",Sheet1!I2088,"")</f>
        <v/>
      </c>
    </row>
    <row r="2089" spans="29:30" x14ac:dyDescent="0.25">
      <c r="AC2089" s="70" t="str">
        <f>IF(AND(Sheet1!O2089="SIM",Sheet1!P2089="SIM"),"Sim","")</f>
        <v/>
      </c>
      <c r="AD2089" s="70" t="str">
        <f>IF(AC2089="sim",Sheet1!I2089,"")</f>
        <v/>
      </c>
    </row>
    <row r="2090" spans="29:30" x14ac:dyDescent="0.25">
      <c r="AC2090" s="70" t="str">
        <f>IF(AND(Sheet1!O2090="SIM",Sheet1!P2090="SIM"),"Sim","")</f>
        <v/>
      </c>
      <c r="AD2090" s="70" t="str">
        <f>IF(AC2090="sim",Sheet1!I2090,"")</f>
        <v/>
      </c>
    </row>
    <row r="2091" spans="29:30" x14ac:dyDescent="0.25">
      <c r="AC2091" s="70" t="str">
        <f>IF(AND(Sheet1!O2091="SIM",Sheet1!P2091="SIM"),"Sim","")</f>
        <v/>
      </c>
      <c r="AD2091" s="70" t="str">
        <f>IF(AC2091="sim",Sheet1!I2091,"")</f>
        <v/>
      </c>
    </row>
    <row r="2092" spans="29:30" x14ac:dyDescent="0.25">
      <c r="AC2092" s="70" t="str">
        <f>IF(AND(Sheet1!O2092="SIM",Sheet1!P2092="SIM"),"Sim","")</f>
        <v/>
      </c>
      <c r="AD2092" s="70" t="str">
        <f>IF(AC2092="sim",Sheet1!I2092,"")</f>
        <v/>
      </c>
    </row>
    <row r="2093" spans="29:30" x14ac:dyDescent="0.25">
      <c r="AC2093" s="70" t="str">
        <f>IF(AND(Sheet1!O2093="SIM",Sheet1!P2093="SIM"),"Sim","")</f>
        <v/>
      </c>
      <c r="AD2093" s="70" t="str">
        <f>IF(AC2093="sim",Sheet1!I2093,"")</f>
        <v/>
      </c>
    </row>
    <row r="2094" spans="29:30" x14ac:dyDescent="0.25">
      <c r="AC2094" s="70" t="str">
        <f>IF(AND(Sheet1!O2094="SIM",Sheet1!P2094="SIM"),"Sim","")</f>
        <v/>
      </c>
      <c r="AD2094" s="70" t="str">
        <f>IF(AC2094="sim",Sheet1!I2094,"")</f>
        <v/>
      </c>
    </row>
    <row r="2095" spans="29:30" x14ac:dyDescent="0.25">
      <c r="AC2095" s="70" t="str">
        <f>IF(AND(Sheet1!O2095="SIM",Sheet1!P2095="SIM"),"Sim","")</f>
        <v/>
      </c>
      <c r="AD2095" s="70" t="str">
        <f>IF(AC2095="sim",Sheet1!I2095,"")</f>
        <v/>
      </c>
    </row>
    <row r="2096" spans="29:30" x14ac:dyDescent="0.25">
      <c r="AC2096" s="70" t="str">
        <f>IF(AND(Sheet1!O2096="SIM",Sheet1!P2096="SIM"),"Sim","")</f>
        <v/>
      </c>
      <c r="AD2096" s="70" t="str">
        <f>IF(AC2096="sim",Sheet1!I2096,"")</f>
        <v/>
      </c>
    </row>
    <row r="2097" spans="29:30" x14ac:dyDescent="0.25">
      <c r="AC2097" s="70" t="str">
        <f>IF(AND(Sheet1!O2097="SIM",Sheet1!P2097="SIM"),"Sim","")</f>
        <v/>
      </c>
      <c r="AD2097" s="70" t="str">
        <f>IF(AC2097="sim",Sheet1!I2097,"")</f>
        <v/>
      </c>
    </row>
    <row r="2098" spans="29:30" x14ac:dyDescent="0.25">
      <c r="AC2098" s="70" t="str">
        <f>IF(AND(Sheet1!O2098="SIM",Sheet1!P2098="SIM"),"Sim","")</f>
        <v/>
      </c>
      <c r="AD2098" s="70" t="str">
        <f>IF(AC2098="sim",Sheet1!I2098,"")</f>
        <v/>
      </c>
    </row>
    <row r="2099" spans="29:30" x14ac:dyDescent="0.25">
      <c r="AC2099" s="70" t="str">
        <f>IF(AND(Sheet1!O2099="SIM",Sheet1!P2099="SIM"),"Sim","")</f>
        <v/>
      </c>
      <c r="AD2099" s="70" t="str">
        <f>IF(AC2099="sim",Sheet1!I2099,"")</f>
        <v/>
      </c>
    </row>
    <row r="2100" spans="29:30" x14ac:dyDescent="0.25">
      <c r="AC2100" s="70" t="str">
        <f>IF(AND(Sheet1!O2100="SIM",Sheet1!P2100="SIM"),"Sim","")</f>
        <v/>
      </c>
      <c r="AD2100" s="70" t="str">
        <f>IF(AC2100="sim",Sheet1!I2100,"")</f>
        <v/>
      </c>
    </row>
    <row r="2101" spans="29:30" x14ac:dyDescent="0.25">
      <c r="AC2101" s="70" t="str">
        <f>IF(AND(Sheet1!O2101="SIM",Sheet1!P2101="SIM"),"Sim","")</f>
        <v/>
      </c>
      <c r="AD2101" s="70" t="str">
        <f>IF(AC2101="sim",Sheet1!I2101,"")</f>
        <v/>
      </c>
    </row>
    <row r="2102" spans="29:30" x14ac:dyDescent="0.25">
      <c r="AC2102" s="70" t="str">
        <f>IF(AND(Sheet1!O2102="SIM",Sheet1!P2102="SIM"),"Sim","")</f>
        <v/>
      </c>
      <c r="AD2102" s="70" t="str">
        <f>IF(AC2102="sim",Sheet1!I2102,"")</f>
        <v/>
      </c>
    </row>
    <row r="2103" spans="29:30" x14ac:dyDescent="0.25">
      <c r="AC2103" s="70" t="str">
        <f>IF(AND(Sheet1!O2103="SIM",Sheet1!P2103="SIM"),"Sim","")</f>
        <v/>
      </c>
      <c r="AD2103" s="70" t="str">
        <f>IF(AC2103="sim",Sheet1!I2103,"")</f>
        <v/>
      </c>
    </row>
    <row r="2104" spans="29:30" x14ac:dyDescent="0.25">
      <c r="AC2104" s="70" t="str">
        <f>IF(AND(Sheet1!O2104="SIM",Sheet1!P2104="SIM"),"Sim","")</f>
        <v/>
      </c>
      <c r="AD2104" s="70" t="str">
        <f>IF(AC2104="sim",Sheet1!I2104,"")</f>
        <v/>
      </c>
    </row>
    <row r="2105" spans="29:30" x14ac:dyDescent="0.25">
      <c r="AC2105" s="70" t="str">
        <f>IF(AND(Sheet1!O2105="SIM",Sheet1!P2105="SIM"),"Sim","")</f>
        <v/>
      </c>
      <c r="AD2105" s="70" t="str">
        <f>IF(AC2105="sim",Sheet1!I2105,"")</f>
        <v/>
      </c>
    </row>
    <row r="2106" spans="29:30" x14ac:dyDescent="0.25">
      <c r="AC2106" s="70" t="str">
        <f>IF(AND(Sheet1!O2106="SIM",Sheet1!P2106="SIM"),"Sim","")</f>
        <v/>
      </c>
      <c r="AD2106" s="70" t="str">
        <f>IF(AC2106="sim",Sheet1!I2106,"")</f>
        <v/>
      </c>
    </row>
    <row r="2107" spans="29:30" x14ac:dyDescent="0.25">
      <c r="AC2107" s="70" t="str">
        <f>IF(AND(Sheet1!O2107="SIM",Sheet1!P2107="SIM"),"Sim","")</f>
        <v/>
      </c>
      <c r="AD2107" s="70" t="str">
        <f>IF(AC2107="sim",Sheet1!I2107,"")</f>
        <v/>
      </c>
    </row>
    <row r="2108" spans="29:30" x14ac:dyDescent="0.25">
      <c r="AC2108" s="70" t="str">
        <f>IF(AND(Sheet1!O2108="SIM",Sheet1!P2108="SIM"),"Sim","")</f>
        <v/>
      </c>
      <c r="AD2108" s="70" t="str">
        <f>IF(AC2108="sim",Sheet1!I2108,"")</f>
        <v/>
      </c>
    </row>
    <row r="2109" spans="29:30" x14ac:dyDescent="0.25">
      <c r="AC2109" s="70" t="str">
        <f>IF(AND(Sheet1!O2109="SIM",Sheet1!P2109="SIM"),"Sim","")</f>
        <v/>
      </c>
      <c r="AD2109" s="70" t="str">
        <f>IF(AC2109="sim",Sheet1!I2109,"")</f>
        <v/>
      </c>
    </row>
    <row r="2110" spans="29:30" x14ac:dyDescent="0.25">
      <c r="AC2110" s="70" t="str">
        <f>IF(AND(Sheet1!O2110="SIM",Sheet1!P2110="SIM"),"Sim","")</f>
        <v/>
      </c>
      <c r="AD2110" s="70" t="str">
        <f>IF(AC2110="sim",Sheet1!I2110,"")</f>
        <v/>
      </c>
    </row>
    <row r="2111" spans="29:30" x14ac:dyDescent="0.25">
      <c r="AC2111" s="70" t="str">
        <f>IF(AND(Sheet1!O2111="SIM",Sheet1!P2111="SIM"),"Sim","")</f>
        <v/>
      </c>
      <c r="AD2111" s="70" t="str">
        <f>IF(AC2111="sim",Sheet1!I2111,"")</f>
        <v/>
      </c>
    </row>
    <row r="2112" spans="29:30" x14ac:dyDescent="0.25">
      <c r="AC2112" s="70" t="str">
        <f>IF(AND(Sheet1!O2112="SIM",Sheet1!P2112="SIM"),"Sim","")</f>
        <v/>
      </c>
      <c r="AD2112" s="70" t="str">
        <f>IF(AC2112="sim",Sheet1!I2112,"")</f>
        <v/>
      </c>
    </row>
    <row r="2113" spans="29:30" x14ac:dyDescent="0.25">
      <c r="AC2113" s="70" t="str">
        <f>IF(AND(Sheet1!O2113="SIM",Sheet1!P2113="SIM"),"Sim","")</f>
        <v/>
      </c>
      <c r="AD2113" s="70" t="str">
        <f>IF(AC2113="sim",Sheet1!I2113,"")</f>
        <v/>
      </c>
    </row>
    <row r="2114" spans="29:30" x14ac:dyDescent="0.25">
      <c r="AC2114" s="70" t="str">
        <f>IF(AND(Sheet1!O2114="SIM",Sheet1!P2114="SIM"),"Sim","")</f>
        <v/>
      </c>
      <c r="AD2114" s="70" t="str">
        <f>IF(AC2114="sim",Sheet1!I2114,"")</f>
        <v/>
      </c>
    </row>
    <row r="2115" spans="29:30" x14ac:dyDescent="0.25">
      <c r="AC2115" s="70" t="str">
        <f>IF(AND(Sheet1!O2115="SIM",Sheet1!P2115="SIM"),"Sim","")</f>
        <v/>
      </c>
      <c r="AD2115" s="70" t="str">
        <f>IF(AC2115="sim",Sheet1!I2115,"")</f>
        <v/>
      </c>
    </row>
    <row r="2116" spans="29:30" x14ac:dyDescent="0.25">
      <c r="AC2116" s="70" t="str">
        <f>IF(AND(Sheet1!O2116="SIM",Sheet1!P2116="SIM"),"Sim","")</f>
        <v/>
      </c>
      <c r="AD2116" s="70" t="str">
        <f>IF(AC2116="sim",Sheet1!I2116,"")</f>
        <v/>
      </c>
    </row>
    <row r="2117" spans="29:30" x14ac:dyDescent="0.25">
      <c r="AC2117" s="70" t="str">
        <f>IF(AND(Sheet1!O2117="SIM",Sheet1!P2117="SIM"),"Sim","")</f>
        <v/>
      </c>
      <c r="AD2117" s="70" t="str">
        <f>IF(AC2117="sim",Sheet1!I2117,"")</f>
        <v/>
      </c>
    </row>
    <row r="2118" spans="29:30" x14ac:dyDescent="0.25">
      <c r="AC2118" s="70" t="str">
        <f>IF(AND(Sheet1!O2118="SIM",Sheet1!P2118="SIM"),"Sim","")</f>
        <v/>
      </c>
      <c r="AD2118" s="70" t="str">
        <f>IF(AC2118="sim",Sheet1!I2118,"")</f>
        <v/>
      </c>
    </row>
    <row r="2119" spans="29:30" x14ac:dyDescent="0.25">
      <c r="AC2119" s="70" t="str">
        <f>IF(AND(Sheet1!O2119="SIM",Sheet1!P2119="SIM"),"Sim","")</f>
        <v/>
      </c>
      <c r="AD2119" s="70" t="str">
        <f>IF(AC2119="sim",Sheet1!I2119,"")</f>
        <v/>
      </c>
    </row>
    <row r="2120" spans="29:30" x14ac:dyDescent="0.25">
      <c r="AC2120" s="70" t="str">
        <f>IF(AND(Sheet1!O2120="SIM",Sheet1!P2120="SIM"),"Sim","")</f>
        <v/>
      </c>
      <c r="AD2120" s="70" t="str">
        <f>IF(AC2120="sim",Sheet1!I2120,"")</f>
        <v/>
      </c>
    </row>
    <row r="2121" spans="29:30" x14ac:dyDescent="0.25">
      <c r="AC2121" s="70" t="str">
        <f>IF(AND(Sheet1!O2121="SIM",Sheet1!P2121="SIM"),"Sim","")</f>
        <v/>
      </c>
      <c r="AD2121" s="70" t="str">
        <f>IF(AC2121="sim",Sheet1!I2121,"")</f>
        <v/>
      </c>
    </row>
    <row r="2122" spans="29:30" x14ac:dyDescent="0.25">
      <c r="AC2122" s="70" t="str">
        <f>IF(AND(Sheet1!O2122="SIM",Sheet1!P2122="SIM"),"Sim","")</f>
        <v/>
      </c>
      <c r="AD2122" s="70" t="str">
        <f>IF(AC2122="sim",Sheet1!I2122,"")</f>
        <v/>
      </c>
    </row>
    <row r="2123" spans="29:30" x14ac:dyDescent="0.25">
      <c r="AC2123" s="70" t="str">
        <f>IF(AND(Sheet1!O2123="SIM",Sheet1!P2123="SIM"),"Sim","")</f>
        <v/>
      </c>
      <c r="AD2123" s="70" t="str">
        <f>IF(AC2123="sim",Sheet1!I2123,"")</f>
        <v/>
      </c>
    </row>
    <row r="2124" spans="29:30" x14ac:dyDescent="0.25">
      <c r="AC2124" s="70" t="str">
        <f>IF(AND(Sheet1!O2124="SIM",Sheet1!P2124="SIM"),"Sim","")</f>
        <v/>
      </c>
      <c r="AD2124" s="70" t="str">
        <f>IF(AC2124="sim",Sheet1!I2124,"")</f>
        <v/>
      </c>
    </row>
    <row r="2125" spans="29:30" x14ac:dyDescent="0.25">
      <c r="AC2125" s="70" t="str">
        <f>IF(AND(Sheet1!O2125="SIM",Sheet1!P2125="SIM"),"Sim","")</f>
        <v/>
      </c>
      <c r="AD2125" s="70" t="str">
        <f>IF(AC2125="sim",Sheet1!I2125,"")</f>
        <v/>
      </c>
    </row>
    <row r="2126" spans="29:30" x14ac:dyDescent="0.25">
      <c r="AC2126" s="70" t="str">
        <f>IF(AND(Sheet1!O2126="SIM",Sheet1!P2126="SIM"),"Sim","")</f>
        <v/>
      </c>
      <c r="AD2126" s="70" t="str">
        <f>IF(AC2126="sim",Sheet1!I2126,"")</f>
        <v/>
      </c>
    </row>
    <row r="2127" spans="29:30" x14ac:dyDescent="0.25">
      <c r="AC2127" s="70" t="str">
        <f>IF(AND(Sheet1!O2127="SIM",Sheet1!P2127="SIM"),"Sim","")</f>
        <v/>
      </c>
      <c r="AD2127" s="70" t="str">
        <f>IF(AC2127="sim",Sheet1!I2127,"")</f>
        <v/>
      </c>
    </row>
    <row r="2128" spans="29:30" x14ac:dyDescent="0.25">
      <c r="AC2128" s="70" t="str">
        <f>IF(AND(Sheet1!O2128="SIM",Sheet1!P2128="SIM"),"Sim","")</f>
        <v/>
      </c>
      <c r="AD2128" s="70" t="str">
        <f>IF(AC2128="sim",Sheet1!I2128,"")</f>
        <v/>
      </c>
    </row>
    <row r="2129" spans="29:30" x14ac:dyDescent="0.25">
      <c r="AC2129" s="70" t="str">
        <f>IF(AND(Sheet1!O2129="SIM",Sheet1!P2129="SIM"),"Sim","")</f>
        <v/>
      </c>
      <c r="AD2129" s="70" t="str">
        <f>IF(AC2129="sim",Sheet1!I2129,"")</f>
        <v/>
      </c>
    </row>
    <row r="2130" spans="29:30" x14ac:dyDescent="0.25">
      <c r="AC2130" s="70" t="str">
        <f>IF(AND(Sheet1!O2130="SIM",Sheet1!P2130="SIM"),"Sim","")</f>
        <v/>
      </c>
      <c r="AD2130" s="70" t="str">
        <f>IF(AC2130="sim",Sheet1!I2130,"")</f>
        <v/>
      </c>
    </row>
    <row r="2131" spans="29:30" x14ac:dyDescent="0.25">
      <c r="AC2131" s="70" t="str">
        <f>IF(AND(Sheet1!O2131="SIM",Sheet1!P2131="SIM"),"Sim","")</f>
        <v/>
      </c>
      <c r="AD2131" s="70" t="str">
        <f>IF(AC2131="sim",Sheet1!I2131,"")</f>
        <v/>
      </c>
    </row>
    <row r="2132" spans="29:30" x14ac:dyDescent="0.25">
      <c r="AC2132" s="70" t="str">
        <f>IF(AND(Sheet1!O2132="SIM",Sheet1!P2132="SIM"),"Sim","")</f>
        <v/>
      </c>
      <c r="AD2132" s="70" t="str">
        <f>IF(AC2132="sim",Sheet1!I2132,"")</f>
        <v/>
      </c>
    </row>
    <row r="2133" spans="29:30" x14ac:dyDescent="0.25">
      <c r="AC2133" s="70" t="str">
        <f>IF(AND(Sheet1!O2133="SIM",Sheet1!P2133="SIM"),"Sim","")</f>
        <v/>
      </c>
      <c r="AD2133" s="70" t="str">
        <f>IF(AC2133="sim",Sheet1!I2133,"")</f>
        <v/>
      </c>
    </row>
    <row r="2134" spans="29:30" x14ac:dyDescent="0.25">
      <c r="AC2134" s="70" t="str">
        <f>IF(AND(Sheet1!O2134="SIM",Sheet1!P2134="SIM"),"Sim","")</f>
        <v/>
      </c>
      <c r="AD2134" s="70" t="str">
        <f>IF(AC2134="sim",Sheet1!I2134,"")</f>
        <v/>
      </c>
    </row>
    <row r="2135" spans="29:30" x14ac:dyDescent="0.25">
      <c r="AC2135" s="70" t="str">
        <f>IF(AND(Sheet1!O2135="SIM",Sheet1!P2135="SIM"),"Sim","")</f>
        <v/>
      </c>
      <c r="AD2135" s="70" t="str">
        <f>IF(AC2135="sim",Sheet1!I2135,"")</f>
        <v/>
      </c>
    </row>
    <row r="2136" spans="29:30" x14ac:dyDescent="0.25">
      <c r="AC2136" s="70" t="str">
        <f>IF(AND(Sheet1!O2136="SIM",Sheet1!P2136="SIM"),"Sim","")</f>
        <v/>
      </c>
      <c r="AD2136" s="70" t="str">
        <f>IF(AC2136="sim",Sheet1!I2136,"")</f>
        <v/>
      </c>
    </row>
    <row r="2137" spans="29:30" x14ac:dyDescent="0.25">
      <c r="AC2137" s="70" t="str">
        <f>IF(AND(Sheet1!O2137="SIM",Sheet1!P2137="SIM"),"Sim","")</f>
        <v/>
      </c>
      <c r="AD2137" s="70" t="str">
        <f>IF(AC2137="sim",Sheet1!I2137,"")</f>
        <v/>
      </c>
    </row>
    <row r="2138" spans="29:30" x14ac:dyDescent="0.25">
      <c r="AC2138" s="70" t="str">
        <f>IF(AND(Sheet1!O2138="SIM",Sheet1!P2138="SIM"),"Sim","")</f>
        <v/>
      </c>
      <c r="AD2138" s="70" t="str">
        <f>IF(AC2138="sim",Sheet1!I2138,"")</f>
        <v/>
      </c>
    </row>
    <row r="2139" spans="29:30" x14ac:dyDescent="0.25">
      <c r="AC2139" s="70" t="str">
        <f>IF(AND(Sheet1!O2139="SIM",Sheet1!P2139="SIM"),"Sim","")</f>
        <v/>
      </c>
      <c r="AD2139" s="70" t="str">
        <f>IF(AC2139="sim",Sheet1!I2139,"")</f>
        <v/>
      </c>
    </row>
    <row r="2140" spans="29:30" x14ac:dyDescent="0.25">
      <c r="AC2140" s="70" t="str">
        <f>IF(AND(Sheet1!O2140="SIM",Sheet1!P2140="SIM"),"Sim","")</f>
        <v/>
      </c>
      <c r="AD2140" s="70" t="str">
        <f>IF(AC2140="sim",Sheet1!I2140,"")</f>
        <v/>
      </c>
    </row>
    <row r="2141" spans="29:30" x14ac:dyDescent="0.25">
      <c r="AC2141" s="70" t="str">
        <f>IF(AND(Sheet1!O2141="SIM",Sheet1!P2141="SIM"),"Sim","")</f>
        <v/>
      </c>
      <c r="AD2141" s="70" t="str">
        <f>IF(AC2141="sim",Sheet1!I2141,"")</f>
        <v/>
      </c>
    </row>
    <row r="2142" spans="29:30" x14ac:dyDescent="0.25">
      <c r="AC2142" s="70" t="str">
        <f>IF(AND(Sheet1!O2142="SIM",Sheet1!P2142="SIM"),"Sim","")</f>
        <v/>
      </c>
      <c r="AD2142" s="70" t="str">
        <f>IF(AC2142="sim",Sheet1!I2142,"")</f>
        <v/>
      </c>
    </row>
    <row r="2143" spans="29:30" x14ac:dyDescent="0.25">
      <c r="AC2143" s="70" t="str">
        <f>IF(AND(Sheet1!O2143="SIM",Sheet1!P2143="SIM"),"Sim","")</f>
        <v/>
      </c>
      <c r="AD2143" s="70" t="str">
        <f>IF(AC2143="sim",Sheet1!I2143,"")</f>
        <v/>
      </c>
    </row>
    <row r="2144" spans="29:30" x14ac:dyDescent="0.25">
      <c r="AC2144" s="70" t="str">
        <f>IF(AND(Sheet1!O2144="SIM",Sheet1!P2144="SIM"),"Sim","")</f>
        <v/>
      </c>
      <c r="AD2144" s="70" t="str">
        <f>IF(AC2144="sim",Sheet1!I2144,"")</f>
        <v/>
      </c>
    </row>
    <row r="2145" spans="29:30" x14ac:dyDescent="0.25">
      <c r="AC2145" s="70" t="str">
        <f>IF(AND(Sheet1!O2145="SIM",Sheet1!P2145="SIM"),"Sim","")</f>
        <v/>
      </c>
      <c r="AD2145" s="70" t="str">
        <f>IF(AC2145="sim",Sheet1!I2145,"")</f>
        <v/>
      </c>
    </row>
    <row r="2146" spans="29:30" x14ac:dyDescent="0.25">
      <c r="AC2146" s="70" t="str">
        <f>IF(AND(Sheet1!O2146="SIM",Sheet1!P2146="SIM"),"Sim","")</f>
        <v/>
      </c>
      <c r="AD2146" s="70" t="str">
        <f>IF(AC2146="sim",Sheet1!I2146,"")</f>
        <v/>
      </c>
    </row>
    <row r="2147" spans="29:30" x14ac:dyDescent="0.25">
      <c r="AC2147" s="70" t="str">
        <f>IF(AND(Sheet1!O2147="SIM",Sheet1!P2147="SIM"),"Sim","")</f>
        <v/>
      </c>
      <c r="AD2147" s="70" t="str">
        <f>IF(AC2147="sim",Sheet1!I2147,"")</f>
        <v/>
      </c>
    </row>
    <row r="2148" spans="29:30" x14ac:dyDescent="0.25">
      <c r="AC2148" s="70" t="str">
        <f>IF(AND(Sheet1!O2148="SIM",Sheet1!P2148="SIM"),"Sim","")</f>
        <v/>
      </c>
      <c r="AD2148" s="70" t="str">
        <f>IF(AC2148="sim",Sheet1!I2148,"")</f>
        <v/>
      </c>
    </row>
    <row r="2149" spans="29:30" x14ac:dyDescent="0.25">
      <c r="AC2149" s="70" t="str">
        <f>IF(AND(Sheet1!O2149="SIM",Sheet1!P2149="SIM"),"Sim","")</f>
        <v/>
      </c>
      <c r="AD2149" s="70" t="str">
        <f>IF(AC2149="sim",Sheet1!I2149,"")</f>
        <v/>
      </c>
    </row>
    <row r="2150" spans="29:30" x14ac:dyDescent="0.25">
      <c r="AC2150" s="70" t="str">
        <f>IF(AND(Sheet1!O2150="SIM",Sheet1!P2150="SIM"),"Sim","")</f>
        <v/>
      </c>
      <c r="AD2150" s="70" t="str">
        <f>IF(AC2150="sim",Sheet1!I2150,"")</f>
        <v/>
      </c>
    </row>
    <row r="2151" spans="29:30" x14ac:dyDescent="0.25">
      <c r="AC2151" s="70" t="str">
        <f>IF(AND(Sheet1!O2151="SIM",Sheet1!P2151="SIM"),"Sim","")</f>
        <v/>
      </c>
      <c r="AD2151" s="70" t="str">
        <f>IF(AC2151="sim",Sheet1!I2151,"")</f>
        <v/>
      </c>
    </row>
    <row r="2152" spans="29:30" x14ac:dyDescent="0.25">
      <c r="AC2152" s="70" t="str">
        <f>IF(AND(Sheet1!O2152="SIM",Sheet1!P2152="SIM"),"Sim","")</f>
        <v/>
      </c>
      <c r="AD2152" s="70" t="str">
        <f>IF(AC2152="sim",Sheet1!I2152,"")</f>
        <v/>
      </c>
    </row>
    <row r="2153" spans="29:30" x14ac:dyDescent="0.25">
      <c r="AC2153" s="70" t="str">
        <f>IF(AND(Sheet1!O2153="SIM",Sheet1!P2153="SIM"),"Sim","")</f>
        <v/>
      </c>
      <c r="AD2153" s="70" t="str">
        <f>IF(AC2153="sim",Sheet1!I2153,"")</f>
        <v/>
      </c>
    </row>
    <row r="2154" spans="29:30" x14ac:dyDescent="0.25">
      <c r="AC2154" s="70" t="str">
        <f>IF(AND(Sheet1!O2154="SIM",Sheet1!P2154="SIM"),"Sim","")</f>
        <v/>
      </c>
      <c r="AD2154" s="70" t="str">
        <f>IF(AC2154="sim",Sheet1!I2154,"")</f>
        <v/>
      </c>
    </row>
    <row r="2155" spans="29:30" x14ac:dyDescent="0.25">
      <c r="AC2155" s="70" t="str">
        <f>IF(AND(Sheet1!O2155="SIM",Sheet1!P2155="SIM"),"Sim","")</f>
        <v/>
      </c>
      <c r="AD2155" s="70" t="str">
        <f>IF(AC2155="sim",Sheet1!I2155,"")</f>
        <v/>
      </c>
    </row>
    <row r="2156" spans="29:30" x14ac:dyDescent="0.25">
      <c r="AC2156" s="70" t="str">
        <f>IF(AND(Sheet1!O2156="SIM",Sheet1!P2156="SIM"),"Sim","")</f>
        <v/>
      </c>
      <c r="AD2156" s="70" t="str">
        <f>IF(AC2156="sim",Sheet1!I2156,"")</f>
        <v/>
      </c>
    </row>
    <row r="2157" spans="29:30" x14ac:dyDescent="0.25">
      <c r="AC2157" s="70" t="str">
        <f>IF(AND(Sheet1!O2157="SIM",Sheet1!P2157="SIM"),"Sim","")</f>
        <v/>
      </c>
      <c r="AD2157" s="70" t="str">
        <f>IF(AC2157="sim",Sheet1!I2157,"")</f>
        <v/>
      </c>
    </row>
    <row r="2158" spans="29:30" x14ac:dyDescent="0.25">
      <c r="AC2158" s="70" t="str">
        <f>IF(AND(Sheet1!O2158="SIM",Sheet1!P2158="SIM"),"Sim","")</f>
        <v/>
      </c>
      <c r="AD2158" s="70" t="str">
        <f>IF(AC2158="sim",Sheet1!I2158,"")</f>
        <v/>
      </c>
    </row>
    <row r="2159" spans="29:30" x14ac:dyDescent="0.25">
      <c r="AC2159" s="70" t="str">
        <f>IF(AND(Sheet1!O2159="SIM",Sheet1!P2159="SIM"),"Sim","")</f>
        <v/>
      </c>
      <c r="AD2159" s="70" t="str">
        <f>IF(AC2159="sim",Sheet1!I2159,"")</f>
        <v/>
      </c>
    </row>
    <row r="2160" spans="29:30" x14ac:dyDescent="0.25">
      <c r="AC2160" s="70" t="str">
        <f>IF(AND(Sheet1!O2160="SIM",Sheet1!P2160="SIM"),"Sim","")</f>
        <v/>
      </c>
      <c r="AD2160" s="70" t="str">
        <f>IF(AC2160="sim",Sheet1!I2160,"")</f>
        <v/>
      </c>
    </row>
    <row r="2161" spans="29:30" x14ac:dyDescent="0.25">
      <c r="AC2161" s="70" t="str">
        <f>IF(AND(Sheet1!O2161="SIM",Sheet1!P2161="SIM"),"Sim","")</f>
        <v/>
      </c>
      <c r="AD2161" s="70" t="str">
        <f>IF(AC2161="sim",Sheet1!I2161,"")</f>
        <v/>
      </c>
    </row>
    <row r="2162" spans="29:30" x14ac:dyDescent="0.25">
      <c r="AC2162" s="70" t="str">
        <f>IF(AND(Sheet1!O2162="SIM",Sheet1!P2162="SIM"),"Sim","")</f>
        <v/>
      </c>
      <c r="AD2162" s="70" t="str">
        <f>IF(AC2162="sim",Sheet1!I2162,"")</f>
        <v/>
      </c>
    </row>
    <row r="2163" spans="29:30" x14ac:dyDescent="0.25">
      <c r="AC2163" s="70" t="str">
        <f>IF(AND(Sheet1!O2163="SIM",Sheet1!P2163="SIM"),"Sim","")</f>
        <v/>
      </c>
      <c r="AD2163" s="70" t="str">
        <f>IF(AC2163="sim",Sheet1!I2163,"")</f>
        <v/>
      </c>
    </row>
    <row r="2164" spans="29:30" x14ac:dyDescent="0.25">
      <c r="AC2164" s="70" t="str">
        <f>IF(AND(Sheet1!O2164="SIM",Sheet1!P2164="SIM"),"Sim","")</f>
        <v/>
      </c>
      <c r="AD2164" s="70" t="str">
        <f>IF(AC2164="sim",Sheet1!I2164,"")</f>
        <v/>
      </c>
    </row>
    <row r="2165" spans="29:30" x14ac:dyDescent="0.25">
      <c r="AC2165" s="70" t="str">
        <f>IF(AND(Sheet1!O2165="SIM",Sheet1!P2165="SIM"),"Sim","")</f>
        <v/>
      </c>
      <c r="AD2165" s="70" t="str">
        <f>IF(AC2165="sim",Sheet1!I2165,"")</f>
        <v/>
      </c>
    </row>
    <row r="2166" spans="29:30" x14ac:dyDescent="0.25">
      <c r="AC2166" s="70" t="str">
        <f>IF(AND(Sheet1!O2166="SIM",Sheet1!P2166="SIM"),"Sim","")</f>
        <v/>
      </c>
      <c r="AD2166" s="70" t="str">
        <f>IF(AC2166="sim",Sheet1!I2166,"")</f>
        <v/>
      </c>
    </row>
    <row r="2167" spans="29:30" x14ac:dyDescent="0.25">
      <c r="AC2167" s="70" t="str">
        <f>IF(AND(Sheet1!O2167="SIM",Sheet1!P2167="SIM"),"Sim","")</f>
        <v/>
      </c>
      <c r="AD2167" s="70" t="str">
        <f>IF(AC2167="sim",Sheet1!I2167,"")</f>
        <v/>
      </c>
    </row>
    <row r="2168" spans="29:30" x14ac:dyDescent="0.25">
      <c r="AC2168" s="70" t="str">
        <f>IF(AND(Sheet1!O2168="SIM",Sheet1!P2168="SIM"),"Sim","")</f>
        <v/>
      </c>
      <c r="AD2168" s="70" t="str">
        <f>IF(AC2168="sim",Sheet1!I2168,"")</f>
        <v/>
      </c>
    </row>
    <row r="2169" spans="29:30" x14ac:dyDescent="0.25">
      <c r="AC2169" s="70" t="str">
        <f>IF(AND(Sheet1!O2169="SIM",Sheet1!P2169="SIM"),"Sim","")</f>
        <v/>
      </c>
      <c r="AD2169" s="70" t="str">
        <f>IF(AC2169="sim",Sheet1!I2169,"")</f>
        <v/>
      </c>
    </row>
    <row r="2170" spans="29:30" x14ac:dyDescent="0.25">
      <c r="AC2170" s="70" t="str">
        <f>IF(AND(Sheet1!O2170="SIM",Sheet1!P2170="SIM"),"Sim","")</f>
        <v/>
      </c>
      <c r="AD2170" s="70" t="str">
        <f>IF(AC2170="sim",Sheet1!I2170,"")</f>
        <v/>
      </c>
    </row>
    <row r="2171" spans="29:30" x14ac:dyDescent="0.25">
      <c r="AC2171" s="70" t="str">
        <f>IF(AND(Sheet1!O2171="SIM",Sheet1!P2171="SIM"),"Sim","")</f>
        <v/>
      </c>
      <c r="AD2171" s="70" t="str">
        <f>IF(AC2171="sim",Sheet1!I2171,"")</f>
        <v/>
      </c>
    </row>
    <row r="2172" spans="29:30" x14ac:dyDescent="0.25">
      <c r="AC2172" s="70" t="str">
        <f>IF(AND(Sheet1!O2172="SIM",Sheet1!P2172="SIM"),"Sim","")</f>
        <v/>
      </c>
      <c r="AD2172" s="70" t="str">
        <f>IF(AC2172="sim",Sheet1!I2172,"")</f>
        <v/>
      </c>
    </row>
    <row r="2173" spans="29:30" x14ac:dyDescent="0.25">
      <c r="AC2173" s="70" t="str">
        <f>IF(AND(Sheet1!O2173="SIM",Sheet1!P2173="SIM"),"Sim","")</f>
        <v/>
      </c>
      <c r="AD2173" s="70" t="str">
        <f>IF(AC2173="sim",Sheet1!I2173,"")</f>
        <v/>
      </c>
    </row>
    <row r="2174" spans="29:30" x14ac:dyDescent="0.25">
      <c r="AC2174" s="70" t="str">
        <f>IF(AND(Sheet1!O2174="SIM",Sheet1!P2174="SIM"),"Sim","")</f>
        <v/>
      </c>
      <c r="AD2174" s="70" t="str">
        <f>IF(AC2174="sim",Sheet1!I2174,"")</f>
        <v/>
      </c>
    </row>
    <row r="2175" spans="29:30" x14ac:dyDescent="0.25">
      <c r="AC2175" s="70" t="str">
        <f>IF(AND(Sheet1!O2175="SIM",Sheet1!P2175="SIM"),"Sim","")</f>
        <v/>
      </c>
      <c r="AD2175" s="70" t="str">
        <f>IF(AC2175="sim",Sheet1!I2175,"")</f>
        <v/>
      </c>
    </row>
    <row r="2176" spans="29:30" x14ac:dyDescent="0.25">
      <c r="AC2176" s="70" t="str">
        <f>IF(AND(Sheet1!O2176="SIM",Sheet1!P2176="SIM"),"Sim","")</f>
        <v/>
      </c>
      <c r="AD2176" s="70" t="str">
        <f>IF(AC2176="sim",Sheet1!I2176,"")</f>
        <v/>
      </c>
    </row>
    <row r="2177" spans="29:30" x14ac:dyDescent="0.25">
      <c r="AC2177" s="70" t="str">
        <f>IF(AND(Sheet1!O2177="SIM",Sheet1!P2177="SIM"),"Sim","")</f>
        <v/>
      </c>
      <c r="AD2177" s="70" t="str">
        <f>IF(AC2177="sim",Sheet1!I2177,"")</f>
        <v/>
      </c>
    </row>
    <row r="2178" spans="29:30" x14ac:dyDescent="0.25">
      <c r="AC2178" s="70" t="str">
        <f>IF(AND(Sheet1!O2178="SIM",Sheet1!P2178="SIM"),"Sim","")</f>
        <v/>
      </c>
      <c r="AD2178" s="70" t="str">
        <f>IF(AC2178="sim",Sheet1!I2178,"")</f>
        <v/>
      </c>
    </row>
    <row r="2179" spans="29:30" x14ac:dyDescent="0.25">
      <c r="AC2179" s="70" t="str">
        <f>IF(AND(Sheet1!O2179="SIM",Sheet1!P2179="SIM"),"Sim","")</f>
        <v/>
      </c>
      <c r="AD2179" s="70" t="str">
        <f>IF(AC2179="sim",Sheet1!I2179,"")</f>
        <v/>
      </c>
    </row>
    <row r="2180" spans="29:30" x14ac:dyDescent="0.25">
      <c r="AC2180" s="70" t="str">
        <f>IF(AND(Sheet1!O2180="SIM",Sheet1!P2180="SIM"),"Sim","")</f>
        <v/>
      </c>
      <c r="AD2180" s="70" t="str">
        <f>IF(AC2180="sim",Sheet1!I2180,"")</f>
        <v/>
      </c>
    </row>
    <row r="2181" spans="29:30" x14ac:dyDescent="0.25">
      <c r="AC2181" s="70" t="str">
        <f>IF(AND(Sheet1!O2181="SIM",Sheet1!P2181="SIM"),"Sim","")</f>
        <v/>
      </c>
      <c r="AD2181" s="70" t="str">
        <f>IF(AC2181="sim",Sheet1!I2181,"")</f>
        <v/>
      </c>
    </row>
    <row r="2182" spans="29:30" x14ac:dyDescent="0.25">
      <c r="AC2182" s="70" t="str">
        <f>IF(AND(Sheet1!O2182="SIM",Sheet1!P2182="SIM"),"Sim","")</f>
        <v/>
      </c>
      <c r="AD2182" s="70" t="str">
        <f>IF(AC2182="sim",Sheet1!I2182,"")</f>
        <v/>
      </c>
    </row>
    <row r="2183" spans="29:30" x14ac:dyDescent="0.25">
      <c r="AC2183" s="70" t="str">
        <f>IF(AND(Sheet1!O2183="SIM",Sheet1!P2183="SIM"),"Sim","")</f>
        <v/>
      </c>
      <c r="AD2183" s="70" t="str">
        <f>IF(AC2183="sim",Sheet1!I2183,"")</f>
        <v/>
      </c>
    </row>
    <row r="2184" spans="29:30" x14ac:dyDescent="0.25">
      <c r="AC2184" s="70" t="str">
        <f>IF(AND(Sheet1!O2184="SIM",Sheet1!P2184="SIM"),"Sim","")</f>
        <v/>
      </c>
      <c r="AD2184" s="70" t="str">
        <f>IF(AC2184="sim",Sheet1!I2184,"")</f>
        <v/>
      </c>
    </row>
    <row r="2185" spans="29:30" x14ac:dyDescent="0.25">
      <c r="AC2185" s="70" t="str">
        <f>IF(AND(Sheet1!O2185="SIM",Sheet1!P2185="SIM"),"Sim","")</f>
        <v/>
      </c>
      <c r="AD2185" s="70" t="str">
        <f>IF(AC2185="sim",Sheet1!I2185,"")</f>
        <v/>
      </c>
    </row>
    <row r="2186" spans="29:30" x14ac:dyDescent="0.25">
      <c r="AC2186" s="70" t="str">
        <f>IF(AND(Sheet1!O2186="SIM",Sheet1!P2186="SIM"),"Sim","")</f>
        <v/>
      </c>
      <c r="AD2186" s="70" t="str">
        <f>IF(AC2186="sim",Sheet1!I2186,"")</f>
        <v/>
      </c>
    </row>
    <row r="2187" spans="29:30" x14ac:dyDescent="0.25">
      <c r="AC2187" s="70" t="str">
        <f>IF(AND(Sheet1!O2187="SIM",Sheet1!P2187="SIM"),"Sim","")</f>
        <v/>
      </c>
      <c r="AD2187" s="70" t="str">
        <f>IF(AC2187="sim",Sheet1!I2187,"")</f>
        <v/>
      </c>
    </row>
    <row r="2188" spans="29:30" x14ac:dyDescent="0.25">
      <c r="AC2188" s="70" t="str">
        <f>IF(AND(Sheet1!O2188="SIM",Sheet1!P2188="SIM"),"Sim","")</f>
        <v/>
      </c>
      <c r="AD2188" s="70" t="str">
        <f>IF(AC2188="sim",Sheet1!I2188,"")</f>
        <v/>
      </c>
    </row>
    <row r="2189" spans="29:30" x14ac:dyDescent="0.25">
      <c r="AC2189" s="70" t="str">
        <f>IF(AND(Sheet1!O2189="SIM",Sheet1!P2189="SIM"),"Sim","")</f>
        <v/>
      </c>
      <c r="AD2189" s="70" t="str">
        <f>IF(AC2189="sim",Sheet1!I2189,"")</f>
        <v/>
      </c>
    </row>
    <row r="2190" spans="29:30" x14ac:dyDescent="0.25">
      <c r="AC2190" s="70" t="str">
        <f>IF(AND(Sheet1!O2190="SIM",Sheet1!P2190="SIM"),"Sim","")</f>
        <v/>
      </c>
      <c r="AD2190" s="70" t="str">
        <f>IF(AC2190="sim",Sheet1!I2190,"")</f>
        <v/>
      </c>
    </row>
    <row r="2191" spans="29:30" x14ac:dyDescent="0.25">
      <c r="AC2191" s="70" t="str">
        <f>IF(AND(Sheet1!O2191="SIM",Sheet1!P2191="SIM"),"Sim","")</f>
        <v/>
      </c>
      <c r="AD2191" s="70" t="str">
        <f>IF(AC2191="sim",Sheet1!I2191,"")</f>
        <v/>
      </c>
    </row>
    <row r="2192" spans="29:30" x14ac:dyDescent="0.25">
      <c r="AC2192" s="70" t="str">
        <f>IF(AND(Sheet1!O2192="SIM",Sheet1!P2192="SIM"),"Sim","")</f>
        <v/>
      </c>
      <c r="AD2192" s="70" t="str">
        <f>IF(AC2192="sim",Sheet1!I2192,"")</f>
        <v/>
      </c>
    </row>
    <row r="2193" spans="29:30" x14ac:dyDescent="0.25">
      <c r="AC2193" s="70" t="str">
        <f>IF(AND(Sheet1!O2193="SIM",Sheet1!P2193="SIM"),"Sim","")</f>
        <v/>
      </c>
      <c r="AD2193" s="70" t="str">
        <f>IF(AC2193="sim",Sheet1!I2193,"")</f>
        <v/>
      </c>
    </row>
    <row r="2194" spans="29:30" x14ac:dyDescent="0.25">
      <c r="AC2194" s="70" t="str">
        <f>IF(AND(Sheet1!O2194="SIM",Sheet1!P2194="SIM"),"Sim","")</f>
        <v/>
      </c>
      <c r="AD2194" s="70" t="str">
        <f>IF(AC2194="sim",Sheet1!I2194,"")</f>
        <v/>
      </c>
    </row>
    <row r="2195" spans="29:30" x14ac:dyDescent="0.25">
      <c r="AC2195" s="70" t="str">
        <f>IF(AND(Sheet1!O2195="SIM",Sheet1!P2195="SIM"),"Sim","")</f>
        <v/>
      </c>
      <c r="AD2195" s="70" t="str">
        <f>IF(AC2195="sim",Sheet1!I2195,"")</f>
        <v/>
      </c>
    </row>
    <row r="2196" spans="29:30" x14ac:dyDescent="0.25">
      <c r="AC2196" s="70" t="str">
        <f>IF(AND(Sheet1!O2196="SIM",Sheet1!P2196="SIM"),"Sim","")</f>
        <v/>
      </c>
      <c r="AD2196" s="70" t="str">
        <f>IF(AC2196="sim",Sheet1!I2196,"")</f>
        <v/>
      </c>
    </row>
    <row r="2197" spans="29:30" x14ac:dyDescent="0.25">
      <c r="AC2197" s="70" t="str">
        <f>IF(AND(Sheet1!O2197="SIM",Sheet1!P2197="SIM"),"Sim","")</f>
        <v/>
      </c>
      <c r="AD2197" s="70" t="str">
        <f>IF(AC2197="sim",Sheet1!I2197,"")</f>
        <v/>
      </c>
    </row>
    <row r="2198" spans="29:30" x14ac:dyDescent="0.25">
      <c r="AC2198" s="70" t="str">
        <f>IF(AND(Sheet1!O2198="SIM",Sheet1!P2198="SIM"),"Sim","")</f>
        <v/>
      </c>
      <c r="AD2198" s="70" t="str">
        <f>IF(AC2198="sim",Sheet1!I2198,"")</f>
        <v/>
      </c>
    </row>
    <row r="2199" spans="29:30" x14ac:dyDescent="0.25">
      <c r="AC2199" s="70" t="str">
        <f>IF(AND(Sheet1!O2199="SIM",Sheet1!P2199="SIM"),"Sim","")</f>
        <v/>
      </c>
      <c r="AD2199" s="70" t="str">
        <f>IF(AC2199="sim",Sheet1!I2199,"")</f>
        <v/>
      </c>
    </row>
    <row r="2200" spans="29:30" x14ac:dyDescent="0.25">
      <c r="AC2200" s="70" t="str">
        <f>IF(AND(Sheet1!O2200="SIM",Sheet1!P2200="SIM"),"Sim","")</f>
        <v/>
      </c>
      <c r="AD2200" s="70" t="str">
        <f>IF(AC2200="sim",Sheet1!I2200,"")</f>
        <v/>
      </c>
    </row>
    <row r="2201" spans="29:30" x14ac:dyDescent="0.25">
      <c r="AC2201" s="70" t="str">
        <f>IF(AND(Sheet1!O2201="SIM",Sheet1!P2201="SIM"),"Sim","")</f>
        <v/>
      </c>
      <c r="AD2201" s="70" t="str">
        <f>IF(AC2201="sim",Sheet1!I2201,"")</f>
        <v/>
      </c>
    </row>
    <row r="2202" spans="29:30" x14ac:dyDescent="0.25">
      <c r="AC2202" s="70" t="str">
        <f>IF(AND(Sheet1!O2202="SIM",Sheet1!P2202="SIM"),"Sim","")</f>
        <v/>
      </c>
      <c r="AD2202" s="70" t="str">
        <f>IF(AC2202="sim",Sheet1!I2202,"")</f>
        <v/>
      </c>
    </row>
    <row r="2203" spans="29:30" x14ac:dyDescent="0.25">
      <c r="AC2203" s="70" t="str">
        <f>IF(AND(Sheet1!O2203="SIM",Sheet1!P2203="SIM"),"Sim","")</f>
        <v/>
      </c>
      <c r="AD2203" s="70" t="str">
        <f>IF(AC2203="sim",Sheet1!I2203,"")</f>
        <v/>
      </c>
    </row>
    <row r="2204" spans="29:30" x14ac:dyDescent="0.25">
      <c r="AC2204" s="70" t="str">
        <f>IF(AND(Sheet1!O2204="SIM",Sheet1!P2204="SIM"),"Sim","")</f>
        <v/>
      </c>
      <c r="AD2204" s="70" t="str">
        <f>IF(AC2204="sim",Sheet1!I2204,"")</f>
        <v/>
      </c>
    </row>
    <row r="2205" spans="29:30" x14ac:dyDescent="0.25">
      <c r="AC2205" s="70" t="str">
        <f>IF(AND(Sheet1!O2205="SIM",Sheet1!P2205="SIM"),"Sim","")</f>
        <v/>
      </c>
      <c r="AD2205" s="70" t="str">
        <f>IF(AC2205="sim",Sheet1!I2205,"")</f>
        <v/>
      </c>
    </row>
    <row r="2206" spans="29:30" x14ac:dyDescent="0.25">
      <c r="AC2206" s="70" t="str">
        <f>IF(AND(Sheet1!O2206="SIM",Sheet1!P2206="SIM"),"Sim","")</f>
        <v/>
      </c>
      <c r="AD2206" s="70" t="str">
        <f>IF(AC2206="sim",Sheet1!I2206,"")</f>
        <v/>
      </c>
    </row>
    <row r="2207" spans="29:30" x14ac:dyDescent="0.25">
      <c r="AC2207" s="70" t="str">
        <f>IF(AND(Sheet1!O2207="SIM",Sheet1!P2207="SIM"),"Sim","")</f>
        <v/>
      </c>
      <c r="AD2207" s="70" t="str">
        <f>IF(AC2207="sim",Sheet1!I2207,"")</f>
        <v/>
      </c>
    </row>
    <row r="2208" spans="29:30" x14ac:dyDescent="0.25">
      <c r="AC2208" s="70" t="str">
        <f>IF(AND(Sheet1!O2208="SIM",Sheet1!P2208="SIM"),"Sim","")</f>
        <v/>
      </c>
      <c r="AD2208" s="70" t="str">
        <f>IF(AC2208="sim",Sheet1!I2208,"")</f>
        <v/>
      </c>
    </row>
    <row r="2209" spans="29:30" x14ac:dyDescent="0.25">
      <c r="AC2209" s="70" t="str">
        <f>IF(AND(Sheet1!O2209="SIM",Sheet1!P2209="SIM"),"Sim","")</f>
        <v/>
      </c>
      <c r="AD2209" s="70" t="str">
        <f>IF(AC2209="sim",Sheet1!I2209,"")</f>
        <v/>
      </c>
    </row>
    <row r="2210" spans="29:30" x14ac:dyDescent="0.25">
      <c r="AC2210" s="70" t="str">
        <f>IF(AND(Sheet1!O2210="SIM",Sheet1!P2210="SIM"),"Sim","")</f>
        <v/>
      </c>
      <c r="AD2210" s="70" t="str">
        <f>IF(AC2210="sim",Sheet1!I2210,"")</f>
        <v/>
      </c>
    </row>
    <row r="2211" spans="29:30" x14ac:dyDescent="0.25">
      <c r="AC2211" s="70" t="str">
        <f>IF(AND(Sheet1!O2211="SIM",Sheet1!P2211="SIM"),"Sim","")</f>
        <v/>
      </c>
      <c r="AD2211" s="70" t="str">
        <f>IF(AC2211="sim",Sheet1!I2211,"")</f>
        <v/>
      </c>
    </row>
    <row r="2212" spans="29:30" x14ac:dyDescent="0.25">
      <c r="AC2212" s="70" t="str">
        <f>IF(AND(Sheet1!O2212="SIM",Sheet1!P2212="SIM"),"Sim","")</f>
        <v/>
      </c>
      <c r="AD2212" s="70" t="str">
        <f>IF(AC2212="sim",Sheet1!I2212,"")</f>
        <v/>
      </c>
    </row>
    <row r="2213" spans="29:30" x14ac:dyDescent="0.25">
      <c r="AC2213" s="70" t="str">
        <f>IF(AND(Sheet1!O2213="SIM",Sheet1!P2213="SIM"),"Sim","")</f>
        <v/>
      </c>
      <c r="AD2213" s="70" t="str">
        <f>IF(AC2213="sim",Sheet1!I2213,"")</f>
        <v/>
      </c>
    </row>
    <row r="2214" spans="29:30" x14ac:dyDescent="0.25">
      <c r="AC2214" s="70" t="str">
        <f>IF(AND(Sheet1!O2214="SIM",Sheet1!P2214="SIM"),"Sim","")</f>
        <v/>
      </c>
      <c r="AD2214" s="70" t="str">
        <f>IF(AC2214="sim",Sheet1!I2214,"")</f>
        <v/>
      </c>
    </row>
    <row r="2215" spans="29:30" x14ac:dyDescent="0.25">
      <c r="AC2215" s="70" t="str">
        <f>IF(AND(Sheet1!O2215="SIM",Sheet1!P2215="SIM"),"Sim","")</f>
        <v/>
      </c>
      <c r="AD2215" s="70" t="str">
        <f>IF(AC2215="sim",Sheet1!I2215,"")</f>
        <v/>
      </c>
    </row>
    <row r="2216" spans="29:30" x14ac:dyDescent="0.25">
      <c r="AC2216" s="70" t="str">
        <f>IF(AND(Sheet1!O2216="SIM",Sheet1!P2216="SIM"),"Sim","")</f>
        <v/>
      </c>
      <c r="AD2216" s="70" t="str">
        <f>IF(AC2216="sim",Sheet1!I2216,"")</f>
        <v/>
      </c>
    </row>
    <row r="2217" spans="29:30" x14ac:dyDescent="0.25">
      <c r="AC2217" s="70" t="str">
        <f>IF(AND(Sheet1!O2217="SIM",Sheet1!P2217="SIM"),"Sim","")</f>
        <v/>
      </c>
      <c r="AD2217" s="70" t="str">
        <f>IF(AC2217="sim",Sheet1!I2217,"")</f>
        <v/>
      </c>
    </row>
    <row r="2218" spans="29:30" x14ac:dyDescent="0.25">
      <c r="AC2218" s="70" t="str">
        <f>IF(AND(Sheet1!O2218="SIM",Sheet1!P2218="SIM"),"Sim","")</f>
        <v/>
      </c>
      <c r="AD2218" s="70" t="str">
        <f>IF(AC2218="sim",Sheet1!I2218,"")</f>
        <v/>
      </c>
    </row>
    <row r="2219" spans="29:30" x14ac:dyDescent="0.25">
      <c r="AC2219" s="70" t="str">
        <f>IF(AND(Sheet1!O2219="SIM",Sheet1!P2219="SIM"),"Sim","")</f>
        <v/>
      </c>
      <c r="AD2219" s="70" t="str">
        <f>IF(AC2219="sim",Sheet1!I2219,"")</f>
        <v/>
      </c>
    </row>
    <row r="2220" spans="29:30" x14ac:dyDescent="0.25">
      <c r="AC2220" s="70" t="str">
        <f>IF(AND(Sheet1!O2220="SIM",Sheet1!P2220="SIM"),"Sim","")</f>
        <v/>
      </c>
      <c r="AD2220" s="70" t="str">
        <f>IF(AC2220="sim",Sheet1!I2220,"")</f>
        <v/>
      </c>
    </row>
    <row r="2221" spans="29:30" x14ac:dyDescent="0.25">
      <c r="AC2221" s="70" t="str">
        <f>IF(AND(Sheet1!O2221="SIM",Sheet1!P2221="SIM"),"Sim","")</f>
        <v/>
      </c>
      <c r="AD2221" s="70" t="str">
        <f>IF(AC2221="sim",Sheet1!I2221,"")</f>
        <v/>
      </c>
    </row>
    <row r="2222" spans="29:30" x14ac:dyDescent="0.25">
      <c r="AC2222" s="70" t="str">
        <f>IF(AND(Sheet1!O2222="SIM",Sheet1!P2222="SIM"),"Sim","")</f>
        <v/>
      </c>
      <c r="AD2222" s="70" t="str">
        <f>IF(AC2222="sim",Sheet1!I2222,"")</f>
        <v/>
      </c>
    </row>
    <row r="2223" spans="29:30" x14ac:dyDescent="0.25">
      <c r="AC2223" s="70" t="str">
        <f>IF(AND(Sheet1!O2223="SIM",Sheet1!P2223="SIM"),"Sim","")</f>
        <v/>
      </c>
      <c r="AD2223" s="70" t="str">
        <f>IF(AC2223="sim",Sheet1!I2223,"")</f>
        <v/>
      </c>
    </row>
    <row r="2224" spans="29:30" x14ac:dyDescent="0.25">
      <c r="AC2224" s="70" t="str">
        <f>IF(AND(Sheet1!O2224="SIM",Sheet1!P2224="SIM"),"Sim","")</f>
        <v/>
      </c>
      <c r="AD2224" s="70" t="str">
        <f>IF(AC2224="sim",Sheet1!I2224,"")</f>
        <v/>
      </c>
    </row>
    <row r="2225" spans="29:30" x14ac:dyDescent="0.25">
      <c r="AC2225" s="70" t="str">
        <f>IF(AND(Sheet1!O2225="SIM",Sheet1!P2225="SIM"),"Sim","")</f>
        <v/>
      </c>
      <c r="AD2225" s="70" t="str">
        <f>IF(AC2225="sim",Sheet1!I2225,"")</f>
        <v/>
      </c>
    </row>
    <row r="2226" spans="29:30" x14ac:dyDescent="0.25">
      <c r="AC2226" s="70" t="str">
        <f>IF(AND(Sheet1!O2226="SIM",Sheet1!P2226="SIM"),"Sim","")</f>
        <v/>
      </c>
      <c r="AD2226" s="70" t="str">
        <f>IF(AC2226="sim",Sheet1!I2226,"")</f>
        <v/>
      </c>
    </row>
    <row r="2227" spans="29:30" x14ac:dyDescent="0.25">
      <c r="AC2227" s="70" t="str">
        <f>IF(AND(Sheet1!O2227="SIM",Sheet1!P2227="SIM"),"Sim","")</f>
        <v/>
      </c>
      <c r="AD2227" s="70" t="str">
        <f>IF(AC2227="sim",Sheet1!I2227,"")</f>
        <v/>
      </c>
    </row>
    <row r="2228" spans="29:30" x14ac:dyDescent="0.25">
      <c r="AC2228" s="70" t="str">
        <f>IF(AND(Sheet1!O2228="SIM",Sheet1!P2228="SIM"),"Sim","")</f>
        <v/>
      </c>
      <c r="AD2228" s="70" t="str">
        <f>IF(AC2228="sim",Sheet1!I2228,"")</f>
        <v/>
      </c>
    </row>
    <row r="2229" spans="29:30" x14ac:dyDescent="0.25">
      <c r="AC2229" s="70" t="str">
        <f>IF(AND(Sheet1!O2229="SIM",Sheet1!P2229="SIM"),"Sim","")</f>
        <v/>
      </c>
      <c r="AD2229" s="70" t="str">
        <f>IF(AC2229="sim",Sheet1!I2229,"")</f>
        <v/>
      </c>
    </row>
    <row r="2230" spans="29:30" x14ac:dyDescent="0.25">
      <c r="AC2230" s="70" t="str">
        <f>IF(AND(Sheet1!O2230="SIM",Sheet1!P2230="SIM"),"Sim","")</f>
        <v/>
      </c>
      <c r="AD2230" s="70" t="str">
        <f>IF(AC2230="sim",Sheet1!I2230,"")</f>
        <v/>
      </c>
    </row>
    <row r="2231" spans="29:30" x14ac:dyDescent="0.25">
      <c r="AC2231" s="70" t="str">
        <f>IF(AND(Sheet1!O2231="SIM",Sheet1!P2231="SIM"),"Sim","")</f>
        <v/>
      </c>
      <c r="AD2231" s="70" t="str">
        <f>IF(AC2231="sim",Sheet1!I2231,"")</f>
        <v/>
      </c>
    </row>
    <row r="2232" spans="29:30" x14ac:dyDescent="0.25">
      <c r="AC2232" s="70" t="str">
        <f>IF(AND(Sheet1!O2232="SIM",Sheet1!P2232="SIM"),"Sim","")</f>
        <v/>
      </c>
      <c r="AD2232" s="70" t="str">
        <f>IF(AC2232="sim",Sheet1!I2232,"")</f>
        <v/>
      </c>
    </row>
    <row r="2233" spans="29:30" x14ac:dyDescent="0.25">
      <c r="AC2233" s="70" t="str">
        <f>IF(AND(Sheet1!O2233="SIM",Sheet1!P2233="SIM"),"Sim","")</f>
        <v/>
      </c>
      <c r="AD2233" s="70" t="str">
        <f>IF(AC2233="sim",Sheet1!I2233,"")</f>
        <v/>
      </c>
    </row>
    <row r="2234" spans="29:30" x14ac:dyDescent="0.25">
      <c r="AC2234" s="70" t="str">
        <f>IF(AND(Sheet1!O2234="SIM",Sheet1!P2234="SIM"),"Sim","")</f>
        <v/>
      </c>
      <c r="AD2234" s="70" t="str">
        <f>IF(AC2234="sim",Sheet1!I2234,"")</f>
        <v/>
      </c>
    </row>
    <row r="2235" spans="29:30" x14ac:dyDescent="0.25">
      <c r="AC2235" s="70" t="str">
        <f>IF(AND(Sheet1!O2235="SIM",Sheet1!P2235="SIM"),"Sim","")</f>
        <v/>
      </c>
      <c r="AD2235" s="70" t="str">
        <f>IF(AC2235="sim",Sheet1!I2235,"")</f>
        <v/>
      </c>
    </row>
    <row r="2236" spans="29:30" x14ac:dyDescent="0.25">
      <c r="AC2236" s="70" t="str">
        <f>IF(AND(Sheet1!O2236="SIM",Sheet1!P2236="SIM"),"Sim","")</f>
        <v/>
      </c>
      <c r="AD2236" s="70" t="str">
        <f>IF(AC2236="sim",Sheet1!I2236,"")</f>
        <v/>
      </c>
    </row>
    <row r="2237" spans="29:30" x14ac:dyDescent="0.25">
      <c r="AC2237" s="70" t="str">
        <f>IF(AND(Sheet1!O2237="SIM",Sheet1!P2237="SIM"),"Sim","")</f>
        <v/>
      </c>
      <c r="AD2237" s="70" t="str">
        <f>IF(AC2237="sim",Sheet1!I2237,"")</f>
        <v/>
      </c>
    </row>
    <row r="2238" spans="29:30" x14ac:dyDescent="0.25">
      <c r="AC2238" s="70" t="str">
        <f>IF(AND(Sheet1!O2238="SIM",Sheet1!P2238="SIM"),"Sim","")</f>
        <v/>
      </c>
      <c r="AD2238" s="70" t="str">
        <f>IF(AC2238="sim",Sheet1!I2238,"")</f>
        <v/>
      </c>
    </row>
    <row r="2239" spans="29:30" x14ac:dyDescent="0.25">
      <c r="AC2239" s="70" t="str">
        <f>IF(AND(Sheet1!O2239="SIM",Sheet1!P2239="SIM"),"Sim","")</f>
        <v/>
      </c>
      <c r="AD2239" s="70" t="str">
        <f>IF(AC2239="sim",Sheet1!I2239,"")</f>
        <v/>
      </c>
    </row>
    <row r="2240" spans="29:30" x14ac:dyDescent="0.25">
      <c r="AC2240" s="70" t="str">
        <f>IF(AND(Sheet1!O2240="SIM",Sheet1!P2240="SIM"),"Sim","")</f>
        <v/>
      </c>
      <c r="AD2240" s="70" t="str">
        <f>IF(AC2240="sim",Sheet1!I2240,"")</f>
        <v/>
      </c>
    </row>
  </sheetData>
  <sheetProtection autoFilter="0"/>
  <autoFilter ref="A2:G501" xr:uid="{00000000-0009-0000-0000-000000000000}">
    <sortState xmlns:xlrd2="http://schemas.microsoft.com/office/spreadsheetml/2017/richdata2" ref="A3:G503">
      <sortCondition ref="A2:A503"/>
    </sortState>
  </autoFilter>
  <mergeCells count="37">
    <mergeCell ref="K9:K10"/>
    <mergeCell ref="K11:K12"/>
    <mergeCell ref="A1:G1"/>
    <mergeCell ref="J5:J18"/>
    <mergeCell ref="M1:N2"/>
    <mergeCell ref="N5:N6"/>
    <mergeCell ref="N7:N8"/>
    <mergeCell ref="N9:N10"/>
    <mergeCell ref="M5:M6"/>
    <mergeCell ref="M7:M8"/>
    <mergeCell ref="M9:M10"/>
    <mergeCell ref="K1:L1"/>
    <mergeCell ref="L5:L6"/>
    <mergeCell ref="L7:L8"/>
    <mergeCell ref="L9:L10"/>
    <mergeCell ref="K5:K6"/>
    <mergeCell ref="K7:K8"/>
    <mergeCell ref="N40:AA40"/>
    <mergeCell ref="J19:N19"/>
    <mergeCell ref="J20:N20"/>
    <mergeCell ref="M11:M12"/>
    <mergeCell ref="M13:M14"/>
    <mergeCell ref="N13:N14"/>
    <mergeCell ref="M15:M16"/>
    <mergeCell ref="M17:M18"/>
    <mergeCell ref="N17:N18"/>
    <mergeCell ref="L17:L18"/>
    <mergeCell ref="L15:L16"/>
    <mergeCell ref="K15:K16"/>
    <mergeCell ref="K17:K18"/>
    <mergeCell ref="N15:N16"/>
    <mergeCell ref="K13:K14"/>
    <mergeCell ref="L13:L14"/>
    <mergeCell ref="N11:N12"/>
    <mergeCell ref="K40:K41"/>
    <mergeCell ref="K42:K43"/>
    <mergeCell ref="L11:L12"/>
  </mergeCells>
  <phoneticPr fontId="7" type="noConversion"/>
  <conditionalFormatting sqref="K42:K43">
    <cfRule type="notContainsBlanks" dxfId="0" priority="1">
      <formula>LEN(TRIM(K42))&gt;0</formula>
    </cfRule>
  </conditionalFormatting>
  <dataValidations count="2">
    <dataValidation type="list" allowBlank="1" showInputMessage="1" showErrorMessage="1" sqref="C3:C501" xr:uid="{00000000-0002-0000-0000-000000000000}">
      <formula1>"CABOS, DIVERSOS, QUÍMICO, FOGO, PLUGUES, ELETRODOMÉSTICO"</formula1>
    </dataValidation>
    <dataValidation type="list" allowBlank="1" showInputMessage="1" showErrorMessage="1" sqref="D3:E501" xr:uid="{6BC15FD2-593A-4D36-9D39-601767B7FE16}">
      <formula1>"Sim,Não"</formula1>
    </dataValidation>
  </dataValidations>
  <pageMargins left="0.7" right="0.7" top="0.75" bottom="0.75" header="0.3" footer="0.3"/>
  <pageSetup paperSize="9" scale="10" orientation="landscape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2">
    <tabColor theme="7" tint="0.59999389629810485"/>
    <pageSetUpPr fitToPage="1"/>
  </sheetPr>
  <dimension ref="A1:S11"/>
  <sheetViews>
    <sheetView zoomScaleNormal="100" workbookViewId="0">
      <selection activeCell="A2" sqref="A2"/>
    </sheetView>
  </sheetViews>
  <sheetFormatPr defaultRowHeight="15" x14ac:dyDescent="0.25"/>
  <cols>
    <col min="1" max="5" width="26.85546875" customWidth="1"/>
    <col min="6" max="6" width="9.85546875" bestFit="1" customWidth="1"/>
    <col min="7" max="7" width="4.7109375" customWidth="1"/>
    <col min="8" max="19" width="5.7109375" customWidth="1"/>
  </cols>
  <sheetData>
    <row r="1" spans="1:19" ht="45" customHeight="1" x14ac:dyDescent="0.25">
      <c r="A1" s="99" t="s">
        <v>926</v>
      </c>
      <c r="B1" s="100"/>
      <c r="C1" s="100"/>
      <c r="D1" s="100"/>
      <c r="E1" s="101"/>
    </row>
    <row r="2" spans="1:19" ht="45" customHeight="1" x14ac:dyDescent="0.25">
      <c r="A2" s="1" t="str">
        <f>F8</f>
        <v>REP</v>
      </c>
      <c r="B2" s="1" t="str">
        <f>F9</f>
        <v>Técnico</v>
      </c>
      <c r="C2" s="1" t="str">
        <f>F10</f>
        <v>Comercial</v>
      </c>
      <c r="D2" s="1" t="str">
        <f>F11</f>
        <v>Cliente</v>
      </c>
      <c r="E2" s="1" t="s">
        <v>52</v>
      </c>
    </row>
    <row r="3" spans="1:19" ht="45" customHeight="1" x14ac:dyDescent="0.25">
      <c r="A3" s="3">
        <f>Envios!I4</f>
        <v>9</v>
      </c>
      <c r="B3" s="3">
        <v>14</v>
      </c>
      <c r="C3" s="3">
        <v>7</v>
      </c>
      <c r="D3" s="3">
        <v>15</v>
      </c>
      <c r="E3" s="102">
        <f>SUM(A3:D3)</f>
        <v>45</v>
      </c>
    </row>
    <row r="4" spans="1:19" ht="45" customHeight="1" x14ac:dyDescent="0.25">
      <c r="A4" s="11">
        <f>SUM(A3/E3)</f>
        <v>0.2</v>
      </c>
      <c r="B4" s="11">
        <f>SUM(B3/E3)</f>
        <v>0.31111111111111112</v>
      </c>
      <c r="C4" s="11">
        <f>SUM(C3/E3)</f>
        <v>0.15555555555555556</v>
      </c>
      <c r="D4" s="11">
        <f>SUM(D3/E3)</f>
        <v>0.33333333333333331</v>
      </c>
      <c r="E4" s="103"/>
    </row>
    <row r="6" spans="1:19" x14ac:dyDescent="0.25">
      <c r="F6" s="104" t="s">
        <v>31</v>
      </c>
      <c r="G6" s="105"/>
      <c r="H6" s="105"/>
      <c r="I6" s="105"/>
      <c r="J6" s="105"/>
      <c r="K6" s="105"/>
      <c r="L6" s="105"/>
      <c r="M6" s="105"/>
      <c r="N6" s="105"/>
      <c r="O6" s="105"/>
      <c r="P6" s="105"/>
      <c r="Q6" s="105"/>
      <c r="R6" s="105"/>
      <c r="S6" s="106"/>
    </row>
    <row r="7" spans="1:19" x14ac:dyDescent="0.25">
      <c r="F7" s="25" t="s">
        <v>16</v>
      </c>
      <c r="G7" s="25"/>
      <c r="H7" s="25" t="s">
        <v>17</v>
      </c>
      <c r="I7" s="25" t="s">
        <v>18</v>
      </c>
      <c r="J7" s="25" t="s">
        <v>19</v>
      </c>
      <c r="K7" s="25" t="s">
        <v>20</v>
      </c>
      <c r="L7" s="25" t="s">
        <v>21</v>
      </c>
      <c r="M7" s="25" t="s">
        <v>22</v>
      </c>
      <c r="N7" s="25" t="s">
        <v>23</v>
      </c>
      <c r="O7" s="25" t="s">
        <v>24</v>
      </c>
      <c r="P7" s="25" t="s">
        <v>25</v>
      </c>
      <c r="Q7" s="25" t="s">
        <v>26</v>
      </c>
      <c r="R7" s="25" t="s">
        <v>27</v>
      </c>
      <c r="S7" s="25" t="s">
        <v>28</v>
      </c>
    </row>
    <row r="8" spans="1:19" x14ac:dyDescent="0.25">
      <c r="F8" s="25" t="s">
        <v>29</v>
      </c>
      <c r="G8" s="25"/>
      <c r="H8" s="26">
        <v>5</v>
      </c>
      <c r="I8" s="26">
        <v>10</v>
      </c>
      <c r="J8" s="26">
        <v>2</v>
      </c>
      <c r="K8" s="26">
        <v>6</v>
      </c>
      <c r="L8" s="26">
        <v>11</v>
      </c>
      <c r="M8" s="26">
        <v>9</v>
      </c>
      <c r="N8" s="26"/>
      <c r="O8" s="26"/>
      <c r="P8" s="26"/>
      <c r="Q8" s="26"/>
      <c r="R8" s="26"/>
      <c r="S8" s="26"/>
    </row>
    <row r="9" spans="1:19" x14ac:dyDescent="0.25">
      <c r="F9" s="25" t="s">
        <v>30</v>
      </c>
      <c r="G9" s="25"/>
      <c r="H9" s="26">
        <v>10</v>
      </c>
      <c r="I9" s="26">
        <v>7</v>
      </c>
      <c r="J9" s="26">
        <v>16</v>
      </c>
      <c r="K9" s="26">
        <v>4</v>
      </c>
      <c r="L9" s="26">
        <v>12</v>
      </c>
      <c r="M9" s="26">
        <v>14</v>
      </c>
      <c r="N9" s="26"/>
      <c r="O9" s="26"/>
      <c r="P9" s="26"/>
      <c r="Q9" s="26"/>
      <c r="R9" s="26"/>
      <c r="S9" s="26"/>
    </row>
    <row r="10" spans="1:19" x14ac:dyDescent="0.25">
      <c r="F10" s="25" t="s">
        <v>32</v>
      </c>
      <c r="G10" s="25"/>
      <c r="H10" s="26">
        <v>22</v>
      </c>
      <c r="I10" s="26">
        <v>6</v>
      </c>
      <c r="J10" s="26">
        <v>2</v>
      </c>
      <c r="K10" s="26">
        <v>3</v>
      </c>
      <c r="L10" s="26">
        <v>2</v>
      </c>
      <c r="M10" s="26">
        <v>7</v>
      </c>
      <c r="N10" s="26"/>
      <c r="O10" s="26"/>
      <c r="P10" s="26"/>
      <c r="Q10" s="26"/>
      <c r="R10" s="26"/>
      <c r="S10" s="26"/>
    </row>
    <row r="11" spans="1:19" x14ac:dyDescent="0.25">
      <c r="F11" s="25" t="s">
        <v>33</v>
      </c>
      <c r="G11" s="25"/>
      <c r="H11" s="26">
        <v>14</v>
      </c>
      <c r="I11" s="26">
        <v>10</v>
      </c>
      <c r="J11" s="26">
        <v>13</v>
      </c>
      <c r="K11" s="26">
        <v>8</v>
      </c>
      <c r="L11" s="26">
        <v>9</v>
      </c>
      <c r="M11" s="26">
        <v>15</v>
      </c>
      <c r="N11" s="26"/>
      <c r="O11" s="26"/>
      <c r="P11" s="26"/>
      <c r="Q11" s="26"/>
      <c r="R11" s="26"/>
      <c r="S11" s="26"/>
    </row>
  </sheetData>
  <mergeCells count="3">
    <mergeCell ref="A1:E1"/>
    <mergeCell ref="E3:E4"/>
    <mergeCell ref="F6:S6"/>
  </mergeCells>
  <phoneticPr fontId="7" type="noConversion"/>
  <pageMargins left="0.511811024" right="0.511811024" top="0.78740157499999996" bottom="0.78740157499999996" header="0.31496062000000002" footer="0.31496062000000002"/>
  <pageSetup paperSize="9" scale="76" orientation="landscape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3">
    <tabColor theme="4" tint="0.59999389629810485"/>
    <pageSetUpPr fitToPage="1"/>
  </sheetPr>
  <dimension ref="A1:V14"/>
  <sheetViews>
    <sheetView topLeftCell="B1" zoomScaleNormal="100" workbookViewId="0">
      <selection activeCell="D2" sqref="D2"/>
    </sheetView>
  </sheetViews>
  <sheetFormatPr defaultRowHeight="15" x14ac:dyDescent="0.25"/>
  <cols>
    <col min="1" max="9" width="16.85546875" customWidth="1"/>
    <col min="10" max="22" width="5.7109375" customWidth="1"/>
  </cols>
  <sheetData>
    <row r="1" spans="1:22" ht="45" customHeight="1" x14ac:dyDescent="0.25">
      <c r="A1" s="107" t="s">
        <v>925</v>
      </c>
      <c r="B1" s="107"/>
      <c r="C1" s="107"/>
      <c r="D1" s="107"/>
      <c r="E1" s="107"/>
      <c r="F1" s="107"/>
      <c r="G1" s="107"/>
      <c r="H1" s="107"/>
      <c r="I1" s="107"/>
    </row>
    <row r="2" spans="1:22" ht="45" customHeight="1" x14ac:dyDescent="0.25">
      <c r="A2" s="5" t="s">
        <v>7</v>
      </c>
      <c r="B2" s="5" t="s">
        <v>37</v>
      </c>
      <c r="C2" s="5" t="s">
        <v>36</v>
      </c>
      <c r="D2" s="5" t="s">
        <v>924</v>
      </c>
      <c r="E2" s="5" t="s">
        <v>35</v>
      </c>
      <c r="F2" s="5" t="s">
        <v>927</v>
      </c>
      <c r="G2" s="5"/>
      <c r="H2" s="5"/>
      <c r="I2" s="5" t="s">
        <v>10</v>
      </c>
    </row>
    <row r="3" spans="1:22" ht="45" customHeight="1" x14ac:dyDescent="0.25">
      <c r="A3" s="5" t="s">
        <v>8</v>
      </c>
      <c r="B3" s="13">
        <f ca="1">IF(B2="","",ContarValoresUnicos(B2))</f>
        <v>60</v>
      </c>
      <c r="C3" s="13">
        <f t="shared" ref="C3:H3" ca="1" si="0">IF(C2="","",ContarValoresUnicos(C2))</f>
        <v>60</v>
      </c>
      <c r="D3" s="13">
        <f t="shared" ca="1" si="0"/>
        <v>78</v>
      </c>
      <c r="E3" s="13">
        <f t="shared" ca="1" si="0"/>
        <v>101</v>
      </c>
      <c r="F3" s="13">
        <f t="shared" ca="1" si="0"/>
        <v>1</v>
      </c>
      <c r="G3" s="13" t="str">
        <f t="shared" si="0"/>
        <v/>
      </c>
      <c r="H3" s="13" t="str">
        <f t="shared" si="0"/>
        <v/>
      </c>
      <c r="I3" s="4">
        <f ca="1">SUM(B3:E3)</f>
        <v>299</v>
      </c>
    </row>
    <row r="4" spans="1:22" ht="45" customHeight="1" x14ac:dyDescent="0.25">
      <c r="A4" s="5" t="s">
        <v>9</v>
      </c>
      <c r="B4" s="13">
        <v>3</v>
      </c>
      <c r="C4" s="13">
        <v>2</v>
      </c>
      <c r="D4" s="13">
        <v>2</v>
      </c>
      <c r="E4" s="13">
        <v>2</v>
      </c>
      <c r="F4" s="13"/>
      <c r="G4" s="13"/>
      <c r="H4" s="13"/>
      <c r="I4" s="13">
        <f>SUM(B4:G4)</f>
        <v>9</v>
      </c>
    </row>
    <row r="6" spans="1:22" x14ac:dyDescent="0.25">
      <c r="I6" s="104" t="s">
        <v>34</v>
      </c>
      <c r="J6" s="105"/>
      <c r="K6" s="105"/>
      <c r="L6" s="105"/>
      <c r="M6" s="105"/>
      <c r="N6" s="105"/>
      <c r="O6" s="105"/>
      <c r="P6" s="105"/>
      <c r="Q6" s="105"/>
      <c r="R6" s="105"/>
      <c r="S6" s="105"/>
      <c r="T6" s="105"/>
      <c r="U6" s="105"/>
      <c r="V6" s="106"/>
    </row>
    <row r="7" spans="1:22" x14ac:dyDescent="0.25">
      <c r="I7" s="25"/>
      <c r="J7" s="25"/>
      <c r="K7" s="25" t="s">
        <v>17</v>
      </c>
      <c r="L7" s="25" t="s">
        <v>18</v>
      </c>
      <c r="M7" s="25" t="s">
        <v>19</v>
      </c>
      <c r="N7" s="25" t="s">
        <v>20</v>
      </c>
      <c r="O7" s="25" t="s">
        <v>21</v>
      </c>
      <c r="P7" s="25" t="s">
        <v>22</v>
      </c>
      <c r="Q7" s="25" t="s">
        <v>23</v>
      </c>
      <c r="R7" s="25" t="s">
        <v>24</v>
      </c>
      <c r="S7" s="25" t="s">
        <v>25</v>
      </c>
      <c r="T7" s="25" t="s">
        <v>26</v>
      </c>
      <c r="U7" s="25" t="s">
        <v>27</v>
      </c>
      <c r="V7" s="25" t="s">
        <v>28</v>
      </c>
    </row>
    <row r="8" spans="1:22" x14ac:dyDescent="0.25">
      <c r="I8" s="25" t="str">
        <f t="array" ref="I8:I13">TRANSPOSE(IF(ISBLANK(B2:G2),"",B2:G2))</f>
        <v>Marcel</v>
      </c>
      <c r="J8" s="25"/>
      <c r="K8" s="26">
        <v>11</v>
      </c>
      <c r="L8" s="26">
        <v>29</v>
      </c>
      <c r="M8" s="26">
        <v>46</v>
      </c>
      <c r="N8" s="26">
        <v>28</v>
      </c>
      <c r="O8" s="26">
        <v>127</v>
      </c>
      <c r="P8" s="26">
        <v>60</v>
      </c>
      <c r="Q8" s="26"/>
      <c r="R8" s="26"/>
      <c r="S8" s="26"/>
      <c r="T8" s="26"/>
      <c r="U8" s="26"/>
      <c r="V8" s="26"/>
    </row>
    <row r="9" spans="1:22" x14ac:dyDescent="0.25">
      <c r="I9" s="25" t="str">
        <v>Elias</v>
      </c>
      <c r="J9" s="25"/>
      <c r="K9" s="26">
        <v>36</v>
      </c>
      <c r="L9" s="26">
        <v>37</v>
      </c>
      <c r="M9" s="26">
        <v>43</v>
      </c>
      <c r="N9" s="26">
        <v>50</v>
      </c>
      <c r="O9" s="26">
        <v>65</v>
      </c>
      <c r="P9" s="26">
        <v>60</v>
      </c>
      <c r="Q9" s="26"/>
      <c r="R9" s="26"/>
      <c r="S9" s="26"/>
      <c r="T9" s="26"/>
      <c r="U9" s="26"/>
      <c r="V9" s="26"/>
    </row>
    <row r="10" spans="1:22" x14ac:dyDescent="0.25">
      <c r="I10" s="25" t="str">
        <v>Vitoria</v>
      </c>
      <c r="J10" s="25"/>
      <c r="K10" s="26"/>
      <c r="L10" s="26"/>
      <c r="M10" s="26"/>
      <c r="N10" s="26"/>
      <c r="O10" s="26"/>
      <c r="P10" s="26">
        <v>78</v>
      </c>
      <c r="Q10" s="26"/>
      <c r="R10" s="26"/>
      <c r="S10" s="26"/>
      <c r="T10" s="26"/>
      <c r="U10" s="26"/>
      <c r="V10" s="26"/>
    </row>
    <row r="11" spans="1:22" x14ac:dyDescent="0.25">
      <c r="I11" s="25" t="str">
        <v>Bruna</v>
      </c>
      <c r="J11" s="25"/>
      <c r="K11" s="26">
        <v>5</v>
      </c>
      <c r="L11" s="26">
        <v>13</v>
      </c>
      <c r="M11" s="26">
        <v>19</v>
      </c>
      <c r="N11" s="26">
        <v>13</v>
      </c>
      <c r="O11" s="26">
        <v>136</v>
      </c>
      <c r="P11" s="26">
        <v>101</v>
      </c>
      <c r="Q11" s="26"/>
      <c r="R11" s="26"/>
      <c r="S11" s="26"/>
      <c r="T11" s="26"/>
      <c r="U11" s="26"/>
      <c r="V11" s="26"/>
    </row>
    <row r="12" spans="1:22" x14ac:dyDescent="0.25">
      <c r="I12" s="25" t="str">
        <v>Milena</v>
      </c>
      <c r="J12" s="25"/>
      <c r="K12" s="26"/>
      <c r="L12" s="26"/>
      <c r="M12" s="26"/>
      <c r="N12" s="26"/>
      <c r="O12" s="26"/>
      <c r="P12" s="26"/>
      <c r="Q12" s="26"/>
      <c r="R12" s="26"/>
      <c r="S12" s="26"/>
      <c r="T12" s="26"/>
      <c r="U12" s="26"/>
      <c r="V12" s="26"/>
    </row>
    <row r="13" spans="1:22" x14ac:dyDescent="0.25">
      <c r="I13" s="25" t="str">
        <v/>
      </c>
      <c r="J13" s="25"/>
      <c r="K13" s="26"/>
      <c r="L13" s="26"/>
      <c r="M13" s="26"/>
      <c r="N13" s="26"/>
      <c r="O13" s="26"/>
      <c r="P13" s="26"/>
      <c r="Q13" s="26"/>
      <c r="R13" s="26"/>
      <c r="S13" s="26"/>
      <c r="T13" s="26"/>
      <c r="U13" s="26"/>
      <c r="V13" s="26"/>
    </row>
    <row r="14" spans="1:22" x14ac:dyDescent="0.25">
      <c r="I14" s="25" t="str">
        <f t="array" ref="I14">TRANSPOSE(IF(ISBLANK(B8:G8),"",B8:G8))</f>
        <v/>
      </c>
      <c r="J14" s="25"/>
      <c r="K14" s="26"/>
      <c r="L14" s="26"/>
      <c r="M14" s="26"/>
      <c r="N14" s="26"/>
      <c r="O14" s="26"/>
      <c r="P14" s="26"/>
      <c r="Q14" s="26"/>
      <c r="R14" s="26"/>
      <c r="S14" s="26"/>
      <c r="T14" s="26"/>
      <c r="U14" s="26"/>
      <c r="V14" s="26"/>
    </row>
  </sheetData>
  <mergeCells count="2">
    <mergeCell ref="I6:V6"/>
    <mergeCell ref="A1:I1"/>
  </mergeCells>
  <pageMargins left="0.511811024" right="0.511811024" top="0.78740157499999996" bottom="0.78740157499999996" header="0.31496062000000002" footer="0.31496062000000002"/>
  <pageSetup paperSize="9" scale="42" orientation="landscape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4">
    <tabColor theme="6" tint="0.59999389629810485"/>
    <pageSetUpPr fitToPage="1"/>
  </sheetPr>
  <dimension ref="A1:V8"/>
  <sheetViews>
    <sheetView zoomScaleNormal="100" workbookViewId="0">
      <selection activeCell="A2" sqref="A2"/>
    </sheetView>
  </sheetViews>
  <sheetFormatPr defaultRowHeight="15" x14ac:dyDescent="0.25"/>
  <cols>
    <col min="1" max="8" width="19.7109375" customWidth="1"/>
    <col min="9" max="9" width="21.5703125" customWidth="1"/>
    <col min="10" max="22" width="5.7109375" customWidth="1"/>
  </cols>
  <sheetData>
    <row r="1" spans="1:22" ht="45" customHeight="1" x14ac:dyDescent="0.25">
      <c r="A1" s="109" t="s">
        <v>54</v>
      </c>
      <c r="B1" s="110"/>
      <c r="C1" s="110"/>
      <c r="D1" s="110"/>
      <c r="E1" s="110"/>
      <c r="F1" s="110"/>
      <c r="G1" s="110"/>
      <c r="H1" s="110"/>
      <c r="I1" s="111"/>
    </row>
    <row r="2" spans="1:22" ht="45" customHeight="1" x14ac:dyDescent="0.25">
      <c r="A2" s="2" t="s">
        <v>47</v>
      </c>
      <c r="B2" s="2" t="s">
        <v>48</v>
      </c>
      <c r="C2" s="2" t="s">
        <v>49</v>
      </c>
      <c r="D2" s="2" t="s">
        <v>50</v>
      </c>
      <c r="E2" s="2" t="s">
        <v>56</v>
      </c>
      <c r="F2" s="2" t="s">
        <v>51</v>
      </c>
      <c r="G2" s="2" t="s">
        <v>53</v>
      </c>
      <c r="H2" s="2" t="s">
        <v>32</v>
      </c>
      <c r="I2" s="2" t="s">
        <v>52</v>
      </c>
    </row>
    <row r="3" spans="1:22" ht="45" customHeight="1" x14ac:dyDescent="0.25">
      <c r="A3" s="47">
        <v>4</v>
      </c>
      <c r="B3" s="47">
        <v>2</v>
      </c>
      <c r="C3" s="47">
        <v>4</v>
      </c>
      <c r="D3" s="47">
        <v>1</v>
      </c>
      <c r="E3" s="47">
        <v>2</v>
      </c>
      <c r="F3" s="47">
        <v>1</v>
      </c>
      <c r="G3" s="47">
        <v>25</v>
      </c>
      <c r="H3" s="47">
        <v>0</v>
      </c>
      <c r="I3" s="108">
        <f>SUM(A3:H3)</f>
        <v>39</v>
      </c>
    </row>
    <row r="4" spans="1:22" ht="45" customHeight="1" x14ac:dyDescent="0.25">
      <c r="A4" s="12">
        <f>SUM(A3/I3)</f>
        <v>0.10256410256410256</v>
      </c>
      <c r="B4" s="12">
        <f>SUM(B3/I3)</f>
        <v>5.128205128205128E-2</v>
      </c>
      <c r="C4" s="12">
        <f>SUM(C3/I3)</f>
        <v>0.10256410256410256</v>
      </c>
      <c r="D4" s="12">
        <f>SUM(D3/I3)</f>
        <v>2.564102564102564E-2</v>
      </c>
      <c r="E4" s="12">
        <f>SUM(E3/I3)</f>
        <v>5.128205128205128E-2</v>
      </c>
      <c r="F4" s="12">
        <f>SUM(F3/I3)</f>
        <v>2.564102564102564E-2</v>
      </c>
      <c r="G4" s="12">
        <f>SUM(G3/I3)</f>
        <v>0.64102564102564108</v>
      </c>
      <c r="H4" s="12">
        <f>SUM(H3/I3)</f>
        <v>0</v>
      </c>
      <c r="I4" s="108"/>
    </row>
    <row r="6" spans="1:22" x14ac:dyDescent="0.25">
      <c r="I6" s="104" t="s">
        <v>38</v>
      </c>
      <c r="J6" s="105"/>
      <c r="K6" s="105"/>
      <c r="L6" s="105"/>
      <c r="M6" s="105"/>
      <c r="N6" s="105"/>
      <c r="O6" s="105"/>
      <c r="P6" s="105"/>
      <c r="Q6" s="105"/>
      <c r="R6" s="105"/>
      <c r="S6" s="105"/>
      <c r="T6" s="105"/>
      <c r="U6" s="105"/>
      <c r="V6" s="106"/>
    </row>
    <row r="7" spans="1:22" x14ac:dyDescent="0.25">
      <c r="I7" s="25" t="s">
        <v>16</v>
      </c>
      <c r="J7" s="25"/>
      <c r="K7" s="25" t="s">
        <v>17</v>
      </c>
      <c r="L7" s="25" t="s">
        <v>18</v>
      </c>
      <c r="M7" s="25" t="s">
        <v>19</v>
      </c>
      <c r="N7" s="25" t="s">
        <v>20</v>
      </c>
      <c r="O7" s="25" t="s">
        <v>21</v>
      </c>
      <c r="P7" s="25" t="s">
        <v>22</v>
      </c>
      <c r="Q7" s="25" t="s">
        <v>23</v>
      </c>
      <c r="R7" s="25" t="s">
        <v>24</v>
      </c>
      <c r="S7" s="25" t="s">
        <v>25</v>
      </c>
      <c r="T7" s="25" t="s">
        <v>26</v>
      </c>
      <c r="U7" s="25" t="s">
        <v>27</v>
      </c>
      <c r="V7" s="25" t="s">
        <v>28</v>
      </c>
    </row>
    <row r="8" spans="1:22" x14ac:dyDescent="0.25">
      <c r="I8" s="25" t="s">
        <v>39</v>
      </c>
      <c r="J8" s="25"/>
      <c r="K8" s="26">
        <v>18</v>
      </c>
      <c r="L8" s="26">
        <v>35</v>
      </c>
      <c r="M8" s="26">
        <v>36</v>
      </c>
      <c r="N8" s="26">
        <v>23</v>
      </c>
      <c r="O8" s="26">
        <v>34</v>
      </c>
      <c r="P8" s="26">
        <v>39</v>
      </c>
      <c r="Q8" s="26"/>
      <c r="R8" s="26"/>
      <c r="S8" s="26"/>
      <c r="T8" s="26"/>
      <c r="U8" s="26"/>
      <c r="V8" s="26"/>
    </row>
  </sheetData>
  <mergeCells count="3">
    <mergeCell ref="I3:I4"/>
    <mergeCell ref="I6:V6"/>
    <mergeCell ref="A1:I1"/>
  </mergeCells>
  <pageMargins left="0.511811024" right="0.511811024" top="0.78740157499999996" bottom="0.78740157499999996" header="0.31496062000000002" footer="0.31496062000000002"/>
  <pageSetup paperSize="9" scale="43" orientation="landscape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6</vt:i4>
      </vt:variant>
      <vt:variant>
        <vt:lpstr>Intervalos Nomeados</vt:lpstr>
      </vt:variant>
      <vt:variant>
        <vt:i4>76</vt:i4>
      </vt:variant>
    </vt:vector>
  </HeadingPairs>
  <TitlesOfParts>
    <vt:vector size="82" baseType="lpstr">
      <vt:lpstr>Sheet1</vt:lpstr>
      <vt:lpstr>config</vt:lpstr>
      <vt:lpstr>Atrasos</vt:lpstr>
      <vt:lpstr>Revisões</vt:lpstr>
      <vt:lpstr>Envios</vt:lpstr>
      <vt:lpstr>Erros</vt:lpstr>
      <vt:lpstr>env_func_1</vt:lpstr>
      <vt:lpstr>env_func_2</vt:lpstr>
      <vt:lpstr>env_func_3</vt:lpstr>
      <vt:lpstr>env_func_4</vt:lpstr>
      <vt:lpstr>env_func_5</vt:lpstr>
      <vt:lpstr>env_func_6</vt:lpstr>
      <vt:lpstr>env_func_7</vt:lpstr>
      <vt:lpstr>env_mes_1</vt:lpstr>
      <vt:lpstr>env_mes_10</vt:lpstr>
      <vt:lpstr>env_mes_11</vt:lpstr>
      <vt:lpstr>env_mes_12</vt:lpstr>
      <vt:lpstr>env_mes_2</vt:lpstr>
      <vt:lpstr>env_mes_3</vt:lpstr>
      <vt:lpstr>env_mes_4</vt:lpstr>
      <vt:lpstr>env_mes_5</vt:lpstr>
      <vt:lpstr>env_mes_6</vt:lpstr>
      <vt:lpstr>env_mes_7</vt:lpstr>
      <vt:lpstr>env_mes_8</vt:lpstr>
      <vt:lpstr>env_mes_9</vt:lpstr>
      <vt:lpstr>erro_1</vt:lpstr>
      <vt:lpstr>erro_2</vt:lpstr>
      <vt:lpstr>erro_3</vt:lpstr>
      <vt:lpstr>erro_4</vt:lpstr>
      <vt:lpstr>erro_5</vt:lpstr>
      <vt:lpstr>erro_6</vt:lpstr>
      <vt:lpstr>erro_7</vt:lpstr>
      <vt:lpstr>erro_8</vt:lpstr>
      <vt:lpstr>erro_mes_1</vt:lpstr>
      <vt:lpstr>erro_mes_10</vt:lpstr>
      <vt:lpstr>erro_mes_11</vt:lpstr>
      <vt:lpstr>erro_mes_12</vt:lpstr>
      <vt:lpstr>erro_mes_2</vt:lpstr>
      <vt:lpstr>erro_mes_3</vt:lpstr>
      <vt:lpstr>erro_mes_4</vt:lpstr>
      <vt:lpstr>erro_mes_5</vt:lpstr>
      <vt:lpstr>erro_mes_6</vt:lpstr>
      <vt:lpstr>erro_mes_7</vt:lpstr>
      <vt:lpstr>erro_mes_8</vt:lpstr>
      <vt:lpstr>erro_mes_9</vt:lpstr>
      <vt:lpstr>erro_total</vt:lpstr>
      <vt:lpstr>mes_1</vt:lpstr>
      <vt:lpstr>mes_10</vt:lpstr>
      <vt:lpstr>mes_11</vt:lpstr>
      <vt:lpstr>mes_12</vt:lpstr>
      <vt:lpstr>mes_2</vt:lpstr>
      <vt:lpstr>mes_3</vt:lpstr>
      <vt:lpstr>mes_4</vt:lpstr>
      <vt:lpstr>mes_5</vt:lpstr>
      <vt:lpstr>mes_6</vt:lpstr>
      <vt:lpstr>mes_7</vt:lpstr>
      <vt:lpstr>mes_8</vt:lpstr>
      <vt:lpstr>mes_9</vt:lpstr>
      <vt:lpstr>rev_mes_1</vt:lpstr>
      <vt:lpstr>rev_mes_10</vt:lpstr>
      <vt:lpstr>rev_mes_11</vt:lpstr>
      <vt:lpstr>rev_mes_12</vt:lpstr>
      <vt:lpstr>rev_mes_2</vt:lpstr>
      <vt:lpstr>rev_mes_3</vt:lpstr>
      <vt:lpstr>rev_mes_4</vt:lpstr>
      <vt:lpstr>rev_mes_5</vt:lpstr>
      <vt:lpstr>rev_mes_6</vt:lpstr>
      <vt:lpstr>rev_mes_7</vt:lpstr>
      <vt:lpstr>rev_mes_8</vt:lpstr>
      <vt:lpstr>rev_mes_9</vt:lpstr>
      <vt:lpstr>total_env_1</vt:lpstr>
      <vt:lpstr>total_env_2</vt:lpstr>
      <vt:lpstr>total_env_3</vt:lpstr>
      <vt:lpstr>total_env_4</vt:lpstr>
      <vt:lpstr>total_env_5</vt:lpstr>
      <vt:lpstr>total_env_6</vt:lpstr>
      <vt:lpstr>total_rep</vt:lpstr>
      <vt:lpstr>total_rev_clientes</vt:lpstr>
      <vt:lpstr>total_rev_comercial</vt:lpstr>
      <vt:lpstr>total_rev_rep</vt:lpstr>
      <vt:lpstr>total_rev_tecnicos</vt:lpstr>
      <vt:lpstr>total_tecnico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Rep</dc:creator>
  <cp:lastModifiedBy>Sisten</cp:lastModifiedBy>
  <cp:lastPrinted>2023-04-05T19:45:37Z</cp:lastPrinted>
  <dcterms:created xsi:type="dcterms:W3CDTF">2022-07-28T12:40:18Z</dcterms:created>
  <dcterms:modified xsi:type="dcterms:W3CDTF">2023-11-17T13:10:28Z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defa4170-0d19-0005-0004-bc88714345d2_Enabled">
    <vt:lpwstr>true</vt:lpwstr>
  </property>
  <property fmtid="{D5CDD505-2E9C-101B-9397-08002B2CF9AE}" pid="3" name="MSIP_Label_defa4170-0d19-0005-0004-bc88714345d2_SetDate">
    <vt:lpwstr>2023-11-11T13:21:34Z</vt:lpwstr>
  </property>
  <property fmtid="{D5CDD505-2E9C-101B-9397-08002B2CF9AE}" pid="4" name="MSIP_Label_defa4170-0d19-0005-0004-bc88714345d2_Method">
    <vt:lpwstr>Standard</vt:lpwstr>
  </property>
  <property fmtid="{D5CDD505-2E9C-101B-9397-08002B2CF9AE}" pid="5" name="MSIP_Label_defa4170-0d19-0005-0004-bc88714345d2_Name">
    <vt:lpwstr>defa4170-0d19-0005-0004-bc88714345d2</vt:lpwstr>
  </property>
  <property fmtid="{D5CDD505-2E9C-101B-9397-08002B2CF9AE}" pid="6" name="MSIP_Label_defa4170-0d19-0005-0004-bc88714345d2_SiteId">
    <vt:lpwstr>4b057ca4-3f77-4a73-8802-85c2cb44690e</vt:lpwstr>
  </property>
  <property fmtid="{D5CDD505-2E9C-101B-9397-08002B2CF9AE}" pid="7" name="MSIP_Label_defa4170-0d19-0005-0004-bc88714345d2_ActionId">
    <vt:lpwstr>d27dab5f-51a6-4c5a-b125-ed2c849cebf2</vt:lpwstr>
  </property>
  <property fmtid="{D5CDD505-2E9C-101B-9397-08002B2CF9AE}" pid="8" name="MSIP_Label_defa4170-0d19-0005-0004-bc88714345d2_ContentBits">
    <vt:lpwstr>0</vt:lpwstr>
  </property>
</Properties>
</file>